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" sheetId="1" r:id="rId5"/>
    <sheet state="visible" name="Copia de ENERO" sheetId="2" r:id="rId6"/>
    <sheet state="visible" name="FEBRERO" sheetId="3" r:id="rId7"/>
    <sheet state="visible" name="Copia de FEBRERO" sheetId="4" r:id="rId8"/>
    <sheet state="visible" name="MARZO" sheetId="5" r:id="rId9"/>
    <sheet state="visible" name="Copia de MARZO" sheetId="6" r:id="rId10"/>
    <sheet state="visible" name="ABRIL" sheetId="7" r:id="rId11"/>
  </sheets>
  <definedNames/>
  <calcPr/>
</workbook>
</file>

<file path=xl/sharedStrings.xml><?xml version="1.0" encoding="utf-8"?>
<sst xmlns="http://schemas.openxmlformats.org/spreadsheetml/2006/main" count="38" uniqueCount="8">
  <si>
    <t>VENTAS ALMACÉN ANTES IVA</t>
  </si>
  <si>
    <t>IVA</t>
  </si>
  <si>
    <t>VENTAS TOTAL ALMACÉN</t>
  </si>
  <si>
    <t>PELUQUERÍA</t>
  </si>
  <si>
    <t>TOTAL VENTAS DÍA</t>
  </si>
  <si>
    <t>VENTAS ACUMULADAS</t>
  </si>
  <si>
    <t>TOTAL</t>
  </si>
  <si>
    <t>CONSIGNE 850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</si>
</sst>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 $]#,##0"/>
  </numFmts>
  <fonts count="6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readingOrder="0"/>
    </xf>
    <xf borderId="1" fillId="2" fontId="3" numFmtId="164" xfId="0" applyBorder="1" applyFont="1" applyNumberFormat="1"/>
    <xf borderId="1" fillId="2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0" fontId="3" numFmtId="164" xfId="0" applyBorder="1" applyFont="1" applyNumberFormat="1"/>
    <xf borderId="0" fillId="0" fontId="3" numFmtId="3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/>
    </xf>
    <xf borderId="1" fillId="0" fontId="5" numFmtId="164" xfId="0" applyBorder="1" applyFont="1" applyNumberFormat="1"/>
    <xf borderId="0" fillId="0" fontId="5" numFmtId="0" xfId="0" applyFont="1"/>
    <xf borderId="0" fillId="0" fontId="3" numFmtId="0" xfId="0" applyAlignment="1" applyFont="1">
      <alignment horizontal="center"/>
    </xf>
    <xf borderId="1" fillId="3" fontId="3" numFmtId="164" xfId="0" applyAlignment="1" applyBorder="1" applyFill="1" applyFont="1" applyNumberFormat="1">
      <alignment readingOrder="0"/>
    </xf>
    <xf borderId="0" fillId="0" fontId="3" numFmtId="0" xfId="0" applyAlignment="1" applyFont="1">
      <alignment readingOrder="0"/>
    </xf>
    <xf borderId="0" fillId="3" fontId="3" numFmtId="0" xfId="0" applyAlignment="1" applyFont="1">
      <alignment readingOrder="0"/>
    </xf>
    <xf borderId="1" fillId="2" fontId="3" numFmtId="0" xfId="0" applyBorder="1" applyFont="1"/>
    <xf borderId="1" fillId="2" fontId="5" numFmtId="164" xfId="0" applyBorder="1" applyFont="1" applyNumberFormat="1"/>
    <xf borderId="1" fillId="0" fontId="5" numFmtId="164" xfId="0" applyAlignment="1" applyBorder="1" applyFont="1" applyNumberFormat="1">
      <alignment readingOrder="0"/>
    </xf>
    <xf borderId="0" fillId="4" fontId="3" numFmtId="3" xfId="0" applyAlignment="1" applyFill="1" applyFont="1" applyNumberFormat="1">
      <alignment readingOrder="0"/>
    </xf>
    <xf borderId="1" fillId="2" fontId="4" numFmtId="0" xfId="0" applyAlignment="1" applyBorder="1" applyFont="1">
      <alignment horizontal="center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readingOrder="0"/>
    </xf>
    <xf borderId="1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8.38"/>
    <col customWidth="1" min="4" max="4" width="18.5"/>
    <col customWidth="1" min="5" max="5" width="16.25"/>
    <col customWidth="1" min="6" max="6" width="18.5"/>
    <col customWidth="1" min="7" max="7" width="17.75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>
      <c r="A2" s="3">
        <v>1.0</v>
      </c>
      <c r="B2" s="4"/>
      <c r="C2" s="4"/>
      <c r="D2" s="4"/>
      <c r="E2" s="4"/>
      <c r="F2" s="4"/>
      <c r="G2" s="4"/>
    </row>
    <row r="3">
      <c r="A3" s="3">
        <v>2.0</v>
      </c>
      <c r="B3" s="4"/>
      <c r="C3" s="4"/>
      <c r="D3" s="4"/>
      <c r="E3" s="4"/>
      <c r="F3" s="4"/>
      <c r="G3" s="4"/>
    </row>
    <row r="4">
      <c r="A4" s="3">
        <v>3.0</v>
      </c>
      <c r="B4" s="5"/>
      <c r="C4" s="5"/>
      <c r="D4" s="4"/>
      <c r="E4" s="5"/>
      <c r="F4" s="4"/>
      <c r="G4" s="4"/>
    </row>
    <row r="5">
      <c r="A5" s="3">
        <v>4.0</v>
      </c>
      <c r="B5" s="5"/>
      <c r="C5" s="5"/>
      <c r="D5" s="4"/>
      <c r="E5" s="5"/>
      <c r="F5" s="4"/>
      <c r="G5" s="4"/>
    </row>
    <row r="6">
      <c r="A6" s="6">
        <v>5.0</v>
      </c>
      <c r="B6" s="7">
        <v>238643.0</v>
      </c>
      <c r="C6" s="7">
        <v>11932.0</v>
      </c>
      <c r="D6" s="8">
        <f t="shared" ref="D6:D7" si="1">C6+B6</f>
        <v>250575</v>
      </c>
      <c r="E6" s="7">
        <v>300000.0</v>
      </c>
      <c r="F6" s="8">
        <f>D6+B6</f>
        <v>489218</v>
      </c>
      <c r="G6" s="8">
        <f>F6</f>
        <v>489218</v>
      </c>
    </row>
    <row r="7">
      <c r="A7" s="6">
        <v>6.0</v>
      </c>
      <c r="B7" s="7">
        <v>371170.0</v>
      </c>
      <c r="C7" s="7">
        <v>51056.0</v>
      </c>
      <c r="D7" s="8">
        <f t="shared" si="1"/>
        <v>422226</v>
      </c>
      <c r="E7" s="7">
        <v>415000.0</v>
      </c>
      <c r="F7" s="8">
        <f t="shared" ref="F7:F11" si="2">E7+B7</f>
        <v>786170</v>
      </c>
      <c r="G7" s="8">
        <f t="shared" ref="G7:G11" si="3">G6+F7</f>
        <v>1275388</v>
      </c>
    </row>
    <row r="8">
      <c r="A8" s="6">
        <v>7.0</v>
      </c>
      <c r="B8" s="7">
        <v>106190.0</v>
      </c>
      <c r="C8" s="7">
        <v>15231.0</v>
      </c>
      <c r="D8" s="8">
        <f>B8+C8</f>
        <v>121421</v>
      </c>
      <c r="E8" s="7">
        <v>410000.0</v>
      </c>
      <c r="F8" s="8">
        <f t="shared" si="2"/>
        <v>516190</v>
      </c>
      <c r="G8" s="8">
        <f t="shared" si="3"/>
        <v>1791578</v>
      </c>
      <c r="H8" s="9">
        <v>1015200.0</v>
      </c>
    </row>
    <row r="9">
      <c r="A9" s="6">
        <v>8.0</v>
      </c>
      <c r="B9" s="7">
        <v>174555.0</v>
      </c>
      <c r="C9" s="7">
        <v>24064.0</v>
      </c>
      <c r="D9" s="8">
        <f t="shared" ref="D9:D11" si="4">C9+B9</f>
        <v>198619</v>
      </c>
      <c r="E9" s="7">
        <v>400000.0</v>
      </c>
      <c r="F9" s="8">
        <f t="shared" si="2"/>
        <v>574555</v>
      </c>
      <c r="G9" s="8">
        <f t="shared" si="3"/>
        <v>2366133</v>
      </c>
    </row>
    <row r="10">
      <c r="A10" s="6">
        <v>9.0</v>
      </c>
      <c r="B10" s="7">
        <v>868324.0</v>
      </c>
      <c r="C10" s="7">
        <v>48959.0</v>
      </c>
      <c r="D10" s="8">
        <f t="shared" si="4"/>
        <v>917283</v>
      </c>
      <c r="E10" s="7">
        <v>445000.0</v>
      </c>
      <c r="F10" s="8">
        <f t="shared" si="2"/>
        <v>1313324</v>
      </c>
      <c r="G10" s="8">
        <f t="shared" si="3"/>
        <v>3679457</v>
      </c>
    </row>
    <row r="11">
      <c r="A11" s="6">
        <v>10.0</v>
      </c>
      <c r="B11" s="7">
        <v>108723.0</v>
      </c>
      <c r="C11" s="7">
        <v>9577.0</v>
      </c>
      <c r="D11" s="8">
        <f t="shared" si="4"/>
        <v>118300</v>
      </c>
      <c r="E11" s="7">
        <v>530000.0</v>
      </c>
      <c r="F11" s="8">
        <f t="shared" si="2"/>
        <v>638723</v>
      </c>
      <c r="G11" s="8">
        <f t="shared" si="3"/>
        <v>4318180</v>
      </c>
    </row>
    <row r="12">
      <c r="A12" s="3">
        <v>11.0</v>
      </c>
      <c r="B12" s="5"/>
      <c r="C12" s="5"/>
      <c r="D12" s="4"/>
      <c r="E12" s="5"/>
      <c r="F12" s="4"/>
      <c r="G12" s="4"/>
    </row>
    <row r="13">
      <c r="A13" s="3">
        <v>12.0</v>
      </c>
      <c r="B13" s="5"/>
      <c r="C13" s="5"/>
      <c r="D13" s="4"/>
      <c r="E13" s="5"/>
      <c r="F13" s="4"/>
      <c r="G13" s="4"/>
    </row>
    <row r="14">
      <c r="A14" s="6">
        <v>13.0</v>
      </c>
      <c r="B14" s="7">
        <v>457711.0</v>
      </c>
      <c r="C14" s="7">
        <v>37768.0</v>
      </c>
      <c r="D14" s="8">
        <f t="shared" ref="D14:D16" si="5">C14+B14</f>
        <v>495479</v>
      </c>
      <c r="E14" s="7">
        <v>282000.0</v>
      </c>
      <c r="F14" s="8">
        <f t="shared" ref="F14:F16" si="6">E14+B14</f>
        <v>739711</v>
      </c>
      <c r="G14" s="8">
        <f>G11+F14</f>
        <v>5057891</v>
      </c>
    </row>
    <row r="15">
      <c r="A15" s="6">
        <v>14.0</v>
      </c>
      <c r="B15" s="7">
        <v>161092.0</v>
      </c>
      <c r="C15" s="7">
        <v>12807.0</v>
      </c>
      <c r="D15" s="8">
        <f t="shared" si="5"/>
        <v>173899</v>
      </c>
      <c r="E15" s="7">
        <v>255000.0</v>
      </c>
      <c r="F15" s="8">
        <f t="shared" si="6"/>
        <v>416092</v>
      </c>
      <c r="G15" s="8">
        <f t="shared" ref="G15:G18" si="7">G14+F15</f>
        <v>5473983</v>
      </c>
    </row>
    <row r="16">
      <c r="A16" s="6">
        <v>15.0</v>
      </c>
      <c r="B16" s="7">
        <v>245280.0</v>
      </c>
      <c r="C16" s="7">
        <v>11519.0</v>
      </c>
      <c r="D16" s="8">
        <f t="shared" si="5"/>
        <v>256799</v>
      </c>
      <c r="E16" s="7">
        <v>340000.0</v>
      </c>
      <c r="F16" s="8">
        <f t="shared" si="6"/>
        <v>585280</v>
      </c>
      <c r="G16" s="8">
        <f t="shared" si="7"/>
        <v>6059263</v>
      </c>
    </row>
    <row r="17">
      <c r="A17" s="6">
        <v>16.0</v>
      </c>
      <c r="B17" s="7">
        <v>0.0</v>
      </c>
      <c r="C17" s="7">
        <v>0.0</v>
      </c>
      <c r="D17" s="7">
        <v>0.0</v>
      </c>
      <c r="E17" s="7">
        <v>255000.0</v>
      </c>
      <c r="F17" s="8">
        <f>B17+E17</f>
        <v>255000</v>
      </c>
      <c r="G17" s="8">
        <f t="shared" si="7"/>
        <v>6314263</v>
      </c>
    </row>
    <row r="18">
      <c r="A18" s="6">
        <v>17.0</v>
      </c>
      <c r="B18" s="7">
        <v>311547.0</v>
      </c>
      <c r="C18" s="7">
        <v>47661.0</v>
      </c>
      <c r="D18" s="8">
        <f>C18+B18</f>
        <v>359208</v>
      </c>
      <c r="E18" s="7">
        <v>435000.0</v>
      </c>
      <c r="F18" s="8">
        <f>E18+B18</f>
        <v>746547</v>
      </c>
      <c r="G18" s="8">
        <f t="shared" si="7"/>
        <v>7060810</v>
      </c>
    </row>
    <row r="19">
      <c r="A19" s="3">
        <v>18.0</v>
      </c>
      <c r="B19" s="5"/>
      <c r="C19" s="5"/>
      <c r="D19" s="4"/>
      <c r="E19" s="5"/>
      <c r="F19" s="4"/>
      <c r="G19" s="4"/>
    </row>
    <row r="20">
      <c r="A20" s="6">
        <v>19.0</v>
      </c>
      <c r="B20" s="7">
        <v>204868.0</v>
      </c>
      <c r="C20" s="7">
        <v>12531.0</v>
      </c>
      <c r="D20" s="8">
        <f t="shared" ref="D20:D25" si="8">C20+B20</f>
        <v>217399</v>
      </c>
      <c r="E20" s="7">
        <v>475000.0</v>
      </c>
      <c r="F20" s="8">
        <f t="shared" ref="F20:F25" si="9">E20+B20</f>
        <v>679868</v>
      </c>
      <c r="G20" s="8">
        <f>G18+F20</f>
        <v>7740678</v>
      </c>
    </row>
    <row r="21">
      <c r="A21" s="6">
        <v>20.0</v>
      </c>
      <c r="B21" s="7">
        <v>148736.0</v>
      </c>
      <c r="C21" s="7">
        <v>15367.0</v>
      </c>
      <c r="D21" s="8">
        <f t="shared" si="8"/>
        <v>164103</v>
      </c>
      <c r="E21" s="7">
        <v>677000.0</v>
      </c>
      <c r="F21" s="8">
        <f t="shared" si="9"/>
        <v>825736</v>
      </c>
      <c r="G21" s="8">
        <f t="shared" ref="G21:G25" si="10">G20+F21</f>
        <v>8566414</v>
      </c>
    </row>
    <row r="22">
      <c r="A22" s="6">
        <v>21.0</v>
      </c>
      <c r="B22" s="7">
        <v>194522.0</v>
      </c>
      <c r="C22" s="7">
        <v>16878.0</v>
      </c>
      <c r="D22" s="8">
        <f t="shared" si="8"/>
        <v>211400</v>
      </c>
      <c r="E22" s="7">
        <v>420000.0</v>
      </c>
      <c r="F22" s="8">
        <f t="shared" si="9"/>
        <v>614522</v>
      </c>
      <c r="G22" s="8">
        <f t="shared" si="10"/>
        <v>9180936</v>
      </c>
    </row>
    <row r="23">
      <c r="A23" s="6">
        <v>22.0</v>
      </c>
      <c r="B23" s="7">
        <v>148936.0</v>
      </c>
      <c r="C23" s="7">
        <v>21364.0</v>
      </c>
      <c r="D23" s="8">
        <f t="shared" si="8"/>
        <v>170300</v>
      </c>
      <c r="E23" s="7">
        <v>470000.0</v>
      </c>
      <c r="F23" s="8">
        <f t="shared" si="9"/>
        <v>618936</v>
      </c>
      <c r="G23" s="8">
        <f t="shared" si="10"/>
        <v>9799872</v>
      </c>
    </row>
    <row r="24">
      <c r="A24" s="6">
        <v>23.0</v>
      </c>
      <c r="B24" s="7">
        <v>277555.0</v>
      </c>
      <c r="C24" s="7">
        <v>28125.0</v>
      </c>
      <c r="D24" s="8">
        <f t="shared" si="8"/>
        <v>305680</v>
      </c>
      <c r="E24" s="7">
        <v>600000.0</v>
      </c>
      <c r="F24" s="8">
        <f t="shared" si="9"/>
        <v>877555</v>
      </c>
      <c r="G24" s="8">
        <f t="shared" si="10"/>
        <v>10677427</v>
      </c>
    </row>
    <row r="25">
      <c r="A25" s="6">
        <v>24.0</v>
      </c>
      <c r="B25" s="7">
        <v>171411.0</v>
      </c>
      <c r="C25" s="7">
        <v>10089.0</v>
      </c>
      <c r="D25" s="8">
        <f t="shared" si="8"/>
        <v>181500</v>
      </c>
      <c r="E25" s="7">
        <v>713000.0</v>
      </c>
      <c r="F25" s="8">
        <f t="shared" si="9"/>
        <v>884411</v>
      </c>
      <c r="G25" s="8">
        <f t="shared" si="10"/>
        <v>11561838</v>
      </c>
    </row>
    <row r="26">
      <c r="A26" s="3">
        <v>25.0</v>
      </c>
      <c r="B26" s="5"/>
      <c r="C26" s="5"/>
      <c r="D26" s="4"/>
      <c r="E26" s="5"/>
      <c r="F26" s="4"/>
      <c r="G26" s="4"/>
    </row>
    <row r="27">
      <c r="A27" s="6">
        <v>26.0</v>
      </c>
      <c r="B27" s="7">
        <v>139861.0</v>
      </c>
      <c r="C27" s="7">
        <v>13539.0</v>
      </c>
      <c r="D27" s="8">
        <f>B27+C27</f>
        <v>153400</v>
      </c>
      <c r="E27" s="7">
        <v>621000.0</v>
      </c>
      <c r="F27" s="8">
        <f t="shared" ref="F27:F32" si="11">E27+B27</f>
        <v>760861</v>
      </c>
      <c r="G27" s="8">
        <f>G25+F27</f>
        <v>12322699</v>
      </c>
    </row>
    <row r="28">
      <c r="A28" s="6">
        <v>27.0</v>
      </c>
      <c r="B28" s="7">
        <v>379152.0</v>
      </c>
      <c r="C28" s="7">
        <v>39548.0</v>
      </c>
      <c r="D28" s="7">
        <f t="shared" ref="D28:D32" si="12">C28+B28</f>
        <v>418700</v>
      </c>
      <c r="E28" s="7">
        <v>535000.0</v>
      </c>
      <c r="F28" s="8">
        <f t="shared" si="11"/>
        <v>914152</v>
      </c>
      <c r="G28" s="8">
        <f t="shared" ref="G28:G32" si="13">G27+F28</f>
        <v>13236851</v>
      </c>
    </row>
    <row r="29">
      <c r="A29" s="6">
        <v>28.0</v>
      </c>
      <c r="B29" s="7">
        <v>205888.0</v>
      </c>
      <c r="C29" s="7">
        <v>25412.0</v>
      </c>
      <c r="D29" s="8">
        <f t="shared" si="12"/>
        <v>231300</v>
      </c>
      <c r="E29" s="7">
        <v>548000.0</v>
      </c>
      <c r="F29" s="8">
        <f t="shared" si="11"/>
        <v>753888</v>
      </c>
      <c r="G29" s="8">
        <f t="shared" si="13"/>
        <v>13990739</v>
      </c>
    </row>
    <row r="30">
      <c r="A30" s="6">
        <v>29.0</v>
      </c>
      <c r="B30" s="7">
        <v>226094.0</v>
      </c>
      <c r="C30" s="7">
        <v>11305.0</v>
      </c>
      <c r="D30" s="8">
        <f t="shared" si="12"/>
        <v>237399</v>
      </c>
      <c r="E30" s="7">
        <v>306000.0</v>
      </c>
      <c r="F30" s="8">
        <f t="shared" si="11"/>
        <v>532094</v>
      </c>
      <c r="G30" s="8">
        <f t="shared" si="13"/>
        <v>14522833</v>
      </c>
    </row>
    <row r="31">
      <c r="A31" s="6">
        <v>30.0</v>
      </c>
      <c r="B31" s="7">
        <v>96913.0</v>
      </c>
      <c r="C31" s="7">
        <v>5787.0</v>
      </c>
      <c r="D31" s="8">
        <f t="shared" si="12"/>
        <v>102700</v>
      </c>
      <c r="E31" s="7">
        <v>326000.0</v>
      </c>
      <c r="F31" s="8">
        <f t="shared" si="11"/>
        <v>422913</v>
      </c>
      <c r="G31" s="8">
        <f t="shared" si="13"/>
        <v>14945746</v>
      </c>
    </row>
    <row r="32">
      <c r="A32" s="6">
        <v>31.0</v>
      </c>
      <c r="B32" s="7">
        <v>645711.0</v>
      </c>
      <c r="C32" s="7">
        <v>44050.0</v>
      </c>
      <c r="D32" s="8">
        <f t="shared" si="12"/>
        <v>689761</v>
      </c>
      <c r="E32" s="7">
        <v>636000.0</v>
      </c>
      <c r="F32" s="8">
        <f t="shared" si="11"/>
        <v>1281711</v>
      </c>
      <c r="G32" s="8">
        <f t="shared" si="13"/>
        <v>16227457</v>
      </c>
    </row>
    <row r="33">
      <c r="A33" s="10" t="s">
        <v>6</v>
      </c>
      <c r="B33" s="11">
        <f t="shared" ref="B33:F33" si="14">SUM(B6:B32)</f>
        <v>5882882</v>
      </c>
      <c r="C33" s="11">
        <f t="shared" si="14"/>
        <v>514569</v>
      </c>
      <c r="D33" s="11">
        <f t="shared" si="14"/>
        <v>6397451</v>
      </c>
      <c r="E33" s="11">
        <f t="shared" si="14"/>
        <v>10394000</v>
      </c>
      <c r="F33" s="11">
        <f t="shared" si="14"/>
        <v>16227457</v>
      </c>
      <c r="G33" s="11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16.25"/>
  </cols>
  <sheetData>
    <row r="1">
      <c r="A1" s="1"/>
      <c r="B1" s="2" t="s">
        <v>0</v>
      </c>
      <c r="C1" s="2" t="s">
        <v>3</v>
      </c>
    </row>
    <row r="2">
      <c r="A2" s="3">
        <v>1.0</v>
      </c>
      <c r="B2" s="4"/>
      <c r="C2" s="4"/>
    </row>
    <row r="3">
      <c r="A3" s="3">
        <v>2.0</v>
      </c>
      <c r="B3" s="4"/>
      <c r="C3" s="4"/>
    </row>
    <row r="4">
      <c r="A4" s="3">
        <v>3.0</v>
      </c>
      <c r="B4" s="5"/>
      <c r="C4" s="5"/>
    </row>
    <row r="5">
      <c r="A5" s="3">
        <v>4.0</v>
      </c>
      <c r="B5" s="5"/>
      <c r="C5" s="5"/>
    </row>
    <row r="6">
      <c r="A6" s="6">
        <v>5.0</v>
      </c>
      <c r="B6" s="14">
        <v>84400.0</v>
      </c>
      <c r="C6" s="14">
        <v>270000.0</v>
      </c>
    </row>
    <row r="7">
      <c r="A7" s="6">
        <v>6.0</v>
      </c>
      <c r="B7" s="14">
        <v>27300.0</v>
      </c>
      <c r="C7" s="14">
        <v>245000.0</v>
      </c>
    </row>
    <row r="8">
      <c r="A8" s="6">
        <v>7.0</v>
      </c>
      <c r="B8" s="14">
        <v>37000.0</v>
      </c>
      <c r="C8" s="14">
        <v>230000.0</v>
      </c>
      <c r="D8" s="9">
        <v>1015200.0</v>
      </c>
    </row>
    <row r="9">
      <c r="A9" s="6">
        <v>8.0</v>
      </c>
      <c r="B9" s="14">
        <v>150800.0</v>
      </c>
      <c r="C9" s="14">
        <v>270000.0</v>
      </c>
      <c r="D9" s="9">
        <v>1080800.0</v>
      </c>
    </row>
    <row r="10">
      <c r="A10" s="6">
        <v>9.0</v>
      </c>
      <c r="B10" s="14">
        <v>44200.0</v>
      </c>
      <c r="C10" s="14">
        <v>350000.0</v>
      </c>
      <c r="D10" s="9">
        <v>1469650.0</v>
      </c>
    </row>
    <row r="11">
      <c r="A11" s="6">
        <v>10.0</v>
      </c>
      <c r="B11" s="14">
        <v>83500.0</v>
      </c>
      <c r="C11" s="14">
        <v>355000.0</v>
      </c>
    </row>
    <row r="12">
      <c r="A12" s="3">
        <v>11.0</v>
      </c>
      <c r="B12" s="5"/>
      <c r="C12" s="5"/>
    </row>
    <row r="13">
      <c r="A13" s="3">
        <v>12.0</v>
      </c>
      <c r="B13" s="5"/>
      <c r="C13" s="5"/>
      <c r="D13" s="9">
        <v>839600.0</v>
      </c>
    </row>
    <row r="14">
      <c r="A14" s="6">
        <v>13.0</v>
      </c>
      <c r="B14" s="14">
        <v>91500.0</v>
      </c>
      <c r="C14" s="14">
        <v>132000.0</v>
      </c>
      <c r="D14" s="15">
        <v>721250.0</v>
      </c>
    </row>
    <row r="15">
      <c r="A15" s="6">
        <v>14.0</v>
      </c>
      <c r="B15" s="14">
        <v>0.0</v>
      </c>
      <c r="C15" s="14">
        <v>20000.0</v>
      </c>
    </row>
    <row r="16">
      <c r="A16" s="6">
        <v>15.0</v>
      </c>
      <c r="B16" s="14">
        <v>134100.0</v>
      </c>
      <c r="C16" s="14">
        <v>160000.0</v>
      </c>
    </row>
    <row r="17">
      <c r="A17" s="6">
        <v>16.0</v>
      </c>
      <c r="B17" s="14">
        <v>0.0</v>
      </c>
      <c r="C17" s="14">
        <v>255000.0</v>
      </c>
    </row>
    <row r="18">
      <c r="A18" s="6">
        <v>17.0</v>
      </c>
      <c r="B18" s="14">
        <v>233500.0</v>
      </c>
      <c r="C18" s="14">
        <v>285000.0</v>
      </c>
    </row>
    <row r="19">
      <c r="A19" s="3">
        <v>18.0</v>
      </c>
      <c r="B19" s="5"/>
      <c r="C19" s="5"/>
    </row>
    <row r="20">
      <c r="A20" s="6">
        <v>19.0</v>
      </c>
      <c r="B20" s="14">
        <v>87700.0</v>
      </c>
      <c r="C20" s="14">
        <v>385000.0</v>
      </c>
      <c r="D20" s="9">
        <v>1451550.0</v>
      </c>
      <c r="E20" s="9">
        <v>1625000.0</v>
      </c>
    </row>
    <row r="21">
      <c r="A21" s="6">
        <v>20.0</v>
      </c>
      <c r="B21" s="14">
        <v>34000.0</v>
      </c>
      <c r="C21" s="14">
        <v>497000.0</v>
      </c>
      <c r="D21" s="9">
        <v>1783850.0</v>
      </c>
    </row>
    <row r="22">
      <c r="A22" s="6">
        <v>21.0</v>
      </c>
      <c r="B22" s="14">
        <v>211400.0</v>
      </c>
      <c r="C22" s="14">
        <v>65000.0</v>
      </c>
      <c r="D22" s="9">
        <v>1882450.0</v>
      </c>
    </row>
    <row r="23">
      <c r="A23" s="6">
        <v>22.0</v>
      </c>
      <c r="B23" s="14">
        <v>41000.0</v>
      </c>
      <c r="C23" s="14">
        <v>0.0</v>
      </c>
      <c r="D23" s="9">
        <v>748750.0</v>
      </c>
    </row>
    <row r="24">
      <c r="A24" s="6">
        <v>23.0</v>
      </c>
      <c r="B24" s="14">
        <v>89500.0</v>
      </c>
      <c r="C24" s="14">
        <v>315000.0</v>
      </c>
      <c r="D24" s="9">
        <v>697450.0</v>
      </c>
      <c r="E24" s="9">
        <v>1061950.0</v>
      </c>
    </row>
    <row r="25">
      <c r="A25" s="6">
        <v>24.0</v>
      </c>
      <c r="B25" s="14">
        <v>36600.0</v>
      </c>
      <c r="C25" s="14">
        <v>451000.0</v>
      </c>
    </row>
    <row r="26">
      <c r="A26" s="3">
        <v>25.0</v>
      </c>
      <c r="B26" s="5"/>
      <c r="C26" s="5"/>
      <c r="D26" s="9">
        <v>1599750.0</v>
      </c>
    </row>
    <row r="27">
      <c r="A27" s="6">
        <v>26.0</v>
      </c>
      <c r="B27" s="14">
        <v>71000.0</v>
      </c>
      <c r="C27" s="14">
        <v>366000.0</v>
      </c>
    </row>
    <row r="28">
      <c r="A28" s="6">
        <v>27.0</v>
      </c>
      <c r="B28" s="14">
        <v>171000.0</v>
      </c>
      <c r="C28" s="14">
        <v>269000.0</v>
      </c>
    </row>
    <row r="29">
      <c r="A29" s="6">
        <v>28.0</v>
      </c>
      <c r="B29" s="14">
        <v>0.0</v>
      </c>
      <c r="C29" s="14">
        <v>167000.0</v>
      </c>
    </row>
    <row r="30">
      <c r="A30" s="6">
        <v>29.0</v>
      </c>
      <c r="B30" s="14">
        <v>97400.0</v>
      </c>
      <c r="C30" s="14">
        <v>128000.0</v>
      </c>
      <c r="D30" s="9">
        <v>1135950.0</v>
      </c>
    </row>
    <row r="31">
      <c r="A31" s="6">
        <v>30.0</v>
      </c>
      <c r="B31" s="14">
        <v>102700.0</v>
      </c>
      <c r="C31" s="14">
        <v>247000.0</v>
      </c>
    </row>
    <row r="32">
      <c r="A32" s="6">
        <v>31.0</v>
      </c>
      <c r="B32" s="16">
        <v>0.0</v>
      </c>
      <c r="C32" s="14">
        <v>356000.0</v>
      </c>
      <c r="D32" s="9">
        <v>669400.0</v>
      </c>
    </row>
    <row r="33">
      <c r="A33" s="6" t="s">
        <v>6</v>
      </c>
      <c r="B33" s="8"/>
      <c r="C33" s="8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8.38"/>
    <col customWidth="1" min="4" max="4" width="18.5"/>
    <col customWidth="1" min="5" max="5" width="16.25"/>
    <col customWidth="1" min="6" max="6" width="18.5"/>
    <col customWidth="1" min="7" max="7" width="17.75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>
      <c r="A2" s="3">
        <v>1.0</v>
      </c>
      <c r="B2" s="4"/>
      <c r="C2" s="4"/>
      <c r="D2" s="4"/>
      <c r="E2" s="4"/>
      <c r="F2" s="4"/>
      <c r="G2" s="4"/>
    </row>
    <row r="3">
      <c r="A3" s="6">
        <v>2.0</v>
      </c>
      <c r="B3" s="7">
        <v>453484.0</v>
      </c>
      <c r="C3" s="7">
        <v>48699.0</v>
      </c>
      <c r="D3" s="8">
        <f>SUM(B3:C3)</f>
        <v>502183</v>
      </c>
      <c r="E3" s="7">
        <v>626000.0</v>
      </c>
      <c r="F3" s="8">
        <f t="shared" ref="F3:F4" si="1">B3+E3</f>
        <v>1079484</v>
      </c>
      <c r="G3" s="8">
        <f>F3</f>
        <v>1079484</v>
      </c>
    </row>
    <row r="4">
      <c r="A4" s="6">
        <v>3.0</v>
      </c>
      <c r="B4" s="7">
        <v>148674.0</v>
      </c>
      <c r="C4" s="7">
        <v>10375.0</v>
      </c>
      <c r="D4" s="8">
        <f>B4+C4</f>
        <v>159049</v>
      </c>
      <c r="E4" s="7">
        <v>609000.0</v>
      </c>
      <c r="F4" s="8">
        <f t="shared" si="1"/>
        <v>757674</v>
      </c>
      <c r="G4" s="8">
        <f t="shared" ref="G4:G8" si="2">G3+F4</f>
        <v>1837158</v>
      </c>
    </row>
    <row r="5">
      <c r="A5" s="6">
        <v>4.0</v>
      </c>
      <c r="B5" s="7">
        <v>326159.0</v>
      </c>
      <c r="C5" s="7">
        <v>19720.0</v>
      </c>
      <c r="D5" s="8">
        <f>C5+B5</f>
        <v>345879</v>
      </c>
      <c r="E5" s="7">
        <v>599000.0</v>
      </c>
      <c r="F5" s="8">
        <f>E5+B5</f>
        <v>925159</v>
      </c>
      <c r="G5" s="8">
        <f t="shared" si="2"/>
        <v>2762317</v>
      </c>
    </row>
    <row r="6">
      <c r="A6" s="6">
        <v>5.0</v>
      </c>
      <c r="B6" s="7">
        <v>10476.0</v>
      </c>
      <c r="C6" s="7">
        <v>524.0</v>
      </c>
      <c r="D6" s="8">
        <f>B6+C6</f>
        <v>11000</v>
      </c>
      <c r="E6" s="7">
        <v>452000.0</v>
      </c>
      <c r="F6" s="8">
        <f>B6+E6</f>
        <v>462476</v>
      </c>
      <c r="G6" s="8">
        <f t="shared" si="2"/>
        <v>3224793</v>
      </c>
    </row>
    <row r="7">
      <c r="A7" s="6">
        <v>6.0</v>
      </c>
      <c r="B7" s="7">
        <v>104541.0</v>
      </c>
      <c r="C7" s="7">
        <v>18101.0</v>
      </c>
      <c r="D7" s="8">
        <f t="shared" ref="D7:D8" si="3">C7+B7</f>
        <v>122642</v>
      </c>
      <c r="E7" s="7">
        <v>248000.0</v>
      </c>
      <c r="F7" s="8">
        <f t="shared" ref="F7:F8" si="4">E7+B7</f>
        <v>352541</v>
      </c>
      <c r="G7" s="8">
        <f t="shared" si="2"/>
        <v>3577334</v>
      </c>
    </row>
    <row r="8">
      <c r="A8" s="6">
        <v>7.0</v>
      </c>
      <c r="B8" s="7">
        <v>179098.0</v>
      </c>
      <c r="C8" s="7">
        <v>16002.0</v>
      </c>
      <c r="D8" s="8">
        <f t="shared" si="3"/>
        <v>195100</v>
      </c>
      <c r="E8" s="7">
        <v>782000.0</v>
      </c>
      <c r="F8" s="7">
        <f t="shared" si="4"/>
        <v>961098</v>
      </c>
      <c r="G8" s="8">
        <f t="shared" si="2"/>
        <v>4538432</v>
      </c>
      <c r="H8" s="9"/>
    </row>
    <row r="9">
      <c r="A9" s="3">
        <v>8.0</v>
      </c>
      <c r="B9" s="5"/>
      <c r="C9" s="5"/>
      <c r="D9" s="4"/>
      <c r="E9" s="5"/>
      <c r="F9" s="4"/>
      <c r="G9" s="4"/>
    </row>
    <row r="10">
      <c r="A10" s="6">
        <v>9.0</v>
      </c>
      <c r="B10" s="7">
        <v>28700.0</v>
      </c>
      <c r="C10" s="7">
        <v>5453.0</v>
      </c>
      <c r="D10" s="8">
        <f t="shared" ref="D10:D15" si="5">C10+B10</f>
        <v>34153</v>
      </c>
      <c r="E10" s="7">
        <v>453000.0</v>
      </c>
      <c r="F10" s="8">
        <f t="shared" ref="F10:F15" si="6">E10+B10</f>
        <v>481700</v>
      </c>
      <c r="G10" s="8">
        <f>G8+F10</f>
        <v>5020132</v>
      </c>
    </row>
    <row r="11">
      <c r="A11" s="6">
        <v>10.0</v>
      </c>
      <c r="B11" s="7">
        <v>86857.0</v>
      </c>
      <c r="C11" s="7">
        <v>4343.0</v>
      </c>
      <c r="D11" s="8">
        <f t="shared" si="5"/>
        <v>91200</v>
      </c>
      <c r="E11" s="7">
        <v>300000.0</v>
      </c>
      <c r="F11" s="8">
        <f t="shared" si="6"/>
        <v>386857</v>
      </c>
      <c r="G11" s="8">
        <f t="shared" ref="G11:G15" si="7">G10+F11</f>
        <v>5406989</v>
      </c>
    </row>
    <row r="12">
      <c r="A12" s="6">
        <v>11.0</v>
      </c>
      <c r="B12" s="7">
        <v>266353.0</v>
      </c>
      <c r="C12" s="7">
        <v>30306.0</v>
      </c>
      <c r="D12" s="8">
        <f t="shared" si="5"/>
        <v>296659</v>
      </c>
      <c r="E12" s="7">
        <v>245000.0</v>
      </c>
      <c r="F12" s="8">
        <f t="shared" si="6"/>
        <v>511353</v>
      </c>
      <c r="G12" s="7">
        <f t="shared" si="7"/>
        <v>5918342</v>
      </c>
    </row>
    <row r="13">
      <c r="A13" s="6">
        <v>12.0</v>
      </c>
      <c r="B13" s="7">
        <v>239702.0</v>
      </c>
      <c r="C13" s="7">
        <v>34596.0</v>
      </c>
      <c r="D13" s="8">
        <f t="shared" si="5"/>
        <v>274298</v>
      </c>
      <c r="E13" s="7">
        <v>506000.0</v>
      </c>
      <c r="F13" s="8">
        <f t="shared" si="6"/>
        <v>745702</v>
      </c>
      <c r="G13" s="8">
        <f t="shared" si="7"/>
        <v>6664044</v>
      </c>
    </row>
    <row r="14">
      <c r="A14" s="6">
        <v>13.0</v>
      </c>
      <c r="B14" s="7">
        <v>11429.0</v>
      </c>
      <c r="C14" s="7">
        <v>2171.0</v>
      </c>
      <c r="D14" s="8">
        <f t="shared" si="5"/>
        <v>13600</v>
      </c>
      <c r="E14" s="7">
        <v>317000.0</v>
      </c>
      <c r="F14" s="8">
        <f t="shared" si="6"/>
        <v>328429</v>
      </c>
      <c r="G14" s="8">
        <f t="shared" si="7"/>
        <v>6992473</v>
      </c>
    </row>
    <row r="15">
      <c r="A15" s="6">
        <v>14.0</v>
      </c>
      <c r="B15" s="7">
        <v>291821.0</v>
      </c>
      <c r="C15" s="7">
        <v>52180.0</v>
      </c>
      <c r="D15" s="8">
        <f t="shared" si="5"/>
        <v>344001</v>
      </c>
      <c r="E15" s="7">
        <v>823000.0</v>
      </c>
      <c r="F15" s="8">
        <f t="shared" si="6"/>
        <v>1114821</v>
      </c>
      <c r="G15" s="8">
        <f t="shared" si="7"/>
        <v>8107294</v>
      </c>
    </row>
    <row r="16">
      <c r="A16" s="3">
        <v>15.0</v>
      </c>
      <c r="B16" s="5"/>
      <c r="C16" s="5"/>
      <c r="D16" s="4"/>
      <c r="E16" s="5"/>
      <c r="F16" s="4"/>
      <c r="G16" s="4"/>
    </row>
    <row r="17">
      <c r="A17" s="6">
        <v>16.0</v>
      </c>
      <c r="B17" s="7">
        <v>127986.0</v>
      </c>
      <c r="C17" s="7">
        <v>10798.0</v>
      </c>
      <c r="D17" s="7">
        <f t="shared" ref="D17:D22" si="8">C17+B17</f>
        <v>138784</v>
      </c>
      <c r="E17" s="7">
        <v>297000.0</v>
      </c>
      <c r="F17" s="8">
        <f t="shared" ref="F17:F22" si="9">E17+B17</f>
        <v>424986</v>
      </c>
      <c r="G17" s="8">
        <f>F17+G15</f>
        <v>8532280</v>
      </c>
    </row>
    <row r="18">
      <c r="A18" s="6">
        <v>17.0</v>
      </c>
      <c r="B18" s="7">
        <v>423162.0</v>
      </c>
      <c r="C18" s="7">
        <v>45536.0</v>
      </c>
      <c r="D18" s="8">
        <f t="shared" si="8"/>
        <v>468698</v>
      </c>
      <c r="E18" s="7">
        <v>561000.0</v>
      </c>
      <c r="F18" s="8">
        <f t="shared" si="9"/>
        <v>984162</v>
      </c>
      <c r="G18" s="8">
        <f t="shared" ref="G18:G22" si="10">G17+F18</f>
        <v>9516442</v>
      </c>
    </row>
    <row r="19">
      <c r="A19" s="6">
        <v>18.0</v>
      </c>
      <c r="B19" s="7">
        <v>35602.0</v>
      </c>
      <c r="C19" s="7">
        <v>5298.0</v>
      </c>
      <c r="D19" s="8">
        <f t="shared" si="8"/>
        <v>40900</v>
      </c>
      <c r="E19" s="7">
        <v>419000.0</v>
      </c>
      <c r="F19" s="8">
        <f t="shared" si="9"/>
        <v>454602</v>
      </c>
      <c r="G19" s="8">
        <f t="shared" si="10"/>
        <v>9971044</v>
      </c>
    </row>
    <row r="20">
      <c r="A20" s="6">
        <v>19.0</v>
      </c>
      <c r="B20" s="7">
        <v>438346.0</v>
      </c>
      <c r="C20" s="7">
        <v>32951.0</v>
      </c>
      <c r="D20" s="8">
        <f t="shared" si="8"/>
        <v>471297</v>
      </c>
      <c r="E20" s="7">
        <v>511000.0</v>
      </c>
      <c r="F20" s="8">
        <f t="shared" si="9"/>
        <v>949346</v>
      </c>
      <c r="G20" s="8">
        <f t="shared" si="10"/>
        <v>10920390</v>
      </c>
    </row>
    <row r="21">
      <c r="A21" s="6">
        <v>20.0</v>
      </c>
      <c r="B21" s="7">
        <v>184041.0</v>
      </c>
      <c r="C21" s="7">
        <v>7257.0</v>
      </c>
      <c r="D21" s="8">
        <f t="shared" si="8"/>
        <v>191298</v>
      </c>
      <c r="E21" s="7">
        <v>622000.0</v>
      </c>
      <c r="F21" s="8">
        <f t="shared" si="9"/>
        <v>806041</v>
      </c>
      <c r="G21" s="8">
        <f t="shared" si="10"/>
        <v>11726431</v>
      </c>
    </row>
    <row r="22">
      <c r="A22" s="6">
        <v>21.0</v>
      </c>
      <c r="B22" s="7">
        <v>169995.0</v>
      </c>
      <c r="C22" s="7">
        <v>8105.0</v>
      </c>
      <c r="D22" s="8">
        <f t="shared" si="8"/>
        <v>178100</v>
      </c>
      <c r="E22" s="7">
        <v>930000.0</v>
      </c>
      <c r="F22" s="8">
        <f t="shared" si="9"/>
        <v>1099995</v>
      </c>
      <c r="G22" s="8">
        <f t="shared" si="10"/>
        <v>12826426</v>
      </c>
    </row>
    <row r="23">
      <c r="A23" s="3">
        <v>22.0</v>
      </c>
      <c r="B23" s="5"/>
      <c r="C23" s="5"/>
      <c r="D23" s="4"/>
      <c r="E23" s="5"/>
      <c r="F23" s="4"/>
      <c r="G23" s="4"/>
    </row>
    <row r="24">
      <c r="A24" s="6">
        <v>23.0</v>
      </c>
      <c r="B24" s="7">
        <v>222480.0</v>
      </c>
      <c r="C24" s="7">
        <v>9019.0</v>
      </c>
      <c r="D24" s="8">
        <f t="shared" ref="D24:D29" si="11">C24+B24</f>
        <v>231499</v>
      </c>
      <c r="E24" s="7">
        <v>502000.0</v>
      </c>
      <c r="F24" s="8">
        <f t="shared" ref="F24:F28" si="12">E24+B24</f>
        <v>724480</v>
      </c>
      <c r="G24" s="8">
        <f>G22+F24</f>
        <v>13550906</v>
      </c>
    </row>
    <row r="25">
      <c r="A25" s="6">
        <v>24.0</v>
      </c>
      <c r="B25" s="7">
        <v>169540.0</v>
      </c>
      <c r="C25" s="7">
        <v>18959.0</v>
      </c>
      <c r="D25" s="8">
        <f t="shared" si="11"/>
        <v>188499</v>
      </c>
      <c r="E25" s="7">
        <v>641000.0</v>
      </c>
      <c r="F25" s="8">
        <f t="shared" si="12"/>
        <v>810540</v>
      </c>
      <c r="G25" s="8">
        <f t="shared" ref="G25:G29" si="13">G24+F25</f>
        <v>14361446</v>
      </c>
    </row>
    <row r="26">
      <c r="A26" s="6">
        <v>25.0</v>
      </c>
      <c r="B26" s="7">
        <v>26957.0</v>
      </c>
      <c r="C26" s="7">
        <v>5125.0</v>
      </c>
      <c r="D26" s="8">
        <f t="shared" si="11"/>
        <v>32082</v>
      </c>
      <c r="E26" s="7">
        <v>159000.0</v>
      </c>
      <c r="F26" s="8">
        <f t="shared" si="12"/>
        <v>185957</v>
      </c>
      <c r="G26" s="8">
        <f t="shared" si="13"/>
        <v>14547403</v>
      </c>
    </row>
    <row r="27">
      <c r="A27" s="6">
        <v>26.0</v>
      </c>
      <c r="B27" s="7">
        <v>268092.0</v>
      </c>
      <c r="C27" s="7">
        <v>13405.0</v>
      </c>
      <c r="D27" s="8">
        <f t="shared" si="11"/>
        <v>281497</v>
      </c>
      <c r="E27" s="7">
        <v>422000.0</v>
      </c>
      <c r="F27" s="8">
        <f t="shared" si="12"/>
        <v>690092</v>
      </c>
      <c r="G27" s="8">
        <f t="shared" si="13"/>
        <v>15237495</v>
      </c>
    </row>
    <row r="28">
      <c r="A28" s="6">
        <v>27.0</v>
      </c>
      <c r="B28" s="7">
        <v>153533.0</v>
      </c>
      <c r="C28" s="7">
        <v>21188.0</v>
      </c>
      <c r="D28" s="7">
        <f t="shared" si="11"/>
        <v>174721</v>
      </c>
      <c r="E28" s="7">
        <v>369000.0</v>
      </c>
      <c r="F28" s="8">
        <f t="shared" si="12"/>
        <v>522533</v>
      </c>
      <c r="G28" s="8">
        <f t="shared" si="13"/>
        <v>15760028</v>
      </c>
    </row>
    <row r="29">
      <c r="A29" s="6">
        <v>28.0</v>
      </c>
      <c r="B29" s="7">
        <v>468294.0</v>
      </c>
      <c r="C29" s="7">
        <v>24592.0</v>
      </c>
      <c r="D29" s="8">
        <f t="shared" si="11"/>
        <v>492886</v>
      </c>
      <c r="E29" s="7">
        <v>567000.0</v>
      </c>
      <c r="F29" s="8">
        <f>B29+E29</f>
        <v>1035294</v>
      </c>
      <c r="G29" s="8">
        <f t="shared" si="13"/>
        <v>16795322</v>
      </c>
    </row>
    <row r="30">
      <c r="A30" s="10" t="s">
        <v>6</v>
      </c>
      <c r="B30" s="11">
        <f>SUM(B3:B29)</f>
        <v>4835322</v>
      </c>
      <c r="C30" s="11">
        <f t="shared" ref="C30:D30" si="14">SUM(C6:C29)</f>
        <v>365909</v>
      </c>
      <c r="D30" s="11">
        <f t="shared" si="14"/>
        <v>4272914</v>
      </c>
      <c r="E30" s="11">
        <f t="shared" ref="E30:F30" si="15">SUM(E3:E29)</f>
        <v>11960000</v>
      </c>
      <c r="F30" s="11">
        <f t="shared" si="15"/>
        <v>16795322</v>
      </c>
      <c r="G30" s="11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3"/>
    </row>
    <row r="32">
      <c r="A32" s="13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16.25"/>
  </cols>
  <sheetData>
    <row r="1">
      <c r="A1" s="1"/>
      <c r="B1" s="2" t="s">
        <v>0</v>
      </c>
      <c r="C1" s="2" t="s">
        <v>3</v>
      </c>
    </row>
    <row r="2">
      <c r="A2" s="3">
        <v>1.0</v>
      </c>
      <c r="B2" s="4"/>
      <c r="C2" s="4"/>
    </row>
    <row r="3">
      <c r="A3" s="6">
        <v>2.0</v>
      </c>
      <c r="B3" s="14">
        <v>333600.0</v>
      </c>
      <c r="C3" s="14">
        <v>233000.0</v>
      </c>
    </row>
    <row r="4">
      <c r="A4" s="6">
        <v>3.0</v>
      </c>
      <c r="B4" s="14">
        <v>86350.0</v>
      </c>
      <c r="C4" s="14">
        <v>384000.0</v>
      </c>
    </row>
    <row r="5">
      <c r="A5" s="6">
        <v>4.0</v>
      </c>
      <c r="B5" s="14">
        <v>0.0</v>
      </c>
      <c r="C5" s="14">
        <v>379000.0</v>
      </c>
      <c r="D5" s="9">
        <v>1883250.0</v>
      </c>
    </row>
    <row r="6">
      <c r="A6" s="6">
        <v>5.0</v>
      </c>
      <c r="B6" s="14">
        <v>11000.0</v>
      </c>
      <c r="C6" s="14">
        <v>174000.0</v>
      </c>
    </row>
    <row r="7">
      <c r="A7" s="6">
        <v>6.0</v>
      </c>
      <c r="B7" s="14">
        <v>0.0</v>
      </c>
      <c r="C7" s="14">
        <v>248000.0</v>
      </c>
    </row>
    <row r="8">
      <c r="A8" s="6">
        <v>7.0</v>
      </c>
      <c r="B8" s="14">
        <v>0.0</v>
      </c>
      <c r="C8" s="14">
        <v>475000.0</v>
      </c>
      <c r="D8" s="9"/>
    </row>
    <row r="9">
      <c r="A9" s="3">
        <v>8.0</v>
      </c>
      <c r="B9" s="5"/>
      <c r="C9" s="5"/>
    </row>
    <row r="10">
      <c r="A10" s="6">
        <v>9.0</v>
      </c>
      <c r="B10" s="14">
        <v>34200.0</v>
      </c>
      <c r="C10" s="14">
        <v>230000.0</v>
      </c>
      <c r="D10" s="9">
        <v>717150.0</v>
      </c>
      <c r="E10" s="9">
        <v>953150.0</v>
      </c>
      <c r="F10" s="9">
        <v>1287000.0</v>
      </c>
      <c r="H10" s="15" t="s">
        <v>7</v>
      </c>
    </row>
    <row r="11">
      <c r="A11" s="6">
        <v>10.0</v>
      </c>
      <c r="B11" s="14">
        <v>91200.0</v>
      </c>
      <c r="C11" s="14">
        <v>224000.0</v>
      </c>
      <c r="D11" s="9">
        <v>1183450.0</v>
      </c>
      <c r="E11" s="9">
        <v>1452450.0</v>
      </c>
    </row>
    <row r="12">
      <c r="A12" s="6">
        <v>11.0</v>
      </c>
      <c r="B12" s="14">
        <v>136200.0</v>
      </c>
      <c r="C12" s="14">
        <v>60000.0</v>
      </c>
      <c r="D12" s="9">
        <v>707350.0</v>
      </c>
    </row>
    <row r="13">
      <c r="A13" s="6">
        <v>12.0</v>
      </c>
      <c r="B13" s="14">
        <v>227000.0</v>
      </c>
      <c r="C13" s="14">
        <v>98000.0</v>
      </c>
      <c r="D13" s="9">
        <v>783300.0</v>
      </c>
    </row>
    <row r="14">
      <c r="A14" s="6">
        <v>13.0</v>
      </c>
      <c r="B14" s="7">
        <v>0.0</v>
      </c>
      <c r="C14" s="14">
        <v>86000.0</v>
      </c>
      <c r="D14" s="9">
        <v>485150.0</v>
      </c>
    </row>
    <row r="15">
      <c r="A15" s="6">
        <v>14.0</v>
      </c>
      <c r="B15" s="14">
        <v>39500.0</v>
      </c>
      <c r="C15" s="14">
        <v>275000.0</v>
      </c>
    </row>
    <row r="16">
      <c r="A16" s="3">
        <v>15.0</v>
      </c>
      <c r="B16" s="5"/>
      <c r="C16" s="5"/>
    </row>
    <row r="17">
      <c r="A17" s="6">
        <v>16.0</v>
      </c>
      <c r="B17" s="14">
        <v>37400.0</v>
      </c>
      <c r="C17" s="14">
        <v>66000.0</v>
      </c>
    </row>
    <row r="18">
      <c r="A18" s="6">
        <v>17.0</v>
      </c>
      <c r="B18" s="14">
        <v>66700.0</v>
      </c>
      <c r="C18" s="14">
        <v>308000.0</v>
      </c>
      <c r="D18" s="9">
        <v>707150.0</v>
      </c>
    </row>
    <row r="19">
      <c r="A19" s="6">
        <v>18.0</v>
      </c>
      <c r="B19" s="14">
        <v>0.0</v>
      </c>
      <c r="C19" s="14">
        <v>0.0</v>
      </c>
      <c r="D19" s="9">
        <v>383500.0</v>
      </c>
    </row>
    <row r="20">
      <c r="A20" s="6">
        <v>19.0</v>
      </c>
      <c r="B20" s="14">
        <v>169600.0</v>
      </c>
      <c r="C20" s="14">
        <v>264000.0</v>
      </c>
      <c r="D20" s="9">
        <v>811550.0</v>
      </c>
    </row>
    <row r="21">
      <c r="A21" s="6">
        <v>20.0</v>
      </c>
      <c r="B21" s="14">
        <v>91900.0</v>
      </c>
      <c r="C21" s="14">
        <v>285000.0</v>
      </c>
      <c r="D21" s="9">
        <v>1225250.0</v>
      </c>
    </row>
    <row r="22">
      <c r="A22" s="6">
        <v>21.0</v>
      </c>
      <c r="B22" s="14">
        <v>150600.0</v>
      </c>
      <c r="C22" s="14">
        <v>185000.0</v>
      </c>
      <c r="D22" s="9">
        <v>736150.0</v>
      </c>
    </row>
    <row r="23">
      <c r="A23" s="3">
        <v>22.0</v>
      </c>
      <c r="B23" s="5"/>
      <c r="C23" s="5"/>
    </row>
    <row r="24">
      <c r="A24" s="6">
        <v>23.0</v>
      </c>
      <c r="B24" s="14">
        <v>231500.0</v>
      </c>
      <c r="C24" s="14">
        <v>272000.0</v>
      </c>
      <c r="D24" s="9">
        <v>1237950.0</v>
      </c>
    </row>
    <row r="25">
      <c r="A25" s="6">
        <v>24.0</v>
      </c>
      <c r="B25" s="14">
        <v>115600.0</v>
      </c>
      <c r="C25" s="14">
        <v>630000.0</v>
      </c>
      <c r="D25" s="9">
        <v>1170750.0</v>
      </c>
    </row>
    <row r="26">
      <c r="A26" s="6">
        <v>25.0</v>
      </c>
      <c r="B26" s="14">
        <v>32100.0</v>
      </c>
      <c r="C26" s="14">
        <v>69000.0</v>
      </c>
      <c r="D26" s="9">
        <v>544750.0</v>
      </c>
    </row>
    <row r="27">
      <c r="A27" s="6">
        <v>26.0</v>
      </c>
      <c r="B27" s="14">
        <v>154600.0</v>
      </c>
      <c r="C27" s="14">
        <v>102000.0</v>
      </c>
      <c r="D27" s="9">
        <v>724350.0</v>
      </c>
    </row>
    <row r="28">
      <c r="A28" s="6">
        <v>27.0</v>
      </c>
      <c r="B28" s="14">
        <v>154900.0</v>
      </c>
      <c r="C28" s="14">
        <v>132000.0</v>
      </c>
      <c r="D28" s="9">
        <v>609450.0</v>
      </c>
    </row>
    <row r="29">
      <c r="A29" s="6">
        <v>28.0</v>
      </c>
      <c r="B29" s="14">
        <v>0.0</v>
      </c>
      <c r="C29" s="14">
        <v>312000.0</v>
      </c>
    </row>
    <row r="30">
      <c r="A30" s="10" t="s">
        <v>6</v>
      </c>
      <c r="B30" s="11">
        <f t="shared" ref="B30:C30" si="1">SUM(B6:B29)</f>
        <v>1744000</v>
      </c>
      <c r="C30" s="11">
        <f t="shared" si="1"/>
        <v>4495000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</row>
    <row r="31">
      <c r="A31" s="13"/>
    </row>
    <row r="32">
      <c r="A32" s="13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8.38"/>
    <col customWidth="1" min="4" max="4" width="18.5"/>
    <col customWidth="1" min="5" max="5" width="16.25"/>
    <col customWidth="1" min="6" max="6" width="18.5"/>
    <col customWidth="1" min="7" max="7" width="17.75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>
      <c r="A2" s="3">
        <v>1.0</v>
      </c>
      <c r="B2" s="4"/>
      <c r="C2" s="4"/>
      <c r="D2" s="4"/>
      <c r="E2" s="4"/>
      <c r="F2" s="4"/>
      <c r="G2" s="4"/>
    </row>
    <row r="3">
      <c r="A3" s="6">
        <v>2.0</v>
      </c>
      <c r="B3" s="7">
        <v>378356.0</v>
      </c>
      <c r="C3" s="7">
        <v>26224.0</v>
      </c>
      <c r="D3" s="8">
        <f t="shared" ref="D3:D8" si="1">C3+B3</f>
        <v>404580</v>
      </c>
      <c r="E3" s="7">
        <v>475000.0</v>
      </c>
      <c r="F3" s="8">
        <f t="shared" ref="F3:F8" si="2">E3+B3</f>
        <v>853356</v>
      </c>
      <c r="G3" s="8">
        <f>F3</f>
        <v>853356</v>
      </c>
    </row>
    <row r="4">
      <c r="A4" s="6">
        <v>3.0</v>
      </c>
      <c r="B4" s="7">
        <v>169104.0</v>
      </c>
      <c r="C4" s="7">
        <v>14597.0</v>
      </c>
      <c r="D4" s="8">
        <f t="shared" si="1"/>
        <v>183701</v>
      </c>
      <c r="E4" s="7">
        <v>945000.0</v>
      </c>
      <c r="F4" s="8">
        <f t="shared" si="2"/>
        <v>1114104</v>
      </c>
      <c r="G4" s="8">
        <f t="shared" ref="G4:G8" si="3">G3+F4</f>
        <v>1967460</v>
      </c>
    </row>
    <row r="5">
      <c r="A5" s="6">
        <v>4.0</v>
      </c>
      <c r="B5" s="7">
        <v>202609.0</v>
      </c>
      <c r="C5" s="7">
        <v>16149.0</v>
      </c>
      <c r="D5" s="8">
        <f t="shared" si="1"/>
        <v>218758</v>
      </c>
      <c r="E5" s="7">
        <v>355000.0</v>
      </c>
      <c r="F5" s="8">
        <f t="shared" si="2"/>
        <v>557609</v>
      </c>
      <c r="G5" s="8">
        <f t="shared" si="3"/>
        <v>2525069</v>
      </c>
    </row>
    <row r="6">
      <c r="A6" s="6">
        <v>5.0</v>
      </c>
      <c r="B6" s="7">
        <v>232289.0</v>
      </c>
      <c r="C6" s="7">
        <v>28412.0</v>
      </c>
      <c r="D6" s="8">
        <f t="shared" si="1"/>
        <v>260701</v>
      </c>
      <c r="E6" s="7">
        <v>446000.0</v>
      </c>
      <c r="F6" s="8">
        <f t="shared" si="2"/>
        <v>678289</v>
      </c>
      <c r="G6" s="8">
        <f t="shared" si="3"/>
        <v>3203358</v>
      </c>
    </row>
    <row r="7">
      <c r="A7" s="6">
        <v>6.0</v>
      </c>
      <c r="B7" s="7">
        <v>203019.0</v>
      </c>
      <c r="C7" s="7">
        <v>16080.0</v>
      </c>
      <c r="D7" s="8">
        <f t="shared" si="1"/>
        <v>219099</v>
      </c>
      <c r="E7" s="7">
        <v>623000.0</v>
      </c>
      <c r="F7" s="8">
        <f t="shared" si="2"/>
        <v>826019</v>
      </c>
      <c r="G7" s="8">
        <f t="shared" si="3"/>
        <v>4029377</v>
      </c>
    </row>
    <row r="8">
      <c r="A8" s="6">
        <v>7.0</v>
      </c>
      <c r="B8" s="7">
        <v>272828.0</v>
      </c>
      <c r="C8" s="7">
        <v>14053.0</v>
      </c>
      <c r="D8" s="8">
        <f t="shared" si="1"/>
        <v>286881</v>
      </c>
      <c r="E8" s="7">
        <v>1099000.0</v>
      </c>
      <c r="F8" s="7">
        <f t="shared" si="2"/>
        <v>1371828</v>
      </c>
      <c r="G8" s="8">
        <f t="shared" si="3"/>
        <v>5401205</v>
      </c>
      <c r="H8" s="9"/>
    </row>
    <row r="9">
      <c r="A9" s="3">
        <v>8.0</v>
      </c>
      <c r="B9" s="5"/>
      <c r="C9" s="5"/>
      <c r="D9" s="4"/>
      <c r="E9" s="5"/>
      <c r="F9" s="4"/>
      <c r="G9" s="4"/>
    </row>
    <row r="10">
      <c r="A10" s="6">
        <v>9.0</v>
      </c>
      <c r="B10" s="7">
        <v>173746.0</v>
      </c>
      <c r="C10" s="7">
        <v>13029.0</v>
      </c>
      <c r="D10" s="8">
        <f t="shared" ref="D10:D13" si="4">C10+B10</f>
        <v>186775</v>
      </c>
      <c r="E10" s="7">
        <v>379000.0</v>
      </c>
      <c r="F10" s="8">
        <f t="shared" ref="F10:F12" si="5">E10+B10</f>
        <v>552746</v>
      </c>
      <c r="G10" s="8">
        <f>G8+F10</f>
        <v>5953951</v>
      </c>
    </row>
    <row r="11">
      <c r="A11" s="6">
        <v>10.0</v>
      </c>
      <c r="B11" s="7">
        <v>201690.0</v>
      </c>
      <c r="C11" s="7">
        <v>22239.0</v>
      </c>
      <c r="D11" s="8">
        <f t="shared" si="4"/>
        <v>223929</v>
      </c>
      <c r="E11" s="7">
        <v>430000.0</v>
      </c>
      <c r="F11" s="8">
        <f t="shared" si="5"/>
        <v>631690</v>
      </c>
      <c r="G11" s="8">
        <f t="shared" ref="G11:G15" si="6">G10+F11</f>
        <v>6585641</v>
      </c>
    </row>
    <row r="12">
      <c r="A12" s="6">
        <v>11.0</v>
      </c>
      <c r="B12" s="7">
        <v>165771.0</v>
      </c>
      <c r="C12" s="7">
        <v>9229.0</v>
      </c>
      <c r="D12" s="8">
        <f t="shared" si="4"/>
        <v>175000</v>
      </c>
      <c r="E12" s="7">
        <v>627000.0</v>
      </c>
      <c r="F12" s="8">
        <f t="shared" si="5"/>
        <v>792771</v>
      </c>
      <c r="G12" s="7">
        <f t="shared" si="6"/>
        <v>7378412</v>
      </c>
    </row>
    <row r="13">
      <c r="A13" s="6">
        <v>12.0</v>
      </c>
      <c r="B13" s="7">
        <v>76863.0</v>
      </c>
      <c r="C13" s="7">
        <v>13137.0</v>
      </c>
      <c r="D13" s="8">
        <f t="shared" si="4"/>
        <v>90000</v>
      </c>
      <c r="E13" s="7">
        <v>611000.0</v>
      </c>
      <c r="F13" s="8">
        <f t="shared" ref="F13:F15" si="7">B13+E13</f>
        <v>687863</v>
      </c>
      <c r="G13" s="8">
        <f t="shared" si="6"/>
        <v>8066275</v>
      </c>
    </row>
    <row r="14">
      <c r="A14" s="6">
        <v>13.0</v>
      </c>
      <c r="B14" s="7">
        <v>113219.0</v>
      </c>
      <c r="C14" s="7">
        <v>5661.0</v>
      </c>
      <c r="D14" s="8">
        <f t="shared" ref="D14:D15" si="8">B14+C14</f>
        <v>118880</v>
      </c>
      <c r="E14" s="7">
        <v>161000.0</v>
      </c>
      <c r="F14" s="8">
        <f t="shared" si="7"/>
        <v>274219</v>
      </c>
      <c r="G14" s="8">
        <f t="shared" si="6"/>
        <v>8340494</v>
      </c>
    </row>
    <row r="15">
      <c r="A15" s="6">
        <v>14.0</v>
      </c>
      <c r="B15" s="7">
        <v>236804.0</v>
      </c>
      <c r="C15" s="7">
        <v>12677.0</v>
      </c>
      <c r="D15" s="8">
        <f t="shared" si="8"/>
        <v>249481</v>
      </c>
      <c r="E15" s="7">
        <v>751000.0</v>
      </c>
      <c r="F15" s="8">
        <f t="shared" si="7"/>
        <v>987804</v>
      </c>
      <c r="G15" s="8">
        <f t="shared" si="6"/>
        <v>9328298</v>
      </c>
    </row>
    <row r="16">
      <c r="A16" s="3">
        <v>15.0</v>
      </c>
      <c r="B16" s="5"/>
      <c r="C16" s="5"/>
      <c r="D16" s="4"/>
      <c r="E16" s="5"/>
      <c r="F16" s="4"/>
      <c r="G16" s="4"/>
    </row>
    <row r="17">
      <c r="A17" s="6">
        <v>16.0</v>
      </c>
      <c r="B17" s="7">
        <v>139094.0</v>
      </c>
      <c r="C17" s="7">
        <v>6955.0</v>
      </c>
      <c r="D17" s="7">
        <f t="shared" ref="D17:D22" si="9">C17+B17</f>
        <v>146049</v>
      </c>
      <c r="E17" s="7">
        <v>529000.0</v>
      </c>
      <c r="F17" s="8">
        <f t="shared" ref="F17:F22" si="10">E17+B17</f>
        <v>668094</v>
      </c>
      <c r="G17" s="8">
        <f>G15+F17</f>
        <v>9996392</v>
      </c>
    </row>
    <row r="18">
      <c r="A18" s="6">
        <v>17.0</v>
      </c>
      <c r="B18" s="7">
        <v>160104.0</v>
      </c>
      <c r="C18" s="7">
        <v>10296.0</v>
      </c>
      <c r="D18" s="8">
        <f t="shared" si="9"/>
        <v>170400</v>
      </c>
      <c r="E18" s="7">
        <v>112000.0</v>
      </c>
      <c r="F18" s="8">
        <f t="shared" si="10"/>
        <v>272104</v>
      </c>
      <c r="G18" s="8">
        <f t="shared" ref="G18:G22" si="11">G17+F18</f>
        <v>10268496</v>
      </c>
    </row>
    <row r="19">
      <c r="A19" s="6">
        <v>18.0</v>
      </c>
      <c r="B19" s="7">
        <v>247641.0</v>
      </c>
      <c r="C19" s="7">
        <v>22959.0</v>
      </c>
      <c r="D19" s="8">
        <f t="shared" si="9"/>
        <v>270600</v>
      </c>
      <c r="E19" s="7">
        <v>294000.0</v>
      </c>
      <c r="F19" s="8">
        <f t="shared" si="10"/>
        <v>541641</v>
      </c>
      <c r="G19" s="8">
        <f t="shared" si="11"/>
        <v>10810137</v>
      </c>
    </row>
    <row r="20">
      <c r="A20" s="6">
        <v>19.0</v>
      </c>
      <c r="B20" s="7">
        <v>74995.0</v>
      </c>
      <c r="C20" s="7">
        <v>1805.0</v>
      </c>
      <c r="D20" s="8">
        <f t="shared" si="9"/>
        <v>76800</v>
      </c>
      <c r="E20" s="7">
        <v>626000.0</v>
      </c>
      <c r="F20" s="8">
        <f t="shared" si="10"/>
        <v>700995</v>
      </c>
      <c r="G20" s="8">
        <f t="shared" si="11"/>
        <v>11511132</v>
      </c>
    </row>
    <row r="21">
      <c r="A21" s="6">
        <v>20.0</v>
      </c>
      <c r="B21" s="7">
        <v>130476.0</v>
      </c>
      <c r="C21" s="7">
        <v>11004.0</v>
      </c>
      <c r="D21" s="8">
        <f t="shared" si="9"/>
        <v>141480</v>
      </c>
      <c r="E21" s="7">
        <v>526000.0</v>
      </c>
      <c r="F21" s="8">
        <f t="shared" si="10"/>
        <v>656476</v>
      </c>
      <c r="G21" s="8">
        <f t="shared" si="11"/>
        <v>12167608</v>
      </c>
    </row>
    <row r="22">
      <c r="A22" s="6">
        <v>21.0</v>
      </c>
      <c r="B22" s="7">
        <v>548241.0</v>
      </c>
      <c r="C22" s="7">
        <v>36857.0</v>
      </c>
      <c r="D22" s="8">
        <f t="shared" si="9"/>
        <v>585098</v>
      </c>
      <c r="E22" s="7">
        <v>928000.0</v>
      </c>
      <c r="F22" s="8">
        <f t="shared" si="10"/>
        <v>1476241</v>
      </c>
      <c r="G22" s="8">
        <f t="shared" si="11"/>
        <v>13643849</v>
      </c>
    </row>
    <row r="23">
      <c r="A23" s="3">
        <v>22.0</v>
      </c>
      <c r="B23" s="5"/>
      <c r="C23" s="5"/>
      <c r="D23" s="4"/>
      <c r="E23" s="5"/>
      <c r="F23" s="4"/>
      <c r="G23" s="4"/>
    </row>
    <row r="24">
      <c r="A24" s="17"/>
      <c r="B24" s="17"/>
      <c r="C24" s="17"/>
      <c r="D24" s="17"/>
      <c r="E24" s="17"/>
      <c r="F24" s="17"/>
      <c r="G24" s="17"/>
    </row>
    <row r="25">
      <c r="A25" s="6">
        <v>23.0</v>
      </c>
      <c r="B25" s="7">
        <v>142642.0</v>
      </c>
      <c r="C25" s="7">
        <v>15331.0</v>
      </c>
      <c r="D25" s="8">
        <f t="shared" ref="D25:D29" si="12">C25+B25</f>
        <v>157973</v>
      </c>
      <c r="E25" s="7">
        <v>661000.0</v>
      </c>
      <c r="F25" s="8">
        <f t="shared" ref="F25:F29" si="13">E25+B25</f>
        <v>803642</v>
      </c>
      <c r="G25" s="8">
        <f>G22+F25</f>
        <v>14447491</v>
      </c>
    </row>
    <row r="26">
      <c r="A26" s="6">
        <v>24.0</v>
      </c>
      <c r="B26" s="7">
        <v>238580.0</v>
      </c>
      <c r="C26" s="7">
        <v>39214.0</v>
      </c>
      <c r="D26" s="8">
        <f t="shared" si="12"/>
        <v>277794</v>
      </c>
      <c r="E26" s="7">
        <v>555000.0</v>
      </c>
      <c r="F26" s="8">
        <f t="shared" si="13"/>
        <v>793580</v>
      </c>
      <c r="G26" s="8">
        <f t="shared" ref="G26:G29" si="14">G25+F26</f>
        <v>15241071</v>
      </c>
    </row>
    <row r="27">
      <c r="A27" s="6">
        <v>26.0</v>
      </c>
      <c r="B27" s="7">
        <v>272128.0</v>
      </c>
      <c r="C27" s="7">
        <v>18453.0</v>
      </c>
      <c r="D27" s="8">
        <f t="shared" si="12"/>
        <v>290581</v>
      </c>
      <c r="E27" s="7">
        <v>630000.0</v>
      </c>
      <c r="F27" s="8">
        <f t="shared" si="13"/>
        <v>902128</v>
      </c>
      <c r="G27" s="8">
        <f t="shared" si="14"/>
        <v>16143199</v>
      </c>
    </row>
    <row r="28">
      <c r="A28" s="6">
        <v>27.0</v>
      </c>
      <c r="B28" s="7">
        <v>55238.0</v>
      </c>
      <c r="C28" s="7">
        <v>2762.0</v>
      </c>
      <c r="D28" s="7">
        <f t="shared" si="12"/>
        <v>58000</v>
      </c>
      <c r="E28" s="7">
        <v>463000.0</v>
      </c>
      <c r="F28" s="8">
        <f t="shared" si="13"/>
        <v>518238</v>
      </c>
      <c r="G28" s="8">
        <f t="shared" si="14"/>
        <v>16661437</v>
      </c>
    </row>
    <row r="29">
      <c r="A29" s="6">
        <v>28.0</v>
      </c>
      <c r="B29" s="7">
        <v>347019.0</v>
      </c>
      <c r="C29" s="7">
        <v>39520.0</v>
      </c>
      <c r="D29" s="8">
        <f t="shared" si="12"/>
        <v>386539</v>
      </c>
      <c r="E29" s="7">
        <v>920000.0</v>
      </c>
      <c r="F29" s="8">
        <f t="shared" si="13"/>
        <v>1267019</v>
      </c>
      <c r="G29" s="8">
        <f t="shared" si="14"/>
        <v>17928456</v>
      </c>
    </row>
    <row r="30">
      <c r="A30" s="3">
        <v>29.0</v>
      </c>
      <c r="B30" s="18"/>
      <c r="C30" s="18"/>
      <c r="D30" s="18"/>
      <c r="E30" s="5"/>
      <c r="F30" s="18"/>
      <c r="G30" s="18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6">
        <v>30.0</v>
      </c>
      <c r="B31" s="7">
        <v>231510.0</v>
      </c>
      <c r="C31" s="8">
        <v>6190.0</v>
      </c>
      <c r="D31" s="8">
        <f t="shared" ref="D31:D32" si="15">C31+B31</f>
        <v>237700</v>
      </c>
      <c r="E31" s="7">
        <v>648000.0</v>
      </c>
      <c r="F31" s="8">
        <f t="shared" ref="F31:F32" si="16">E31+B31</f>
        <v>879510</v>
      </c>
      <c r="G31" s="8">
        <f>G29+F31</f>
        <v>18807966</v>
      </c>
    </row>
    <row r="32">
      <c r="A32" s="6">
        <v>31.0</v>
      </c>
      <c r="B32" s="7">
        <v>612041.0</v>
      </c>
      <c r="C32" s="7">
        <v>66732.0</v>
      </c>
      <c r="D32" s="8">
        <f t="shared" si="15"/>
        <v>678773</v>
      </c>
      <c r="E32" s="7">
        <v>1026000.0</v>
      </c>
      <c r="F32" s="8">
        <f t="shared" si="16"/>
        <v>1638041</v>
      </c>
      <c r="G32" s="8">
        <f>G31+F32</f>
        <v>20446007</v>
      </c>
    </row>
    <row r="33">
      <c r="A33" s="10" t="s">
        <v>6</v>
      </c>
      <c r="B33" s="19">
        <f>SUM(B3:B32)</f>
        <v>5626007</v>
      </c>
      <c r="C33" s="11"/>
      <c r="D33" s="11"/>
      <c r="E33" s="19">
        <f>SUM(E3:E32)</f>
        <v>14820000</v>
      </c>
      <c r="F33" s="11"/>
      <c r="G33" s="11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5"/>
    <col customWidth="1" min="3" max="3" width="16.25"/>
  </cols>
  <sheetData>
    <row r="1">
      <c r="A1" s="1"/>
      <c r="B1" s="2" t="s">
        <v>2</v>
      </c>
      <c r="C1" s="2" t="s">
        <v>3</v>
      </c>
    </row>
    <row r="2">
      <c r="A2" s="3">
        <v>1.0</v>
      </c>
      <c r="B2" s="4"/>
      <c r="C2" s="4"/>
    </row>
    <row r="3">
      <c r="A3" s="6">
        <v>2.0</v>
      </c>
      <c r="B3" s="14">
        <v>94700.0</v>
      </c>
      <c r="C3" s="14">
        <v>475000.0</v>
      </c>
      <c r="D3" s="9">
        <v>1386850.0</v>
      </c>
    </row>
    <row r="4">
      <c r="A4" s="6">
        <v>3.0</v>
      </c>
      <c r="B4" s="14">
        <v>129700.0</v>
      </c>
      <c r="C4" s="14">
        <v>390000.0</v>
      </c>
      <c r="D4" s="9">
        <v>1245150.0</v>
      </c>
    </row>
    <row r="5">
      <c r="A5" s="6">
        <v>4.0</v>
      </c>
      <c r="B5" s="14">
        <v>104600.0</v>
      </c>
      <c r="C5" s="14">
        <v>235000.0</v>
      </c>
      <c r="D5" s="9">
        <v>722150.0</v>
      </c>
    </row>
    <row r="6">
      <c r="A6" s="6">
        <v>5.0</v>
      </c>
      <c r="B6" s="14">
        <v>173800.0</v>
      </c>
      <c r="C6" s="14">
        <v>238000.0</v>
      </c>
      <c r="D6" s="9">
        <v>553150.0</v>
      </c>
    </row>
    <row r="7">
      <c r="A7" s="6">
        <v>6.0</v>
      </c>
      <c r="B7" s="14">
        <v>61400.0</v>
      </c>
      <c r="C7" s="14">
        <v>337000.0</v>
      </c>
      <c r="D7" s="9">
        <v>807250.0</v>
      </c>
    </row>
    <row r="8">
      <c r="A8" s="6">
        <v>7.0</v>
      </c>
      <c r="B8" s="7">
        <v>0.0</v>
      </c>
      <c r="C8" s="14">
        <v>608000.0</v>
      </c>
      <c r="D8" s="9">
        <v>991350.0</v>
      </c>
    </row>
    <row r="9">
      <c r="A9" s="3">
        <v>8.0</v>
      </c>
      <c r="B9" s="4"/>
      <c r="C9" s="5"/>
    </row>
    <row r="10">
      <c r="A10" s="6">
        <v>9.0</v>
      </c>
      <c r="B10" s="14">
        <v>36900.0</v>
      </c>
      <c r="C10" s="14">
        <v>379000.0</v>
      </c>
      <c r="D10" s="9">
        <v>752350.0</v>
      </c>
    </row>
    <row r="11">
      <c r="A11" s="6">
        <v>10.0</v>
      </c>
      <c r="B11" s="14">
        <v>11000.0</v>
      </c>
      <c r="C11" s="14">
        <v>285000.0</v>
      </c>
      <c r="D11" s="9">
        <v>787850.0</v>
      </c>
      <c r="E11" s="9">
        <v>1139650.0</v>
      </c>
    </row>
    <row r="12">
      <c r="A12" s="6">
        <v>11.0</v>
      </c>
      <c r="B12" s="14">
        <v>7000.0</v>
      </c>
      <c r="C12" s="14">
        <v>247000.0</v>
      </c>
      <c r="D12" s="9">
        <v>810450.0</v>
      </c>
    </row>
    <row r="13">
      <c r="A13" s="6">
        <v>12.0</v>
      </c>
      <c r="B13" s="14">
        <v>0.0</v>
      </c>
      <c r="C13" s="14">
        <v>329000.0</v>
      </c>
    </row>
    <row r="14">
      <c r="A14" s="6">
        <v>13.0</v>
      </c>
      <c r="B14" s="14">
        <v>40900.0</v>
      </c>
      <c r="C14" s="14">
        <v>0.0</v>
      </c>
      <c r="D14" s="15">
        <v>767950.0</v>
      </c>
      <c r="E14" s="20">
        <v>431950.0</v>
      </c>
    </row>
    <row r="15">
      <c r="A15" s="6">
        <v>14.0</v>
      </c>
      <c r="B15" s="14">
        <v>87400.0</v>
      </c>
      <c r="C15" s="14">
        <v>48000.0</v>
      </c>
    </row>
    <row r="16">
      <c r="A16" s="3">
        <v>15.0</v>
      </c>
      <c r="B16" s="4"/>
      <c r="C16" s="5"/>
    </row>
    <row r="17">
      <c r="A17" s="6">
        <v>16.0</v>
      </c>
      <c r="B17" s="14">
        <v>28000.0</v>
      </c>
      <c r="C17" s="14">
        <v>366000.0</v>
      </c>
      <c r="D17" s="9">
        <v>907950.0</v>
      </c>
    </row>
    <row r="18">
      <c r="A18" s="6">
        <v>17.0</v>
      </c>
      <c r="B18" s="14">
        <v>17500.0</v>
      </c>
      <c r="C18" s="14">
        <v>112000.0</v>
      </c>
    </row>
    <row r="19">
      <c r="A19" s="6">
        <v>18.0</v>
      </c>
      <c r="B19" s="14">
        <v>240600.0</v>
      </c>
      <c r="C19" s="14">
        <v>155000.0</v>
      </c>
      <c r="D19" s="9">
        <v>913450.0</v>
      </c>
    </row>
    <row r="20">
      <c r="A20" s="6">
        <v>19.0</v>
      </c>
      <c r="B20" s="14">
        <v>76800.0</v>
      </c>
      <c r="C20" s="14">
        <v>626000.0</v>
      </c>
      <c r="D20" s="9">
        <v>792450.0</v>
      </c>
    </row>
    <row r="21">
      <c r="A21" s="6">
        <v>20.0</v>
      </c>
      <c r="B21" s="14">
        <v>73300.0</v>
      </c>
      <c r="C21" s="14">
        <v>362000.0</v>
      </c>
      <c r="D21" s="9">
        <v>1101400.0</v>
      </c>
    </row>
    <row r="22">
      <c r="A22" s="6">
        <v>21.0</v>
      </c>
      <c r="B22" s="14">
        <v>238500.0</v>
      </c>
      <c r="C22" s="14">
        <v>379000.0</v>
      </c>
      <c r="D22" s="9">
        <v>831450.0</v>
      </c>
    </row>
    <row r="23">
      <c r="A23" s="3">
        <v>22.0</v>
      </c>
      <c r="B23" s="4"/>
      <c r="C23" s="5"/>
    </row>
    <row r="24">
      <c r="A24" s="3">
        <v>23.0</v>
      </c>
      <c r="B24" s="4"/>
      <c r="C24" s="5"/>
      <c r="D24" s="9">
        <v>1449600.0</v>
      </c>
    </row>
    <row r="25">
      <c r="A25" s="6">
        <v>24.0</v>
      </c>
      <c r="B25" s="14">
        <v>90600.0</v>
      </c>
      <c r="C25" s="14">
        <v>337000.0</v>
      </c>
      <c r="D25" s="9">
        <v>824900.0</v>
      </c>
    </row>
    <row r="26">
      <c r="A26" s="6">
        <v>25.0</v>
      </c>
      <c r="B26" s="14">
        <v>0.0</v>
      </c>
      <c r="C26" s="14">
        <v>400000.0</v>
      </c>
    </row>
    <row r="27">
      <c r="A27" s="6">
        <v>26.0</v>
      </c>
      <c r="B27" s="14">
        <v>0.0</v>
      </c>
      <c r="C27" s="14">
        <v>267000.0</v>
      </c>
      <c r="D27" s="9">
        <v>1494000.0</v>
      </c>
    </row>
    <row r="28">
      <c r="A28" s="6">
        <v>27.0</v>
      </c>
      <c r="B28" s="14">
        <v>30000.0</v>
      </c>
      <c r="C28" s="14">
        <v>169000.0</v>
      </c>
      <c r="D28" s="9">
        <v>615800.0</v>
      </c>
    </row>
    <row r="29">
      <c r="A29" s="6">
        <v>28.0</v>
      </c>
      <c r="B29" s="14">
        <v>101900.0</v>
      </c>
      <c r="C29" s="14">
        <v>359000.0</v>
      </c>
      <c r="D29" s="9">
        <v>1178000.0</v>
      </c>
    </row>
    <row r="30">
      <c r="A30" s="21">
        <v>29.0</v>
      </c>
      <c r="B30" s="18"/>
      <c r="C30" s="18"/>
      <c r="D30" s="22">
        <v>912300.0</v>
      </c>
      <c r="E30" s="22">
        <v>1218300.0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</row>
    <row r="31">
      <c r="A31" s="10">
        <v>30.0</v>
      </c>
      <c r="B31" s="19">
        <v>26000.0</v>
      </c>
      <c r="C31" s="19">
        <v>276000.0</v>
      </c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>
      <c r="A32" s="10"/>
      <c r="B32" s="19">
        <v>48500.0</v>
      </c>
      <c r="C32" s="19">
        <v>66000.0</v>
      </c>
      <c r="D32" s="23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>
      <c r="A33" s="10" t="s">
        <v>6</v>
      </c>
      <c r="B33" s="11"/>
      <c r="C33" s="11"/>
      <c r="D33" s="23">
        <v>805900.0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18.25"/>
    <col customWidth="1" min="3" max="3" width="8.38"/>
    <col customWidth="1" min="4" max="4" width="18.5"/>
    <col customWidth="1" min="5" max="5" width="16.25"/>
    <col customWidth="1" min="6" max="6" width="18.5"/>
    <col customWidth="1" min="7" max="7" width="17.75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>
      <c r="A2" s="6">
        <v>1.0</v>
      </c>
      <c r="B2" s="7">
        <v>459357.0</v>
      </c>
      <c r="C2" s="7">
        <v>50843.0</v>
      </c>
      <c r="D2" s="8">
        <f>C2+B2</f>
        <v>510200</v>
      </c>
      <c r="E2" s="7">
        <v>1123000.0</v>
      </c>
      <c r="F2" s="8">
        <f>E2+B2</f>
        <v>1582357</v>
      </c>
      <c r="G2" s="8"/>
    </row>
    <row r="3">
      <c r="A3" s="3">
        <v>2.0</v>
      </c>
      <c r="B3" s="5"/>
      <c r="C3" s="5"/>
      <c r="D3" s="4"/>
      <c r="E3" s="5"/>
      <c r="F3" s="4"/>
      <c r="G3" s="4"/>
    </row>
    <row r="4">
      <c r="A4" s="3">
        <v>3.0</v>
      </c>
      <c r="B4" s="5"/>
      <c r="C4" s="5"/>
      <c r="D4" s="4"/>
      <c r="E4" s="5"/>
      <c r="F4" s="4"/>
      <c r="G4" s="4"/>
    </row>
    <row r="5">
      <c r="A5" s="3">
        <v>4.0</v>
      </c>
      <c r="B5" s="5"/>
      <c r="C5" s="5"/>
      <c r="D5" s="4"/>
      <c r="E5" s="5"/>
      <c r="F5" s="4"/>
      <c r="G5" s="4"/>
    </row>
    <row r="6">
      <c r="A6" s="3">
        <v>5.0</v>
      </c>
      <c r="B6" s="5"/>
      <c r="C6" s="5"/>
      <c r="D6" s="4"/>
      <c r="E6" s="5"/>
      <c r="F6" s="4"/>
      <c r="G6" s="4"/>
    </row>
    <row r="7">
      <c r="A7" s="6">
        <v>6.0</v>
      </c>
      <c r="B7" s="7"/>
      <c r="C7" s="7"/>
      <c r="D7" s="8"/>
      <c r="E7" s="7"/>
      <c r="F7" s="8"/>
      <c r="G7" s="8"/>
    </row>
    <row r="8">
      <c r="A8" s="6">
        <v>7.0</v>
      </c>
      <c r="B8" s="7"/>
      <c r="C8" s="7"/>
      <c r="D8" s="8"/>
      <c r="E8" s="7"/>
      <c r="F8" s="7"/>
      <c r="G8" s="8"/>
      <c r="H8" s="9"/>
    </row>
    <row r="9">
      <c r="A9" s="6">
        <v>8.0</v>
      </c>
      <c r="B9" s="7"/>
      <c r="C9" s="7"/>
      <c r="D9" s="8"/>
      <c r="E9" s="7"/>
      <c r="F9" s="8"/>
      <c r="G9" s="8"/>
    </row>
    <row r="10">
      <c r="A10" s="6">
        <v>9.0</v>
      </c>
      <c r="B10" s="7"/>
      <c r="C10" s="7"/>
      <c r="D10" s="8"/>
      <c r="E10" s="7"/>
      <c r="F10" s="8"/>
      <c r="G10" s="8"/>
    </row>
    <row r="11">
      <c r="A11" s="6">
        <v>10.0</v>
      </c>
      <c r="B11" s="7"/>
      <c r="C11" s="7"/>
      <c r="D11" s="8"/>
      <c r="E11" s="7"/>
      <c r="F11" s="8"/>
      <c r="G11" s="8"/>
    </row>
    <row r="12">
      <c r="A12" s="6">
        <v>11.0</v>
      </c>
      <c r="B12" s="7"/>
      <c r="C12" s="7"/>
      <c r="D12" s="8"/>
      <c r="E12" s="7"/>
      <c r="F12" s="8"/>
      <c r="G12" s="7"/>
    </row>
    <row r="13">
      <c r="A13" s="3">
        <v>12.0</v>
      </c>
      <c r="B13" s="5"/>
      <c r="C13" s="5"/>
      <c r="D13" s="4"/>
      <c r="E13" s="5"/>
      <c r="F13" s="4"/>
      <c r="G13" s="4"/>
    </row>
    <row r="14">
      <c r="A14" s="6">
        <v>13.0</v>
      </c>
      <c r="B14" s="7"/>
      <c r="C14" s="7"/>
      <c r="D14" s="8"/>
      <c r="E14" s="7"/>
      <c r="F14" s="8"/>
      <c r="G14" s="8"/>
    </row>
    <row r="15">
      <c r="A15" s="6">
        <v>14.0</v>
      </c>
      <c r="B15" s="7"/>
      <c r="C15" s="7"/>
      <c r="D15" s="8"/>
      <c r="E15" s="7"/>
      <c r="F15" s="8"/>
      <c r="G15" s="8"/>
    </row>
    <row r="16">
      <c r="A16" s="6">
        <v>15.0</v>
      </c>
      <c r="B16" s="7"/>
      <c r="C16" s="7"/>
      <c r="D16" s="8"/>
      <c r="E16" s="7"/>
      <c r="F16" s="8"/>
      <c r="G16" s="8"/>
    </row>
    <row r="17">
      <c r="A17" s="6">
        <v>16.0</v>
      </c>
      <c r="B17" s="7"/>
      <c r="C17" s="7"/>
      <c r="D17" s="7"/>
      <c r="E17" s="7"/>
      <c r="F17" s="8"/>
      <c r="G17" s="8"/>
    </row>
    <row r="18">
      <c r="A18" s="6">
        <v>17.0</v>
      </c>
      <c r="B18" s="7"/>
      <c r="C18" s="7"/>
      <c r="D18" s="8"/>
      <c r="E18" s="7"/>
      <c r="F18" s="8"/>
      <c r="G18" s="8"/>
    </row>
    <row r="19">
      <c r="A19" s="6">
        <v>18.0</v>
      </c>
      <c r="B19" s="7"/>
      <c r="C19" s="7"/>
      <c r="D19" s="8"/>
      <c r="E19" s="7"/>
      <c r="F19" s="8"/>
      <c r="G19" s="8"/>
    </row>
    <row r="20">
      <c r="A20" s="3">
        <v>19.0</v>
      </c>
      <c r="B20" s="5"/>
      <c r="C20" s="5"/>
      <c r="D20" s="4"/>
      <c r="E20" s="5"/>
      <c r="F20" s="4"/>
      <c r="G20" s="4"/>
    </row>
    <row r="21">
      <c r="A21" s="6">
        <v>20.0</v>
      </c>
      <c r="B21" s="7"/>
      <c r="C21" s="7"/>
      <c r="D21" s="8"/>
      <c r="E21" s="7"/>
      <c r="F21" s="8"/>
      <c r="G21" s="8"/>
    </row>
    <row r="22">
      <c r="A22" s="6">
        <v>21.0</v>
      </c>
      <c r="B22" s="7"/>
      <c r="C22" s="7"/>
      <c r="D22" s="8"/>
      <c r="E22" s="7"/>
      <c r="F22" s="8"/>
      <c r="G22" s="8"/>
    </row>
    <row r="23">
      <c r="A23" s="6">
        <v>22.0</v>
      </c>
      <c r="B23" s="7"/>
      <c r="C23" s="7"/>
      <c r="D23" s="8"/>
      <c r="E23" s="7"/>
      <c r="F23" s="8"/>
      <c r="G23" s="8"/>
    </row>
    <row r="24">
      <c r="A24" s="6">
        <v>23.0</v>
      </c>
      <c r="B24" s="7"/>
      <c r="C24" s="7"/>
      <c r="D24" s="8"/>
      <c r="E24" s="7"/>
      <c r="F24" s="8"/>
      <c r="G24" s="8"/>
    </row>
    <row r="25">
      <c r="A25" s="6">
        <v>24.0</v>
      </c>
      <c r="B25" s="7"/>
      <c r="C25" s="7"/>
      <c r="D25" s="8"/>
      <c r="E25" s="7"/>
      <c r="F25" s="8"/>
      <c r="G25" s="8"/>
    </row>
    <row r="26">
      <c r="A26" s="3">
        <v>26.0</v>
      </c>
      <c r="B26" s="5"/>
      <c r="C26" s="5"/>
      <c r="D26" s="4"/>
      <c r="E26" s="5"/>
      <c r="F26" s="4"/>
      <c r="G26" s="4"/>
    </row>
    <row r="27">
      <c r="A27" s="6">
        <v>27.0</v>
      </c>
      <c r="B27" s="7"/>
      <c r="C27" s="7"/>
      <c r="D27" s="7"/>
      <c r="E27" s="7"/>
      <c r="F27" s="8"/>
      <c r="G27" s="8"/>
    </row>
    <row r="28">
      <c r="A28" s="6">
        <v>28.0</v>
      </c>
      <c r="B28" s="7"/>
      <c r="C28" s="7"/>
      <c r="D28" s="8"/>
      <c r="E28" s="7"/>
      <c r="F28" s="8"/>
      <c r="G28" s="8"/>
    </row>
    <row r="29">
      <c r="A29" s="6">
        <v>29.0</v>
      </c>
      <c r="B29" s="11"/>
      <c r="C29" s="11"/>
      <c r="D29" s="11"/>
      <c r="E29" s="7"/>
      <c r="F29" s="11"/>
      <c r="G29" s="11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6">
        <v>30.0</v>
      </c>
      <c r="B30" s="7"/>
      <c r="C30" s="8"/>
      <c r="D30" s="24"/>
      <c r="E30" s="7"/>
      <c r="F30" s="24"/>
      <c r="G30" s="24"/>
    </row>
    <row r="31">
      <c r="A31" s="6">
        <v>31.0</v>
      </c>
      <c r="B31" s="7"/>
      <c r="C31" s="7"/>
      <c r="D31" s="8"/>
      <c r="E31" s="7"/>
      <c r="F31" s="8"/>
      <c r="G31" s="8"/>
    </row>
    <row r="32">
      <c r="A32" s="10" t="s">
        <v>6</v>
      </c>
      <c r="B32" s="19"/>
      <c r="C32" s="11"/>
      <c r="D32" s="11"/>
      <c r="E32" s="19"/>
      <c r="F32" s="11"/>
      <c r="G32" s="11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</sheetData>
  <drawing r:id="rId1"/>
</worksheet>
</file>