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Copia de ENERO" sheetId="13" r:id="rId17"/>
    <sheet state="visible" name="Copia de FEBRERO" sheetId="14" r:id="rId18"/>
    <sheet state="visible" name="Copia de MARZO" sheetId="15" r:id="rId19"/>
    <sheet state="visible" name="Copia de ABRIL" sheetId="16" r:id="rId20"/>
    <sheet state="visible" name="Copia de MAYO" sheetId="17" r:id="rId21"/>
    <sheet state="visible" name="Copia de JUNIO" sheetId="18" r:id="rId22"/>
    <sheet state="visible" name=" Copia de JULIO" sheetId="19" r:id="rId23"/>
    <sheet state="visible" name="Copia de AGOSTO" sheetId="20" r:id="rId24"/>
    <sheet state="visible" name="Copia de SEPTIEMBRE" sheetId="21" r:id="rId25"/>
    <sheet state="visible" name="COPIA OCTUBRE" sheetId="22" r:id="rId26"/>
    <sheet state="visible" name="copia DICIEMBRE" sheetId="23" r:id="rId27"/>
    <sheet state="visible" name="copia NOVIEMBRE" sheetId="24" r:id="rId28"/>
  </sheets>
  <definedNames/>
  <calcPr/>
</workbook>
</file>

<file path=xl/sharedStrings.xml><?xml version="1.0" encoding="utf-8"?>
<sst xmlns="http://schemas.openxmlformats.org/spreadsheetml/2006/main" count="130" uniqueCount="11">
  <si>
    <t>VENTAS ALMACÉN ANTES IVA</t>
  </si>
  <si>
    <t>IVA</t>
  </si>
  <si>
    <t>VENTAS TOTAL ALMACÉN</t>
  </si>
  <si>
    <t>PELUQUERÍA</t>
  </si>
  <si>
    <t>TOTAL VENTAS DÍA</t>
  </si>
  <si>
    <t>VENTAS ACUMULADAS</t>
  </si>
  <si>
    <t>TOTAL</t>
  </si>
  <si>
    <t xml:space="preserve">   </t>
  </si>
  <si>
    <t xml:space="preserve">DATAFONO </t>
  </si>
  <si>
    <t>DATAFONO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</si>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</sst>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"/>
    <numFmt numFmtId="165" formatCode="&quot;$&quot;#,##0.00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4.0"/>
      <color rgb="FF000000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/>
    </xf>
    <xf borderId="1" fillId="2" fontId="3" numFmtId="164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2" fontId="3" numFmtId="164" xfId="0" applyAlignment="1" applyBorder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3" numFmtId="0" xfId="0" applyFont="1"/>
    <xf borderId="1" fillId="3" fontId="3" numFmtId="164" xfId="0" applyAlignment="1" applyBorder="1" applyFill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164" xfId="0" applyFont="1" applyNumberFormat="1"/>
    <xf borderId="1" fillId="0" fontId="1" numFmtId="0" xfId="0" applyAlignment="1" applyBorder="1" applyFont="1">
      <alignment horizontal="center" readingOrder="0"/>
    </xf>
    <xf borderId="0" fillId="3" fontId="3" numFmtId="164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1" fillId="3" fontId="3" numFmtId="164" xfId="0" applyAlignment="1" applyBorder="1" applyFont="1" applyNumberFormat="1">
      <alignment readingOrder="0"/>
    </xf>
    <xf borderId="1" fillId="3" fontId="4" numFmtId="164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164" xfId="0" applyFont="1" applyNumberFormat="1"/>
    <xf borderId="1" fillId="0" fontId="5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2" fontId="3" numFmtId="0" xfId="0" applyBorder="1" applyFont="1"/>
    <xf borderId="1" fillId="2" fontId="4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1" fillId="0" fontId="5" numFmtId="164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readingOrder="0"/>
    </xf>
    <xf borderId="1" fillId="2" fontId="3" numFmtId="164" xfId="0" applyBorder="1" applyFont="1" applyNumberFormat="1"/>
    <xf borderId="1" fillId="3" fontId="3" numFmtId="164" xfId="0" applyBorder="1" applyFont="1" applyNumberFormat="1"/>
    <xf borderId="1" fillId="2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0" fillId="0" fontId="3" numFmtId="164" xfId="0" applyFont="1" applyNumberFormat="1"/>
    <xf borderId="3" fillId="0" fontId="3" numFmtId="164" xfId="0" applyBorder="1" applyFont="1" applyNumberFormat="1"/>
    <xf borderId="0" fillId="0" fontId="6" numFmtId="0" xfId="0" applyFont="1"/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>
        <f t="shared" ref="D2:D32" si="1">B2+C2</f>
        <v>0</v>
      </c>
      <c r="E2" s="4"/>
      <c r="F2" s="4">
        <f t="shared" ref="F2:F32" si="2">B2+E2</f>
        <v>0</v>
      </c>
      <c r="G2" s="4">
        <f>F2</f>
        <v>0</v>
      </c>
    </row>
    <row r="3">
      <c r="A3" s="3">
        <v>2.0</v>
      </c>
      <c r="B3" s="4"/>
      <c r="C3" s="4"/>
      <c r="D3" s="4">
        <f t="shared" si="1"/>
        <v>0</v>
      </c>
      <c r="E3" s="4"/>
      <c r="F3" s="4">
        <f t="shared" si="2"/>
        <v>0</v>
      </c>
      <c r="G3" s="4">
        <f t="shared" ref="G3:G32" si="3">G2+F3</f>
        <v>0</v>
      </c>
    </row>
    <row r="4">
      <c r="A4" s="3">
        <v>3.0</v>
      </c>
      <c r="B4" s="4"/>
      <c r="C4" s="4"/>
      <c r="D4" s="4">
        <f t="shared" si="1"/>
        <v>0</v>
      </c>
      <c r="E4" s="4"/>
      <c r="F4" s="4">
        <f t="shared" si="2"/>
        <v>0</v>
      </c>
      <c r="G4" s="4">
        <f t="shared" si="3"/>
        <v>0</v>
      </c>
    </row>
    <row r="5">
      <c r="A5" s="3">
        <v>4.0</v>
      </c>
      <c r="B5" s="4"/>
      <c r="C5" s="4"/>
      <c r="D5" s="4">
        <f t="shared" si="1"/>
        <v>0</v>
      </c>
      <c r="E5" s="4"/>
      <c r="F5" s="4">
        <f t="shared" si="2"/>
        <v>0</v>
      </c>
      <c r="G5" s="4">
        <f t="shared" si="3"/>
        <v>0</v>
      </c>
    </row>
    <row r="6">
      <c r="A6" s="3">
        <v>5.0</v>
      </c>
      <c r="B6" s="4"/>
      <c r="C6" s="4"/>
      <c r="D6" s="4">
        <f t="shared" si="1"/>
        <v>0</v>
      </c>
      <c r="E6" s="4"/>
      <c r="F6" s="4">
        <f t="shared" si="2"/>
        <v>0</v>
      </c>
      <c r="G6" s="4">
        <f t="shared" si="3"/>
        <v>0</v>
      </c>
    </row>
    <row r="7">
      <c r="A7" s="3">
        <v>6.0</v>
      </c>
      <c r="B7" s="4"/>
      <c r="C7" s="4"/>
      <c r="D7" s="4">
        <f t="shared" si="1"/>
        <v>0</v>
      </c>
      <c r="E7" s="4"/>
      <c r="F7" s="4">
        <f t="shared" si="2"/>
        <v>0</v>
      </c>
      <c r="G7" s="4">
        <f t="shared" si="3"/>
        <v>0</v>
      </c>
    </row>
    <row r="8">
      <c r="A8" s="3">
        <v>7.0</v>
      </c>
      <c r="B8" s="4"/>
      <c r="C8" s="4"/>
      <c r="D8" s="4">
        <f t="shared" si="1"/>
        <v>0</v>
      </c>
      <c r="E8" s="4"/>
      <c r="F8" s="4">
        <f t="shared" si="2"/>
        <v>0</v>
      </c>
      <c r="G8" s="4">
        <f t="shared" si="3"/>
        <v>0</v>
      </c>
    </row>
    <row r="9">
      <c r="A9" s="3">
        <v>8.0</v>
      </c>
      <c r="B9" s="4"/>
      <c r="C9" s="4"/>
      <c r="D9" s="4">
        <f t="shared" si="1"/>
        <v>0</v>
      </c>
      <c r="E9" s="4"/>
      <c r="F9" s="4">
        <f t="shared" si="2"/>
        <v>0</v>
      </c>
      <c r="G9" s="4">
        <f t="shared" si="3"/>
        <v>0</v>
      </c>
    </row>
    <row r="10">
      <c r="A10" s="3">
        <v>9.0</v>
      </c>
      <c r="B10" s="4"/>
      <c r="C10" s="4"/>
      <c r="D10" s="4">
        <f t="shared" si="1"/>
        <v>0</v>
      </c>
      <c r="E10" s="4"/>
      <c r="F10" s="4">
        <f t="shared" si="2"/>
        <v>0</v>
      </c>
      <c r="G10" s="4">
        <f t="shared" si="3"/>
        <v>0</v>
      </c>
    </row>
    <row r="11">
      <c r="A11" s="5">
        <v>10.0</v>
      </c>
      <c r="B11" s="6">
        <v>494879.0</v>
      </c>
      <c r="C11" s="6">
        <v>62396.0</v>
      </c>
      <c r="D11" s="7">
        <f t="shared" si="1"/>
        <v>557275</v>
      </c>
      <c r="E11" s="6">
        <v>424000.0</v>
      </c>
      <c r="F11" s="7">
        <f t="shared" si="2"/>
        <v>918879</v>
      </c>
      <c r="G11" s="7">
        <f t="shared" si="3"/>
        <v>918879</v>
      </c>
    </row>
    <row r="12">
      <c r="A12" s="5">
        <v>11.0</v>
      </c>
      <c r="B12" s="6">
        <v>296645.0</v>
      </c>
      <c r="C12" s="6">
        <v>27064.0</v>
      </c>
      <c r="D12" s="7">
        <f t="shared" si="1"/>
        <v>323709</v>
      </c>
      <c r="E12" s="6">
        <v>724000.0</v>
      </c>
      <c r="F12" s="7">
        <f t="shared" si="2"/>
        <v>1020645</v>
      </c>
      <c r="G12" s="7">
        <f t="shared" si="3"/>
        <v>1939524</v>
      </c>
    </row>
    <row r="13">
      <c r="A13" s="5">
        <v>12.0</v>
      </c>
      <c r="B13" s="6">
        <v>98579.0</v>
      </c>
      <c r="C13" s="6">
        <v>4930.0</v>
      </c>
      <c r="D13" s="7">
        <f t="shared" si="1"/>
        <v>103509</v>
      </c>
      <c r="E13" s="6">
        <v>586000.0</v>
      </c>
      <c r="F13" s="7">
        <f t="shared" si="2"/>
        <v>684579</v>
      </c>
      <c r="G13" s="7">
        <f t="shared" si="3"/>
        <v>2624103</v>
      </c>
    </row>
    <row r="14">
      <c r="A14" s="5">
        <v>13.0</v>
      </c>
      <c r="B14" s="6">
        <v>274148.0</v>
      </c>
      <c r="C14" s="6">
        <v>32059.0</v>
      </c>
      <c r="D14" s="7">
        <f t="shared" si="1"/>
        <v>306207</v>
      </c>
      <c r="E14" s="6">
        <v>603000.0</v>
      </c>
      <c r="F14" s="7">
        <f t="shared" si="2"/>
        <v>877148</v>
      </c>
      <c r="G14" s="7">
        <f t="shared" si="3"/>
        <v>3501251</v>
      </c>
    </row>
    <row r="15">
      <c r="A15" s="5">
        <v>14.0</v>
      </c>
      <c r="B15" s="6">
        <v>361147.0</v>
      </c>
      <c r="C15" s="6">
        <v>29330.0</v>
      </c>
      <c r="D15" s="7">
        <f t="shared" si="1"/>
        <v>390477</v>
      </c>
      <c r="E15" s="6">
        <v>609000.0</v>
      </c>
      <c r="F15" s="7">
        <f t="shared" si="2"/>
        <v>970147</v>
      </c>
      <c r="G15" s="7">
        <f t="shared" si="3"/>
        <v>4471398</v>
      </c>
    </row>
    <row r="16">
      <c r="A16" s="3">
        <v>15.0</v>
      </c>
      <c r="B16" s="4"/>
      <c r="C16" s="4"/>
      <c r="D16" s="4">
        <f t="shared" si="1"/>
        <v>0</v>
      </c>
      <c r="E16" s="4"/>
      <c r="F16" s="4">
        <f t="shared" si="2"/>
        <v>0</v>
      </c>
      <c r="G16" s="4">
        <f t="shared" si="3"/>
        <v>4471398</v>
      </c>
    </row>
    <row r="17">
      <c r="A17" s="5">
        <v>16.0</v>
      </c>
      <c r="B17" s="6">
        <v>460441.0</v>
      </c>
      <c r="C17" s="6">
        <v>49264.0</v>
      </c>
      <c r="D17" s="7">
        <f t="shared" si="1"/>
        <v>509705</v>
      </c>
      <c r="E17" s="6">
        <v>444000.0</v>
      </c>
      <c r="F17" s="7">
        <f t="shared" si="2"/>
        <v>904441</v>
      </c>
      <c r="G17" s="7">
        <f t="shared" si="3"/>
        <v>5375839</v>
      </c>
    </row>
    <row r="18">
      <c r="A18" s="5">
        <v>17.0</v>
      </c>
      <c r="B18" s="6">
        <v>291047.0</v>
      </c>
      <c r="C18" s="6">
        <v>10669.0</v>
      </c>
      <c r="D18" s="7">
        <f t="shared" si="1"/>
        <v>301716</v>
      </c>
      <c r="E18" s="6">
        <v>468000.0</v>
      </c>
      <c r="F18" s="7">
        <f t="shared" si="2"/>
        <v>759047</v>
      </c>
      <c r="G18" s="7">
        <f t="shared" si="3"/>
        <v>6134886</v>
      </c>
    </row>
    <row r="19">
      <c r="A19" s="5">
        <v>18.0</v>
      </c>
      <c r="B19" s="6">
        <v>223488.0</v>
      </c>
      <c r="C19" s="6">
        <v>37951.0</v>
      </c>
      <c r="D19" s="7">
        <f t="shared" si="1"/>
        <v>261439</v>
      </c>
      <c r="E19" s="6">
        <v>464000.0</v>
      </c>
      <c r="F19" s="7">
        <f t="shared" si="2"/>
        <v>687488</v>
      </c>
      <c r="G19" s="7">
        <f t="shared" si="3"/>
        <v>6822374</v>
      </c>
    </row>
    <row r="20">
      <c r="A20" s="5">
        <v>19.0</v>
      </c>
      <c r="B20" s="6">
        <v>281815.0</v>
      </c>
      <c r="C20" s="6">
        <v>10390.0</v>
      </c>
      <c r="D20" s="7">
        <f t="shared" si="1"/>
        <v>292205</v>
      </c>
      <c r="E20" s="6">
        <v>431000.0</v>
      </c>
      <c r="F20" s="7">
        <f t="shared" si="2"/>
        <v>712815</v>
      </c>
      <c r="G20" s="7">
        <f t="shared" si="3"/>
        <v>7535189</v>
      </c>
    </row>
    <row r="21">
      <c r="A21" s="5">
        <v>20.0</v>
      </c>
      <c r="B21" s="6">
        <v>593650.0</v>
      </c>
      <c r="C21" s="6">
        <v>47033.0</v>
      </c>
      <c r="D21" s="7">
        <f t="shared" si="1"/>
        <v>640683</v>
      </c>
      <c r="E21" s="6">
        <v>524000.0</v>
      </c>
      <c r="F21" s="7">
        <f t="shared" si="2"/>
        <v>1117650</v>
      </c>
      <c r="G21" s="7">
        <f t="shared" si="3"/>
        <v>8652839</v>
      </c>
    </row>
    <row r="22">
      <c r="A22" s="5">
        <v>21.0</v>
      </c>
      <c r="B22" s="6">
        <v>340608.0</v>
      </c>
      <c r="C22" s="6">
        <v>42879.0</v>
      </c>
      <c r="D22" s="7">
        <f t="shared" si="1"/>
        <v>383487</v>
      </c>
      <c r="E22" s="6">
        <v>586000.0</v>
      </c>
      <c r="F22" s="7">
        <f t="shared" si="2"/>
        <v>926608</v>
      </c>
      <c r="G22" s="7">
        <f t="shared" si="3"/>
        <v>9579447</v>
      </c>
    </row>
    <row r="23">
      <c r="A23" s="3">
        <v>22.0</v>
      </c>
      <c r="B23" s="8"/>
      <c r="C23" s="8"/>
      <c r="D23" s="4">
        <f t="shared" si="1"/>
        <v>0</v>
      </c>
      <c r="E23" s="4"/>
      <c r="F23" s="4">
        <f t="shared" si="2"/>
        <v>0</v>
      </c>
      <c r="G23" s="4">
        <f t="shared" si="3"/>
        <v>9579447</v>
      </c>
    </row>
    <row r="24">
      <c r="A24" s="5">
        <v>23.0</v>
      </c>
      <c r="B24" s="6">
        <v>298584.0</v>
      </c>
      <c r="C24" s="8">
        <v>33479.0</v>
      </c>
      <c r="D24" s="7">
        <f t="shared" si="1"/>
        <v>332063</v>
      </c>
      <c r="E24" s="6">
        <v>553000.0</v>
      </c>
      <c r="F24" s="7">
        <f t="shared" si="2"/>
        <v>851584</v>
      </c>
      <c r="G24" s="7">
        <f t="shared" si="3"/>
        <v>10431031</v>
      </c>
    </row>
    <row r="25">
      <c r="A25" s="5">
        <v>24.0</v>
      </c>
      <c r="B25" s="6">
        <v>114136.0</v>
      </c>
      <c r="C25" s="6">
        <v>4198.0</v>
      </c>
      <c r="D25" s="7">
        <f t="shared" si="1"/>
        <v>118334</v>
      </c>
      <c r="E25" s="6">
        <v>407000.0</v>
      </c>
      <c r="F25" s="7">
        <f t="shared" si="2"/>
        <v>521136</v>
      </c>
      <c r="G25" s="7">
        <f t="shared" si="3"/>
        <v>10952167</v>
      </c>
    </row>
    <row r="26">
      <c r="A26" s="5">
        <v>25.0</v>
      </c>
      <c r="B26" s="6">
        <v>78039.0</v>
      </c>
      <c r="C26" s="6">
        <v>14828.0</v>
      </c>
      <c r="D26" s="7">
        <f t="shared" si="1"/>
        <v>92867</v>
      </c>
      <c r="E26" s="6">
        <v>259000.0</v>
      </c>
      <c r="F26" s="7">
        <f t="shared" si="2"/>
        <v>337039</v>
      </c>
      <c r="G26" s="7">
        <f t="shared" si="3"/>
        <v>11289206</v>
      </c>
    </row>
    <row r="27">
      <c r="A27" s="5">
        <v>26.0</v>
      </c>
      <c r="B27" s="6">
        <v>306410.0</v>
      </c>
      <c r="C27" s="6">
        <v>58216.0</v>
      </c>
      <c r="D27" s="7">
        <f t="shared" si="1"/>
        <v>364626</v>
      </c>
      <c r="E27" s="6">
        <v>281000.0</v>
      </c>
      <c r="F27" s="7">
        <f t="shared" si="2"/>
        <v>587410</v>
      </c>
      <c r="G27" s="7">
        <f t="shared" si="3"/>
        <v>11876616</v>
      </c>
    </row>
    <row r="28">
      <c r="A28" s="5">
        <v>27.0</v>
      </c>
      <c r="B28" s="6">
        <v>129223.0</v>
      </c>
      <c r="C28" s="6">
        <v>11421.0</v>
      </c>
      <c r="D28" s="7">
        <f t="shared" si="1"/>
        <v>140644</v>
      </c>
      <c r="E28" s="6">
        <v>512000.0</v>
      </c>
      <c r="F28" s="7">
        <f t="shared" si="2"/>
        <v>641223</v>
      </c>
      <c r="G28" s="7">
        <f t="shared" si="3"/>
        <v>12517839</v>
      </c>
    </row>
    <row r="29">
      <c r="A29" s="5">
        <v>28.0</v>
      </c>
      <c r="B29" s="6">
        <v>328308.0</v>
      </c>
      <c r="C29" s="6">
        <v>28552.0</v>
      </c>
      <c r="D29" s="7">
        <f t="shared" si="1"/>
        <v>356860</v>
      </c>
      <c r="E29" s="6">
        <v>491000.0</v>
      </c>
      <c r="F29" s="7">
        <f t="shared" si="2"/>
        <v>819308</v>
      </c>
      <c r="G29" s="7">
        <f t="shared" si="3"/>
        <v>13337147</v>
      </c>
    </row>
    <row r="30">
      <c r="A30" s="3">
        <v>29.0</v>
      </c>
      <c r="B30" s="4"/>
      <c r="C30" s="4"/>
      <c r="D30" s="4">
        <f t="shared" si="1"/>
        <v>0</v>
      </c>
      <c r="E30" s="4"/>
      <c r="F30" s="4">
        <f t="shared" si="2"/>
        <v>0</v>
      </c>
      <c r="G30" s="4">
        <f t="shared" si="3"/>
        <v>13337147</v>
      </c>
    </row>
    <row r="31">
      <c r="A31" s="5">
        <v>30.0</v>
      </c>
      <c r="B31" s="6">
        <v>136130.0</v>
      </c>
      <c r="C31" s="6">
        <v>15838.0</v>
      </c>
      <c r="D31" s="7">
        <f t="shared" si="1"/>
        <v>151968</v>
      </c>
      <c r="E31" s="6">
        <v>386000.0</v>
      </c>
      <c r="F31" s="7">
        <f t="shared" si="2"/>
        <v>522130</v>
      </c>
      <c r="G31" s="7">
        <f t="shared" si="3"/>
        <v>13859277</v>
      </c>
    </row>
    <row r="32">
      <c r="A32" s="5">
        <v>31.0</v>
      </c>
      <c r="B32" s="6">
        <v>179643.0</v>
      </c>
      <c r="C32" s="6">
        <v>22107.0</v>
      </c>
      <c r="D32" s="7">
        <f t="shared" si="1"/>
        <v>201750</v>
      </c>
      <c r="E32" s="6">
        <v>503000.0</v>
      </c>
      <c r="F32" s="7">
        <f t="shared" si="2"/>
        <v>682643</v>
      </c>
      <c r="G32" s="7">
        <f t="shared" si="3"/>
        <v>14541920</v>
      </c>
    </row>
    <row r="33">
      <c r="A33" s="5" t="s">
        <v>6</v>
      </c>
      <c r="B33" s="7">
        <f t="shared" ref="B33:F33" si="4">SUM(B2:B32)</f>
        <v>5286920</v>
      </c>
      <c r="C33" s="7">
        <f t="shared" si="4"/>
        <v>542604</v>
      </c>
      <c r="D33" s="7">
        <f t="shared" si="4"/>
        <v>5829524</v>
      </c>
      <c r="E33" s="7">
        <f t="shared" si="4"/>
        <v>9255000</v>
      </c>
      <c r="F33" s="7">
        <f t="shared" si="4"/>
        <v>14541920</v>
      </c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355586.0</v>
      </c>
      <c r="C2" s="6">
        <v>52040.0</v>
      </c>
      <c r="D2" s="7">
        <f>$B$2+C2</f>
        <v>407626</v>
      </c>
      <c r="E2" s="6">
        <v>422000.0</v>
      </c>
      <c r="F2" s="7">
        <f t="shared" ref="F2:F5" si="1">E2+B2</f>
        <v>777586</v>
      </c>
      <c r="G2" s="7">
        <f>F2</f>
        <v>777586</v>
      </c>
    </row>
    <row r="3">
      <c r="A3" s="5">
        <v>2.0</v>
      </c>
      <c r="B3" s="6">
        <v>1018717.0</v>
      </c>
      <c r="C3" s="6">
        <v>90890.0</v>
      </c>
      <c r="D3" s="7">
        <f>B3+C3</f>
        <v>1109607</v>
      </c>
      <c r="E3" s="6">
        <v>457000.0</v>
      </c>
      <c r="F3" s="7">
        <f t="shared" si="1"/>
        <v>1475717</v>
      </c>
      <c r="G3" s="7">
        <f>F3+G2</f>
        <v>2253303</v>
      </c>
    </row>
    <row r="4">
      <c r="A4" s="5">
        <v>3.0</v>
      </c>
      <c r="B4" s="6">
        <v>102859.0</v>
      </c>
      <c r="C4" s="6">
        <v>11849.0</v>
      </c>
      <c r="D4" s="7">
        <f>C4+B4</f>
        <v>114708</v>
      </c>
      <c r="E4" s="6">
        <v>417000.0</v>
      </c>
      <c r="F4" s="7">
        <f t="shared" si="1"/>
        <v>519859</v>
      </c>
      <c r="G4" s="7">
        <f t="shared" ref="G4:G5" si="2">G3+F4</f>
        <v>2773162</v>
      </c>
    </row>
    <row r="5">
      <c r="A5" s="5">
        <v>4.0</v>
      </c>
      <c r="B5" s="6">
        <v>291936.0</v>
      </c>
      <c r="C5" s="6">
        <v>20450.0</v>
      </c>
      <c r="D5" s="7">
        <f>B5+C5</f>
        <v>312386</v>
      </c>
      <c r="E5" s="6">
        <v>320000.0</v>
      </c>
      <c r="F5" s="7">
        <f t="shared" si="1"/>
        <v>611936</v>
      </c>
      <c r="G5" s="7">
        <f t="shared" si="2"/>
        <v>3385098</v>
      </c>
    </row>
    <row r="6">
      <c r="A6" s="3">
        <v>5.0</v>
      </c>
      <c r="B6" s="8"/>
      <c r="C6" s="8"/>
      <c r="D6" s="4"/>
      <c r="E6" s="8"/>
      <c r="F6" s="4"/>
      <c r="G6" s="4"/>
    </row>
    <row r="7">
      <c r="A7" s="5">
        <v>6.0</v>
      </c>
      <c r="B7" s="6">
        <v>607970.0</v>
      </c>
      <c r="C7" s="6">
        <v>84893.0</v>
      </c>
      <c r="D7" s="7">
        <f t="shared" ref="D7:D12" si="3">B7+C7</f>
        <v>692863</v>
      </c>
      <c r="E7" s="6">
        <v>468000.0</v>
      </c>
      <c r="F7" s="7">
        <f t="shared" ref="F7:F29" si="4">E7+B7</f>
        <v>1075970</v>
      </c>
      <c r="G7" s="7">
        <f>G5+F7</f>
        <v>4461068</v>
      </c>
    </row>
    <row r="8">
      <c r="A8" s="5">
        <v>7.0</v>
      </c>
      <c r="B8" s="6">
        <v>643946.0</v>
      </c>
      <c r="C8" s="6">
        <v>61893.0</v>
      </c>
      <c r="D8" s="7">
        <f t="shared" si="3"/>
        <v>705839</v>
      </c>
      <c r="E8" s="6">
        <v>501000.0</v>
      </c>
      <c r="F8" s="7">
        <f t="shared" si="4"/>
        <v>1144946</v>
      </c>
      <c r="G8" s="7">
        <f t="shared" ref="G8:G12" si="5">G7+F8</f>
        <v>5606014</v>
      </c>
    </row>
    <row r="9">
      <c r="A9" s="5">
        <v>8.0</v>
      </c>
      <c r="B9" s="6">
        <v>577155.0</v>
      </c>
      <c r="C9" s="6">
        <v>52138.0</v>
      </c>
      <c r="D9" s="7">
        <f t="shared" si="3"/>
        <v>629293</v>
      </c>
      <c r="E9" s="6">
        <v>518000.0</v>
      </c>
      <c r="F9" s="7">
        <f t="shared" si="4"/>
        <v>1095155</v>
      </c>
      <c r="G9" s="7">
        <f t="shared" si="5"/>
        <v>6701169</v>
      </c>
    </row>
    <row r="10">
      <c r="A10" s="5">
        <v>9.0</v>
      </c>
      <c r="B10" s="6">
        <v>211958.0</v>
      </c>
      <c r="C10" s="6">
        <v>34928.0</v>
      </c>
      <c r="D10" s="7">
        <f t="shared" si="3"/>
        <v>246886</v>
      </c>
      <c r="E10" s="6">
        <v>437000.0</v>
      </c>
      <c r="F10" s="7">
        <f t="shared" si="4"/>
        <v>648958</v>
      </c>
      <c r="G10" s="7">
        <f t="shared" si="5"/>
        <v>7350127</v>
      </c>
    </row>
    <row r="11">
      <c r="A11" s="5">
        <v>10.0</v>
      </c>
      <c r="B11" s="6">
        <v>143076.0</v>
      </c>
      <c r="C11" s="6">
        <v>22441.0</v>
      </c>
      <c r="D11" s="7">
        <f t="shared" si="3"/>
        <v>165517</v>
      </c>
      <c r="E11" s="6">
        <v>554000.0</v>
      </c>
      <c r="F11" s="7">
        <f t="shared" si="4"/>
        <v>697076</v>
      </c>
      <c r="G11" s="7">
        <f t="shared" si="5"/>
        <v>8047203</v>
      </c>
    </row>
    <row r="12">
      <c r="A12" s="5">
        <v>11.0</v>
      </c>
      <c r="B12" s="6">
        <v>405278.0</v>
      </c>
      <c r="C12" s="6">
        <v>38934.0</v>
      </c>
      <c r="D12" s="7">
        <f t="shared" si="3"/>
        <v>444212</v>
      </c>
      <c r="E12" s="6">
        <v>607000.0</v>
      </c>
      <c r="F12" s="7">
        <f t="shared" si="4"/>
        <v>1012278</v>
      </c>
      <c r="G12" s="7">
        <f t="shared" si="5"/>
        <v>9059481</v>
      </c>
    </row>
    <row r="13">
      <c r="A13" s="3">
        <v>12.0</v>
      </c>
      <c r="B13" s="8"/>
      <c r="C13" s="8"/>
      <c r="D13" s="4"/>
      <c r="E13" s="8"/>
      <c r="F13" s="8">
        <f t="shared" si="4"/>
        <v>0</v>
      </c>
      <c r="G13" s="4"/>
    </row>
    <row r="14">
      <c r="A14" s="5">
        <v>13.0</v>
      </c>
      <c r="B14" s="6">
        <v>357296.0</v>
      </c>
      <c r="C14" s="6">
        <v>15053.0</v>
      </c>
      <c r="D14" s="7">
        <f t="shared" ref="D14:D19" si="6">B14+C14</f>
        <v>372349</v>
      </c>
      <c r="E14" s="6">
        <v>382000.0</v>
      </c>
      <c r="F14" s="7">
        <f t="shared" si="4"/>
        <v>739296</v>
      </c>
      <c r="G14" s="7">
        <f>G12+F14</f>
        <v>9798777</v>
      </c>
    </row>
    <row r="15">
      <c r="A15" s="5">
        <v>14.0</v>
      </c>
      <c r="B15" s="6">
        <v>47445.0</v>
      </c>
      <c r="C15" s="6">
        <v>2373.0</v>
      </c>
      <c r="D15" s="7">
        <f t="shared" si="6"/>
        <v>49818</v>
      </c>
      <c r="E15" s="6">
        <v>442000.0</v>
      </c>
      <c r="F15" s="7">
        <f t="shared" si="4"/>
        <v>489445</v>
      </c>
      <c r="G15" s="7">
        <f t="shared" ref="G15:G19" si="7">G14+F15</f>
        <v>10288222</v>
      </c>
    </row>
    <row r="16">
      <c r="A16" s="5">
        <v>15.0</v>
      </c>
      <c r="B16" s="6">
        <v>239090.0</v>
      </c>
      <c r="C16" s="6">
        <v>13773.0</v>
      </c>
      <c r="D16" s="7">
        <f t="shared" si="6"/>
        <v>252863</v>
      </c>
      <c r="E16" s="6">
        <v>704000.0</v>
      </c>
      <c r="F16" s="7">
        <f t="shared" si="4"/>
        <v>943090</v>
      </c>
      <c r="G16" s="7">
        <f t="shared" si="7"/>
        <v>11231312</v>
      </c>
    </row>
    <row r="17">
      <c r="A17" s="5">
        <v>16.0</v>
      </c>
      <c r="B17" s="6">
        <v>479857.0</v>
      </c>
      <c r="C17" s="6">
        <v>62912.0</v>
      </c>
      <c r="D17" s="7">
        <f t="shared" si="6"/>
        <v>542769</v>
      </c>
      <c r="E17" s="6">
        <v>620000.0</v>
      </c>
      <c r="F17" s="7">
        <f t="shared" si="4"/>
        <v>1099857</v>
      </c>
      <c r="G17" s="7">
        <f t="shared" si="7"/>
        <v>12331169</v>
      </c>
    </row>
    <row r="18">
      <c r="A18" s="5">
        <v>17.0</v>
      </c>
      <c r="B18" s="6">
        <v>354533.0</v>
      </c>
      <c r="C18" s="6">
        <v>52630.0</v>
      </c>
      <c r="D18" s="7">
        <f t="shared" si="6"/>
        <v>407163</v>
      </c>
      <c r="E18" s="6">
        <v>329000.0</v>
      </c>
      <c r="F18" s="7">
        <f t="shared" si="4"/>
        <v>683533</v>
      </c>
      <c r="G18" s="7">
        <f t="shared" si="7"/>
        <v>13014702</v>
      </c>
    </row>
    <row r="19">
      <c r="A19" s="5">
        <v>18.0</v>
      </c>
      <c r="B19" s="6">
        <v>223551.0</v>
      </c>
      <c r="C19" s="6">
        <v>29016.0</v>
      </c>
      <c r="D19" s="7">
        <f t="shared" si="6"/>
        <v>252567</v>
      </c>
      <c r="E19" s="6">
        <v>587000.0</v>
      </c>
      <c r="F19" s="7">
        <f t="shared" si="4"/>
        <v>810551</v>
      </c>
      <c r="G19" s="7">
        <f t="shared" si="7"/>
        <v>13825253</v>
      </c>
    </row>
    <row r="20">
      <c r="A20" s="3">
        <v>19.0</v>
      </c>
      <c r="B20" s="8"/>
      <c r="C20" s="8"/>
      <c r="D20" s="4"/>
      <c r="E20" s="8"/>
      <c r="F20" s="4">
        <f t="shared" si="4"/>
        <v>0</v>
      </c>
      <c r="G20" s="4"/>
    </row>
    <row r="21">
      <c r="A21" s="5">
        <v>20.0</v>
      </c>
      <c r="B21" s="6">
        <v>521568.0</v>
      </c>
      <c r="C21" s="6">
        <v>86163.0</v>
      </c>
      <c r="D21" s="7">
        <f t="shared" ref="D21:D26" si="8">B21+C21</f>
        <v>607731</v>
      </c>
      <c r="E21" s="6">
        <v>359000.0</v>
      </c>
      <c r="F21" s="7">
        <f t="shared" si="4"/>
        <v>880568</v>
      </c>
      <c r="G21" s="7">
        <f>G19+F21</f>
        <v>14705821</v>
      </c>
    </row>
    <row r="22">
      <c r="A22" s="5">
        <v>21.0</v>
      </c>
      <c r="B22" s="6">
        <v>312079.0</v>
      </c>
      <c r="C22" s="6">
        <v>11332.0</v>
      </c>
      <c r="D22" s="7">
        <f t="shared" si="8"/>
        <v>323411</v>
      </c>
      <c r="E22" s="6">
        <v>280000.0</v>
      </c>
      <c r="F22" s="7">
        <f t="shared" si="4"/>
        <v>592079</v>
      </c>
      <c r="G22" s="7">
        <f t="shared" ref="G22:G26" si="9">G21+F22</f>
        <v>15297900</v>
      </c>
    </row>
    <row r="23">
      <c r="A23" s="5">
        <v>22.0</v>
      </c>
      <c r="B23" s="6">
        <v>366524.0</v>
      </c>
      <c r="C23" s="6">
        <v>36656.0</v>
      </c>
      <c r="D23" s="7">
        <f t="shared" si="8"/>
        <v>403180</v>
      </c>
      <c r="E23" s="6">
        <v>277000.0</v>
      </c>
      <c r="F23" s="7">
        <f t="shared" si="4"/>
        <v>643524</v>
      </c>
      <c r="G23" s="7">
        <f t="shared" si="9"/>
        <v>15941424</v>
      </c>
    </row>
    <row r="24">
      <c r="A24" s="5">
        <v>23.0</v>
      </c>
      <c r="B24" s="6">
        <v>105628.0</v>
      </c>
      <c r="C24" s="6">
        <v>5284.0</v>
      </c>
      <c r="D24" s="7">
        <f t="shared" si="8"/>
        <v>110912</v>
      </c>
      <c r="E24" s="6">
        <v>308000.0</v>
      </c>
      <c r="F24" s="7">
        <f t="shared" si="4"/>
        <v>413628</v>
      </c>
      <c r="G24" s="7">
        <f t="shared" si="9"/>
        <v>16355052</v>
      </c>
    </row>
    <row r="25">
      <c r="A25" s="5">
        <v>24.0</v>
      </c>
      <c r="B25" s="6">
        <v>222117.0</v>
      </c>
      <c r="C25" s="6">
        <v>13598.0</v>
      </c>
      <c r="D25" s="7">
        <f t="shared" si="8"/>
        <v>235715</v>
      </c>
      <c r="E25" s="6">
        <v>406000.0</v>
      </c>
      <c r="F25" s="7">
        <f t="shared" si="4"/>
        <v>628117</v>
      </c>
      <c r="G25" s="7">
        <f t="shared" si="9"/>
        <v>16983169</v>
      </c>
    </row>
    <row r="26">
      <c r="A26" s="5">
        <v>25.0</v>
      </c>
      <c r="B26" s="6">
        <v>186521.0</v>
      </c>
      <c r="C26" s="6">
        <v>20936.0</v>
      </c>
      <c r="D26" s="7">
        <f t="shared" si="8"/>
        <v>207457</v>
      </c>
      <c r="E26" s="6">
        <v>436000.0</v>
      </c>
      <c r="F26" s="7">
        <f t="shared" si="4"/>
        <v>622521</v>
      </c>
      <c r="G26" s="7">
        <f t="shared" si="9"/>
        <v>17605690</v>
      </c>
    </row>
    <row r="27">
      <c r="A27" s="3">
        <v>26.0</v>
      </c>
      <c r="B27" s="8"/>
      <c r="C27" s="8"/>
      <c r="D27" s="4"/>
      <c r="E27" s="8"/>
      <c r="F27" s="4">
        <f t="shared" si="4"/>
        <v>0</v>
      </c>
      <c r="G27" s="4"/>
    </row>
    <row r="28">
      <c r="A28" s="5">
        <v>27.0</v>
      </c>
      <c r="B28" s="6">
        <v>308883.0</v>
      </c>
      <c r="C28" s="6">
        <v>31408.0</v>
      </c>
      <c r="D28" s="7">
        <f t="shared" ref="D28:D29" si="10">B28+C28</f>
        <v>340291</v>
      </c>
      <c r="E28" s="6">
        <v>508000.0</v>
      </c>
      <c r="F28" s="7">
        <f t="shared" si="4"/>
        <v>816883</v>
      </c>
      <c r="G28" s="7">
        <f>G26+F28</f>
        <v>18422573</v>
      </c>
    </row>
    <row r="29">
      <c r="A29" s="5">
        <v>28.0</v>
      </c>
      <c r="B29" s="6">
        <v>352305.0</v>
      </c>
      <c r="C29" s="6">
        <v>32225.0</v>
      </c>
      <c r="D29" s="7">
        <f t="shared" si="10"/>
        <v>384530</v>
      </c>
      <c r="E29" s="6">
        <v>398000.0</v>
      </c>
      <c r="F29" s="7">
        <f t="shared" si="4"/>
        <v>750305</v>
      </c>
      <c r="G29" s="7">
        <f>G28+F29</f>
        <v>19172878</v>
      </c>
    </row>
    <row r="30">
      <c r="A30" s="5" t="s">
        <v>6</v>
      </c>
      <c r="B30" s="7">
        <f>SUM(B2:B29)</f>
        <v>8435878</v>
      </c>
      <c r="C30" s="7"/>
      <c r="D30" s="7"/>
      <c r="E30" s="7">
        <f>SUM(E2:E29)</f>
        <v>10737000</v>
      </c>
      <c r="F30" s="7"/>
      <c r="G30" s="7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127413.0</v>
      </c>
      <c r="C2" s="6">
        <v>11665.0</v>
      </c>
      <c r="D2" s="7">
        <f t="shared" ref="D2:D5" si="1">B2+C2</f>
        <v>139078</v>
      </c>
      <c r="E2" s="6">
        <v>428000.0</v>
      </c>
      <c r="F2" s="7">
        <f t="shared" ref="F2:F5" si="2">E2+B2</f>
        <v>555413</v>
      </c>
      <c r="G2" s="7">
        <f>F2</f>
        <v>555413</v>
      </c>
    </row>
    <row r="3">
      <c r="A3" s="5">
        <v>2.0</v>
      </c>
      <c r="B3" s="6">
        <v>297415.0</v>
      </c>
      <c r="C3" s="6">
        <v>34685.0</v>
      </c>
      <c r="D3" s="7">
        <f t="shared" si="1"/>
        <v>332100</v>
      </c>
      <c r="E3" s="6">
        <v>574000.0</v>
      </c>
      <c r="F3" s="7">
        <f t="shared" si="2"/>
        <v>871415</v>
      </c>
      <c r="G3" s="7">
        <f t="shared" ref="G3:G5" si="3">G2+F3</f>
        <v>1426828</v>
      </c>
    </row>
    <row r="4">
      <c r="A4" s="5">
        <v>3.0</v>
      </c>
      <c r="B4" s="6">
        <v>299325.0</v>
      </c>
      <c r="C4" s="6">
        <v>19944.0</v>
      </c>
      <c r="D4" s="7">
        <f t="shared" si="1"/>
        <v>319269</v>
      </c>
      <c r="E4" s="6">
        <v>558000.0</v>
      </c>
      <c r="F4" s="7">
        <f t="shared" si="2"/>
        <v>857325</v>
      </c>
      <c r="G4" s="7">
        <f t="shared" si="3"/>
        <v>2284153</v>
      </c>
    </row>
    <row r="5">
      <c r="A5" s="5">
        <v>4.0</v>
      </c>
      <c r="B5" s="6">
        <v>328485.0</v>
      </c>
      <c r="C5" s="6">
        <v>31271.0</v>
      </c>
      <c r="D5" s="7">
        <f t="shared" si="1"/>
        <v>359756</v>
      </c>
      <c r="E5" s="6">
        <v>557000.0</v>
      </c>
      <c r="F5" s="7">
        <f t="shared" si="2"/>
        <v>885485</v>
      </c>
      <c r="G5" s="7">
        <f t="shared" si="3"/>
        <v>3169638</v>
      </c>
    </row>
    <row r="6">
      <c r="A6" s="3">
        <v>5.0</v>
      </c>
      <c r="B6" s="8"/>
      <c r="C6" s="8"/>
      <c r="D6" s="4"/>
      <c r="E6" s="8"/>
      <c r="F6" s="4"/>
      <c r="G6" s="4"/>
    </row>
    <row r="7">
      <c r="A7" s="5">
        <v>6.0</v>
      </c>
      <c r="B7" s="6">
        <v>159052.0</v>
      </c>
      <c r="C7" s="6">
        <v>10076.0</v>
      </c>
      <c r="D7" s="7">
        <f t="shared" ref="D7:D12" si="4">B7+C7</f>
        <v>169128</v>
      </c>
      <c r="E7" s="6">
        <v>546000.0</v>
      </c>
      <c r="F7" s="7">
        <f t="shared" ref="F7:F12" si="5">E7+B7</f>
        <v>705052</v>
      </c>
      <c r="G7" s="7">
        <f>G5+F7</f>
        <v>3874690</v>
      </c>
    </row>
    <row r="8">
      <c r="A8" s="5">
        <v>7.0</v>
      </c>
      <c r="B8" s="6">
        <v>289044.0</v>
      </c>
      <c r="C8" s="6">
        <v>38375.0</v>
      </c>
      <c r="D8" s="7">
        <f t="shared" si="4"/>
        <v>327419</v>
      </c>
      <c r="E8" s="6">
        <v>465000.0</v>
      </c>
      <c r="F8" s="7">
        <f t="shared" si="5"/>
        <v>754044</v>
      </c>
      <c r="G8" s="7">
        <f t="shared" ref="G8:G12" si="6">G7+F8</f>
        <v>4628734</v>
      </c>
    </row>
    <row r="9">
      <c r="A9" s="5">
        <v>8.0</v>
      </c>
      <c r="B9" s="6">
        <v>464184.0</v>
      </c>
      <c r="C9" s="6">
        <v>23211.0</v>
      </c>
      <c r="D9" s="7">
        <f t="shared" si="4"/>
        <v>487395</v>
      </c>
      <c r="E9" s="6">
        <v>529000.0</v>
      </c>
      <c r="F9" s="7">
        <f t="shared" si="5"/>
        <v>993184</v>
      </c>
      <c r="G9" s="7">
        <f t="shared" si="6"/>
        <v>5621918</v>
      </c>
    </row>
    <row r="10">
      <c r="A10" s="5">
        <v>9.0</v>
      </c>
      <c r="B10" s="6">
        <v>395521.0</v>
      </c>
      <c r="C10" s="6">
        <v>41223.0</v>
      </c>
      <c r="D10" s="7">
        <f t="shared" si="4"/>
        <v>436744</v>
      </c>
      <c r="E10" s="6">
        <v>522000.0</v>
      </c>
      <c r="F10" s="7">
        <f t="shared" si="5"/>
        <v>917521</v>
      </c>
      <c r="G10" s="7">
        <f t="shared" si="6"/>
        <v>6539439</v>
      </c>
    </row>
    <row r="11">
      <c r="A11" s="5">
        <v>10.0</v>
      </c>
      <c r="B11" s="6">
        <v>180866.0</v>
      </c>
      <c r="C11" s="6">
        <v>12496.0</v>
      </c>
      <c r="D11" s="7">
        <f t="shared" si="4"/>
        <v>193362</v>
      </c>
      <c r="E11" s="6">
        <v>698000.0</v>
      </c>
      <c r="F11" s="7">
        <f t="shared" si="5"/>
        <v>878866</v>
      </c>
      <c r="G11" s="7">
        <f t="shared" si="6"/>
        <v>7418305</v>
      </c>
    </row>
    <row r="12">
      <c r="A12" s="5">
        <v>11.0</v>
      </c>
      <c r="B12" s="6">
        <v>675157.0</v>
      </c>
      <c r="C12" s="6">
        <v>40385.0</v>
      </c>
      <c r="D12" s="7">
        <f t="shared" si="4"/>
        <v>715542</v>
      </c>
      <c r="E12" s="6">
        <v>596000.0</v>
      </c>
      <c r="F12" s="7">
        <f t="shared" si="5"/>
        <v>1271157</v>
      </c>
      <c r="G12" s="7">
        <f t="shared" si="6"/>
        <v>8689462</v>
      </c>
    </row>
    <row r="13">
      <c r="A13" s="3">
        <v>12.0</v>
      </c>
      <c r="B13" s="8"/>
      <c r="C13" s="8"/>
      <c r="D13" s="4"/>
      <c r="E13" s="8"/>
      <c r="F13" s="4"/>
      <c r="G13" s="4"/>
    </row>
    <row r="14">
      <c r="A14" s="5">
        <v>13.0</v>
      </c>
      <c r="B14" s="6">
        <v>30646.0</v>
      </c>
      <c r="C14" s="6">
        <v>333.0</v>
      </c>
      <c r="D14" s="7">
        <f t="shared" ref="D14:D19" si="7">B14+C14</f>
        <v>30979</v>
      </c>
      <c r="E14" s="6">
        <v>531000.0</v>
      </c>
      <c r="F14" s="7">
        <f t="shared" ref="F14:F19" si="8">E14+B14</f>
        <v>561646</v>
      </c>
      <c r="G14" s="7">
        <f>F14+G12</f>
        <v>9251108</v>
      </c>
    </row>
    <row r="15">
      <c r="A15" s="5">
        <v>14.0</v>
      </c>
      <c r="B15" s="6">
        <v>388953.0</v>
      </c>
      <c r="C15" s="6">
        <v>61420.0</v>
      </c>
      <c r="D15" s="7">
        <f t="shared" si="7"/>
        <v>450373</v>
      </c>
      <c r="E15" s="6">
        <v>544000.0</v>
      </c>
      <c r="F15" s="7">
        <f t="shared" si="8"/>
        <v>932953</v>
      </c>
      <c r="G15" s="7">
        <f t="shared" ref="G15:G19" si="9">G14+F15</f>
        <v>10184061</v>
      </c>
    </row>
    <row r="16">
      <c r="A16" s="5">
        <v>15.0</v>
      </c>
      <c r="B16" s="6">
        <v>200134.0</v>
      </c>
      <c r="C16" s="6">
        <v>17066.0</v>
      </c>
      <c r="D16" s="7">
        <f t="shared" si="7"/>
        <v>217200</v>
      </c>
      <c r="E16" s="6">
        <v>478000.0</v>
      </c>
      <c r="F16" s="7">
        <f t="shared" si="8"/>
        <v>678134</v>
      </c>
      <c r="G16" s="7">
        <f t="shared" si="9"/>
        <v>10862195</v>
      </c>
    </row>
    <row r="17">
      <c r="A17" s="5">
        <v>16.0</v>
      </c>
      <c r="B17" s="6">
        <v>147575.0</v>
      </c>
      <c r="C17" s="6">
        <v>14426.0</v>
      </c>
      <c r="D17" s="7">
        <f t="shared" si="7"/>
        <v>162001</v>
      </c>
      <c r="E17" s="6">
        <v>399000.0</v>
      </c>
      <c r="F17" s="7">
        <f t="shared" si="8"/>
        <v>546575</v>
      </c>
      <c r="G17" s="7">
        <f t="shared" si="9"/>
        <v>11408770</v>
      </c>
    </row>
    <row r="18">
      <c r="A18" s="5">
        <v>17.0</v>
      </c>
      <c r="B18" s="6">
        <v>155747.0</v>
      </c>
      <c r="C18" s="6">
        <v>7460.0</v>
      </c>
      <c r="D18" s="7">
        <f t="shared" si="7"/>
        <v>163207</v>
      </c>
      <c r="E18" s="6">
        <v>606000.0</v>
      </c>
      <c r="F18" s="7">
        <f t="shared" si="8"/>
        <v>761747</v>
      </c>
      <c r="G18" s="7">
        <f t="shared" si="9"/>
        <v>12170517</v>
      </c>
    </row>
    <row r="19">
      <c r="A19" s="5">
        <v>18.0</v>
      </c>
      <c r="B19" s="6">
        <v>236060.0</v>
      </c>
      <c r="C19" s="6">
        <v>18353.0</v>
      </c>
      <c r="D19" s="7">
        <f t="shared" si="7"/>
        <v>254413</v>
      </c>
      <c r="E19" s="6">
        <v>580000.0</v>
      </c>
      <c r="F19" s="7">
        <f t="shared" si="8"/>
        <v>816060</v>
      </c>
      <c r="G19" s="7">
        <f t="shared" si="9"/>
        <v>12986577</v>
      </c>
    </row>
    <row r="20">
      <c r="A20" s="3">
        <v>19.0</v>
      </c>
      <c r="B20" s="8"/>
      <c r="C20" s="8"/>
      <c r="D20" s="4"/>
      <c r="E20" s="8"/>
      <c r="F20" s="4"/>
      <c r="G20" s="4"/>
    </row>
    <row r="21">
      <c r="A21" s="3">
        <v>20.0</v>
      </c>
      <c r="B21" s="8"/>
      <c r="C21" s="8"/>
      <c r="D21" s="4"/>
      <c r="E21" s="8"/>
      <c r="F21" s="4"/>
      <c r="G21" s="4"/>
    </row>
    <row r="22">
      <c r="A22" s="5">
        <v>21.0</v>
      </c>
      <c r="B22" s="6">
        <v>150448.0</v>
      </c>
      <c r="C22" s="6">
        <v>7524.0</v>
      </c>
      <c r="D22" s="7">
        <f t="shared" ref="D22:D26" si="10">B22+C22</f>
        <v>157972</v>
      </c>
      <c r="E22" s="6">
        <v>539000.0</v>
      </c>
      <c r="F22" s="7">
        <f t="shared" ref="F22:F26" si="11">E22+B22</f>
        <v>689448</v>
      </c>
      <c r="G22" s="7">
        <f>G19+F22</f>
        <v>13676025</v>
      </c>
    </row>
    <row r="23">
      <c r="A23" s="5">
        <v>22.0</v>
      </c>
      <c r="B23" s="6">
        <v>135259.0</v>
      </c>
      <c r="C23" s="6">
        <v>23880.0</v>
      </c>
      <c r="D23" s="7">
        <f t="shared" si="10"/>
        <v>159139</v>
      </c>
      <c r="E23" s="6">
        <v>445000.0</v>
      </c>
      <c r="F23" s="7">
        <f t="shared" si="11"/>
        <v>580259</v>
      </c>
      <c r="G23" s="7">
        <f>F23+G22</f>
        <v>14256284</v>
      </c>
    </row>
    <row r="24">
      <c r="A24" s="5">
        <v>23.0</v>
      </c>
      <c r="B24" s="6">
        <v>216755.0</v>
      </c>
      <c r="C24" s="6">
        <v>20978.0</v>
      </c>
      <c r="D24" s="7">
        <f t="shared" si="10"/>
        <v>237733</v>
      </c>
      <c r="E24" s="6">
        <v>469000.0</v>
      </c>
      <c r="F24" s="7">
        <f t="shared" si="11"/>
        <v>685755</v>
      </c>
      <c r="G24" s="7">
        <f t="shared" ref="G24:G26" si="12">G23+F24</f>
        <v>14942039</v>
      </c>
      <c r="K24" s="10" t="s">
        <v>7</v>
      </c>
    </row>
    <row r="25">
      <c r="A25" s="5">
        <v>24.0</v>
      </c>
      <c r="B25" s="6">
        <v>474639.0</v>
      </c>
      <c r="C25" s="6">
        <v>70380.0</v>
      </c>
      <c r="D25" s="7">
        <f t="shared" si="10"/>
        <v>545019</v>
      </c>
      <c r="E25" s="6">
        <v>553000.0</v>
      </c>
      <c r="F25" s="7">
        <f t="shared" si="11"/>
        <v>1027639</v>
      </c>
      <c r="G25" s="7">
        <f t="shared" si="12"/>
        <v>15969678</v>
      </c>
    </row>
    <row r="26">
      <c r="A26" s="5">
        <v>25.0</v>
      </c>
      <c r="B26" s="6">
        <f>338639+309523</f>
        <v>648162</v>
      </c>
      <c r="C26" s="6">
        <f>50651+15477</f>
        <v>66128</v>
      </c>
      <c r="D26" s="7">
        <f t="shared" si="10"/>
        <v>714290</v>
      </c>
      <c r="E26" s="6">
        <v>571000.0</v>
      </c>
      <c r="F26" s="7">
        <f t="shared" si="11"/>
        <v>1219162</v>
      </c>
      <c r="G26" s="7">
        <f t="shared" si="12"/>
        <v>17188840</v>
      </c>
    </row>
    <row r="27">
      <c r="A27" s="3">
        <v>26.0</v>
      </c>
      <c r="B27" s="8"/>
      <c r="C27" s="8"/>
      <c r="D27" s="4"/>
      <c r="E27" s="8"/>
      <c r="F27" s="4"/>
      <c r="G27" s="4"/>
    </row>
    <row r="28">
      <c r="A28" s="5">
        <v>27.0</v>
      </c>
      <c r="B28" s="6">
        <v>283548.0</v>
      </c>
      <c r="C28" s="6">
        <v>14854.0</v>
      </c>
      <c r="D28" s="7">
        <f t="shared" ref="D28:D32" si="13">B28+C28</f>
        <v>298402</v>
      </c>
      <c r="E28" s="6">
        <v>336000.0</v>
      </c>
      <c r="F28" s="7">
        <f t="shared" ref="F28:F32" si="14">E28+B28</f>
        <v>619548</v>
      </c>
      <c r="G28" s="7">
        <f>G26+F28</f>
        <v>17808388</v>
      </c>
    </row>
    <row r="29">
      <c r="A29" s="5">
        <v>28.0</v>
      </c>
      <c r="B29" s="6">
        <v>198905.0</v>
      </c>
      <c r="C29" s="6">
        <v>17507.0</v>
      </c>
      <c r="D29" s="7">
        <f t="shared" si="13"/>
        <v>216412</v>
      </c>
      <c r="E29" s="6">
        <v>300000.0</v>
      </c>
      <c r="F29" s="7">
        <f t="shared" si="14"/>
        <v>498905</v>
      </c>
      <c r="G29" s="7">
        <f t="shared" ref="G29:G32" si="15">G28+F29</f>
        <v>18307293</v>
      </c>
    </row>
    <row r="30">
      <c r="A30" s="5">
        <v>29.0</v>
      </c>
      <c r="B30" s="6">
        <v>154120.0</v>
      </c>
      <c r="C30" s="6">
        <v>20350.0</v>
      </c>
      <c r="D30" s="7">
        <f t="shared" si="13"/>
        <v>174470</v>
      </c>
      <c r="E30" s="6">
        <v>437000.0</v>
      </c>
      <c r="F30" s="7">
        <f t="shared" si="14"/>
        <v>591120</v>
      </c>
      <c r="G30" s="7">
        <f t="shared" si="15"/>
        <v>18898413</v>
      </c>
    </row>
    <row r="31">
      <c r="A31" s="5">
        <v>30.0</v>
      </c>
      <c r="B31" s="6">
        <v>9569.0</v>
      </c>
      <c r="C31" s="6">
        <v>1686.0</v>
      </c>
      <c r="D31" s="7">
        <f t="shared" si="13"/>
        <v>11255</v>
      </c>
      <c r="E31" s="6">
        <v>498000.0</v>
      </c>
      <c r="F31" s="7">
        <f t="shared" si="14"/>
        <v>507569</v>
      </c>
      <c r="G31" s="7">
        <f t="shared" si="15"/>
        <v>19405982</v>
      </c>
    </row>
    <row r="32">
      <c r="A32" s="5">
        <v>31.0</v>
      </c>
      <c r="B32" s="6">
        <v>634841.0</v>
      </c>
      <c r="C32" s="6">
        <v>70098.0</v>
      </c>
      <c r="D32" s="7">
        <f t="shared" si="13"/>
        <v>704939</v>
      </c>
      <c r="E32" s="6">
        <v>657000.0</v>
      </c>
      <c r="F32" s="7">
        <f t="shared" si="14"/>
        <v>1291841</v>
      </c>
      <c r="G32" s="7">
        <f t="shared" si="15"/>
        <v>20697823</v>
      </c>
    </row>
    <row r="33">
      <c r="A33" s="5" t="s">
        <v>6</v>
      </c>
      <c r="B33" s="7">
        <f>SUM(B2:B32)</f>
        <v>7281823</v>
      </c>
      <c r="C33" s="7"/>
      <c r="D33" s="7"/>
      <c r="E33" s="7">
        <f>SUM(E2:E32)</f>
        <v>13416000</v>
      </c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675475.0</v>
      </c>
      <c r="C2" s="6">
        <v>64094.0</v>
      </c>
      <c r="D2" s="7">
        <f t="shared" ref="D2:D31" si="1">B2+C2</f>
        <v>739569</v>
      </c>
      <c r="E2" s="6">
        <v>612000.0</v>
      </c>
      <c r="F2" s="7">
        <f t="shared" ref="F2:F31" si="2">B2+E2</f>
        <v>1287475</v>
      </c>
      <c r="G2" s="7">
        <f>F2</f>
        <v>1287475</v>
      </c>
    </row>
    <row r="3">
      <c r="A3" s="3">
        <v>2.0</v>
      </c>
      <c r="B3" s="8"/>
      <c r="C3" s="8"/>
      <c r="D3" s="4">
        <f t="shared" si="1"/>
        <v>0</v>
      </c>
      <c r="E3" s="8"/>
      <c r="F3" s="4">
        <f t="shared" si="2"/>
        <v>0</v>
      </c>
      <c r="G3" s="4"/>
    </row>
    <row r="4">
      <c r="A4" s="5">
        <v>3.0</v>
      </c>
      <c r="B4" s="6">
        <v>0.0</v>
      </c>
      <c r="C4" s="6">
        <v>0.0</v>
      </c>
      <c r="D4" s="7">
        <f t="shared" si="1"/>
        <v>0</v>
      </c>
      <c r="E4" s="6">
        <v>774000.0</v>
      </c>
      <c r="F4" s="7">
        <f t="shared" si="2"/>
        <v>774000</v>
      </c>
      <c r="G4" s="7">
        <f>G2+F4</f>
        <v>2061475</v>
      </c>
    </row>
    <row r="5">
      <c r="A5" s="5">
        <v>4.0</v>
      </c>
      <c r="B5" s="6">
        <v>1043606.0</v>
      </c>
      <c r="C5" s="6">
        <v>106304.0</v>
      </c>
      <c r="D5" s="7">
        <f t="shared" si="1"/>
        <v>1149910</v>
      </c>
      <c r="E5" s="6">
        <v>541000.0</v>
      </c>
      <c r="F5" s="7">
        <f t="shared" si="2"/>
        <v>1584606</v>
      </c>
      <c r="G5" s="7">
        <f t="shared" ref="G5:G31" si="3">G4+F5</f>
        <v>3646081</v>
      </c>
    </row>
    <row r="6">
      <c r="A6" s="5">
        <v>5.0</v>
      </c>
      <c r="B6" s="6">
        <v>690895.0</v>
      </c>
      <c r="C6" s="6">
        <v>100076.0</v>
      </c>
      <c r="D6" s="7">
        <f t="shared" si="1"/>
        <v>790971</v>
      </c>
      <c r="E6" s="6">
        <v>794000.0</v>
      </c>
      <c r="F6" s="7">
        <f t="shared" si="2"/>
        <v>1484895</v>
      </c>
      <c r="G6" s="7">
        <f t="shared" si="3"/>
        <v>5130976</v>
      </c>
    </row>
    <row r="7">
      <c r="A7" s="3">
        <v>6.0</v>
      </c>
      <c r="B7" s="8"/>
      <c r="C7" s="8"/>
      <c r="D7" s="4">
        <f t="shared" si="1"/>
        <v>0</v>
      </c>
      <c r="E7" s="8"/>
      <c r="F7" s="4">
        <f t="shared" si="2"/>
        <v>0</v>
      </c>
      <c r="G7" s="4">
        <f t="shared" si="3"/>
        <v>5130976</v>
      </c>
    </row>
    <row r="8">
      <c r="A8" s="3">
        <v>7.0</v>
      </c>
      <c r="B8" s="8"/>
      <c r="C8" s="8"/>
      <c r="D8" s="4">
        <f t="shared" si="1"/>
        <v>0</v>
      </c>
      <c r="E8" s="8"/>
      <c r="F8" s="4">
        <f t="shared" si="2"/>
        <v>0</v>
      </c>
      <c r="G8" s="4">
        <f t="shared" si="3"/>
        <v>5130976</v>
      </c>
    </row>
    <row r="9">
      <c r="A9" s="3">
        <v>8.0</v>
      </c>
      <c r="B9" s="8"/>
      <c r="C9" s="8"/>
      <c r="D9" s="4">
        <f t="shared" si="1"/>
        <v>0</v>
      </c>
      <c r="E9" s="8"/>
      <c r="F9" s="4">
        <f t="shared" si="2"/>
        <v>0</v>
      </c>
      <c r="G9" s="4">
        <f t="shared" si="3"/>
        <v>5130976</v>
      </c>
    </row>
    <row r="10">
      <c r="A10" s="3">
        <v>9.0</v>
      </c>
      <c r="B10" s="8"/>
      <c r="C10" s="8"/>
      <c r="D10" s="4">
        <f t="shared" si="1"/>
        <v>0</v>
      </c>
      <c r="E10" s="8"/>
      <c r="F10" s="4">
        <f t="shared" si="2"/>
        <v>0</v>
      </c>
      <c r="G10" s="4">
        <f t="shared" si="3"/>
        <v>5130976</v>
      </c>
    </row>
    <row r="11">
      <c r="A11" s="5">
        <v>10.0</v>
      </c>
      <c r="B11" s="6">
        <v>376197.0</v>
      </c>
      <c r="C11" s="6">
        <v>43258.0</v>
      </c>
      <c r="D11" s="7">
        <f t="shared" si="1"/>
        <v>419455</v>
      </c>
      <c r="E11" s="6">
        <v>644000.0</v>
      </c>
      <c r="F11" s="7">
        <f t="shared" si="2"/>
        <v>1020197</v>
      </c>
      <c r="G11" s="7">
        <f t="shared" si="3"/>
        <v>6151173</v>
      </c>
    </row>
    <row r="12">
      <c r="A12" s="5">
        <v>11.0</v>
      </c>
      <c r="B12" s="6">
        <v>221379.0</v>
      </c>
      <c r="C12" s="6">
        <v>23904.0</v>
      </c>
      <c r="D12" s="7">
        <f t="shared" si="1"/>
        <v>245283</v>
      </c>
      <c r="E12" s="6">
        <v>412000.0</v>
      </c>
      <c r="F12" s="7">
        <f t="shared" si="2"/>
        <v>633379</v>
      </c>
      <c r="G12" s="7">
        <f t="shared" si="3"/>
        <v>6784552</v>
      </c>
    </row>
    <row r="13">
      <c r="A13" s="5">
        <v>12.0</v>
      </c>
      <c r="B13" s="6">
        <v>181210.0</v>
      </c>
      <c r="C13" s="6">
        <v>19672.0</v>
      </c>
      <c r="D13" s="7">
        <f t="shared" si="1"/>
        <v>200882</v>
      </c>
      <c r="E13" s="6">
        <v>299000.0</v>
      </c>
      <c r="F13" s="7">
        <f t="shared" si="2"/>
        <v>480210</v>
      </c>
      <c r="G13" s="7">
        <f t="shared" si="3"/>
        <v>7264762</v>
      </c>
    </row>
    <row r="14">
      <c r="A14" s="5">
        <v>13.0</v>
      </c>
      <c r="B14" s="6">
        <v>231486.0</v>
      </c>
      <c r="C14" s="6">
        <v>14364.0</v>
      </c>
      <c r="D14" s="7">
        <f t="shared" si="1"/>
        <v>245850</v>
      </c>
      <c r="E14" s="6">
        <v>504000.0</v>
      </c>
      <c r="F14" s="7">
        <f t="shared" si="2"/>
        <v>735486</v>
      </c>
      <c r="G14" s="7">
        <f t="shared" si="3"/>
        <v>8000248</v>
      </c>
    </row>
    <row r="15">
      <c r="A15" s="5">
        <v>14.0</v>
      </c>
      <c r="B15" s="6">
        <v>29186.0</v>
      </c>
      <c r="C15" s="6">
        <v>5545.0</v>
      </c>
      <c r="D15" s="7">
        <f t="shared" si="1"/>
        <v>34731</v>
      </c>
      <c r="E15" s="6">
        <v>544000.0</v>
      </c>
      <c r="F15" s="7">
        <f t="shared" si="2"/>
        <v>573186</v>
      </c>
      <c r="G15" s="7">
        <f t="shared" si="3"/>
        <v>8573434</v>
      </c>
    </row>
    <row r="16">
      <c r="A16" s="5">
        <v>15.0</v>
      </c>
      <c r="B16" s="6">
        <v>307291.0</v>
      </c>
      <c r="C16" s="6">
        <v>39674.0</v>
      </c>
      <c r="D16" s="7">
        <f t="shared" si="1"/>
        <v>346965</v>
      </c>
      <c r="E16" s="6">
        <v>761000.0</v>
      </c>
      <c r="F16" s="7">
        <f t="shared" si="2"/>
        <v>1068291</v>
      </c>
      <c r="G16" s="7">
        <f t="shared" si="3"/>
        <v>9641725</v>
      </c>
    </row>
    <row r="17">
      <c r="A17" s="3">
        <v>16.0</v>
      </c>
      <c r="B17" s="8"/>
      <c r="C17" s="8"/>
      <c r="D17" s="4">
        <f t="shared" si="1"/>
        <v>0</v>
      </c>
      <c r="E17" s="8"/>
      <c r="F17" s="4">
        <f t="shared" si="2"/>
        <v>0</v>
      </c>
      <c r="G17" s="4">
        <f t="shared" si="3"/>
        <v>9641725</v>
      </c>
    </row>
    <row r="18">
      <c r="A18" s="5">
        <v>17.0</v>
      </c>
      <c r="B18" s="6">
        <v>495838.0</v>
      </c>
      <c r="C18" s="6">
        <v>69634.0</v>
      </c>
      <c r="D18" s="7">
        <f t="shared" si="1"/>
        <v>565472</v>
      </c>
      <c r="E18" s="6">
        <v>411000.0</v>
      </c>
      <c r="F18" s="7">
        <f t="shared" si="2"/>
        <v>906838</v>
      </c>
      <c r="G18" s="7">
        <f t="shared" si="3"/>
        <v>10548563</v>
      </c>
    </row>
    <row r="19">
      <c r="A19" s="5">
        <v>18.0</v>
      </c>
      <c r="B19" s="6">
        <v>250029.0</v>
      </c>
      <c r="C19" s="6">
        <v>25509.0</v>
      </c>
      <c r="D19" s="7">
        <f t="shared" si="1"/>
        <v>275538</v>
      </c>
      <c r="E19" s="6">
        <v>469000.0</v>
      </c>
      <c r="F19" s="7">
        <f t="shared" si="2"/>
        <v>719029</v>
      </c>
      <c r="G19" s="7">
        <f t="shared" si="3"/>
        <v>11267592</v>
      </c>
    </row>
    <row r="20">
      <c r="A20" s="5">
        <v>19.0</v>
      </c>
      <c r="B20" s="6">
        <v>101059.0</v>
      </c>
      <c r="C20" s="6">
        <v>19135.0</v>
      </c>
      <c r="D20" s="7">
        <f t="shared" si="1"/>
        <v>120194</v>
      </c>
      <c r="E20" s="6">
        <v>560000.0</v>
      </c>
      <c r="F20" s="7">
        <f t="shared" si="2"/>
        <v>661059</v>
      </c>
      <c r="G20" s="7">
        <f t="shared" si="3"/>
        <v>11928651</v>
      </c>
    </row>
    <row r="21">
      <c r="A21" s="5">
        <v>20.0</v>
      </c>
      <c r="B21" s="6">
        <v>241894.0</v>
      </c>
      <c r="C21" s="6">
        <v>27423.0</v>
      </c>
      <c r="D21" s="7">
        <f t="shared" si="1"/>
        <v>269317</v>
      </c>
      <c r="E21" s="6">
        <v>356000.0</v>
      </c>
      <c r="F21" s="7">
        <f t="shared" si="2"/>
        <v>597894</v>
      </c>
      <c r="G21" s="7">
        <f t="shared" si="3"/>
        <v>12526545</v>
      </c>
    </row>
    <row r="22">
      <c r="A22" s="5">
        <v>21.0</v>
      </c>
      <c r="B22" s="6">
        <v>382977.0</v>
      </c>
      <c r="C22" s="6">
        <v>63297.0</v>
      </c>
      <c r="D22" s="7">
        <f t="shared" si="1"/>
        <v>446274</v>
      </c>
      <c r="E22" s="6">
        <v>591000.0</v>
      </c>
      <c r="F22" s="7">
        <f t="shared" si="2"/>
        <v>973977</v>
      </c>
      <c r="G22" s="7">
        <f t="shared" si="3"/>
        <v>13500522</v>
      </c>
    </row>
    <row r="23">
      <c r="A23" s="5">
        <v>22.0</v>
      </c>
      <c r="B23" s="6">
        <v>86783.0</v>
      </c>
      <c r="C23" s="6">
        <v>8206.0</v>
      </c>
      <c r="D23" s="7">
        <f t="shared" si="1"/>
        <v>94989</v>
      </c>
      <c r="E23" s="6">
        <v>564000.0</v>
      </c>
      <c r="F23" s="7">
        <f t="shared" si="2"/>
        <v>650783</v>
      </c>
      <c r="G23" s="7">
        <f t="shared" si="3"/>
        <v>14151305</v>
      </c>
    </row>
    <row r="24">
      <c r="A24" s="3">
        <v>23.0</v>
      </c>
      <c r="B24" s="8"/>
      <c r="C24" s="8"/>
      <c r="D24" s="4">
        <f t="shared" si="1"/>
        <v>0</v>
      </c>
      <c r="E24" s="8"/>
      <c r="F24" s="4">
        <f t="shared" si="2"/>
        <v>0</v>
      </c>
      <c r="G24" s="4">
        <f t="shared" si="3"/>
        <v>14151305</v>
      </c>
      <c r="K24" s="10" t="s">
        <v>7</v>
      </c>
    </row>
    <row r="25">
      <c r="A25" s="5">
        <v>24.0</v>
      </c>
      <c r="B25" s="6">
        <v>682102.0</v>
      </c>
      <c r="C25" s="6">
        <v>40637.0</v>
      </c>
      <c r="D25" s="7">
        <f t="shared" si="1"/>
        <v>722739</v>
      </c>
      <c r="E25" s="6">
        <v>458000.0</v>
      </c>
      <c r="F25" s="7">
        <f t="shared" si="2"/>
        <v>1140102</v>
      </c>
      <c r="G25" s="7">
        <f t="shared" si="3"/>
        <v>15291407</v>
      </c>
    </row>
    <row r="26">
      <c r="A26" s="5">
        <v>25.0</v>
      </c>
      <c r="B26" s="6">
        <v>142156.0</v>
      </c>
      <c r="C26" s="6">
        <v>22844.0</v>
      </c>
      <c r="D26" s="7">
        <f t="shared" si="1"/>
        <v>165000</v>
      </c>
      <c r="E26" s="6">
        <v>255000.0</v>
      </c>
      <c r="F26" s="7">
        <f t="shared" si="2"/>
        <v>397156</v>
      </c>
      <c r="G26" s="7">
        <f t="shared" si="3"/>
        <v>15688563</v>
      </c>
    </row>
    <row r="27">
      <c r="A27" s="5">
        <v>26.0</v>
      </c>
      <c r="B27" s="6">
        <v>261180.0</v>
      </c>
      <c r="C27" s="6">
        <v>45131.0</v>
      </c>
      <c r="D27" s="7">
        <f t="shared" si="1"/>
        <v>306311</v>
      </c>
      <c r="E27" s="6">
        <v>313000.0</v>
      </c>
      <c r="F27" s="7">
        <f t="shared" si="2"/>
        <v>574180</v>
      </c>
      <c r="G27" s="7">
        <f t="shared" si="3"/>
        <v>16262743</v>
      </c>
    </row>
    <row r="28">
      <c r="A28" s="5">
        <v>27.0</v>
      </c>
      <c r="B28" s="6">
        <v>309780.0</v>
      </c>
      <c r="C28" s="6">
        <v>42989.0</v>
      </c>
      <c r="D28" s="7">
        <f t="shared" si="1"/>
        <v>352769</v>
      </c>
      <c r="E28" s="6">
        <v>488000.0</v>
      </c>
      <c r="F28" s="7">
        <f t="shared" si="2"/>
        <v>797780</v>
      </c>
      <c r="G28" s="7">
        <f t="shared" si="3"/>
        <v>17060523</v>
      </c>
    </row>
    <row r="29">
      <c r="A29" s="5">
        <v>28.0</v>
      </c>
      <c r="B29" s="6">
        <v>1147698.0</v>
      </c>
      <c r="C29" s="6">
        <v>99629.0</v>
      </c>
      <c r="D29" s="7">
        <f t="shared" si="1"/>
        <v>1247327</v>
      </c>
      <c r="E29" s="6">
        <v>430000.0</v>
      </c>
      <c r="F29" s="7">
        <f t="shared" si="2"/>
        <v>1577698</v>
      </c>
      <c r="G29" s="7">
        <f t="shared" si="3"/>
        <v>18638221</v>
      </c>
    </row>
    <row r="30">
      <c r="A30" s="5">
        <v>29.0</v>
      </c>
      <c r="B30" s="6">
        <v>371957.0</v>
      </c>
      <c r="C30" s="6">
        <v>52784.0</v>
      </c>
      <c r="D30" s="7">
        <f t="shared" si="1"/>
        <v>424741</v>
      </c>
      <c r="E30" s="6">
        <v>588000.0</v>
      </c>
      <c r="F30" s="7">
        <f t="shared" si="2"/>
        <v>959957</v>
      </c>
      <c r="G30" s="7">
        <f t="shared" si="3"/>
        <v>19598178</v>
      </c>
    </row>
    <row r="31">
      <c r="A31" s="3">
        <v>30.0</v>
      </c>
      <c r="B31" s="8"/>
      <c r="C31" s="8"/>
      <c r="D31" s="4">
        <f t="shared" si="1"/>
        <v>0</v>
      </c>
      <c r="E31" s="8"/>
      <c r="F31" s="4">
        <f t="shared" si="2"/>
        <v>0</v>
      </c>
      <c r="G31" s="4">
        <f t="shared" si="3"/>
        <v>19598178</v>
      </c>
    </row>
    <row r="32">
      <c r="A32" s="5" t="s">
        <v>6</v>
      </c>
      <c r="B32" s="7">
        <f t="shared" ref="B32:F32" si="4">SUM(B2:B31)</f>
        <v>8230178</v>
      </c>
      <c r="C32" s="7">
        <f t="shared" si="4"/>
        <v>934109</v>
      </c>
      <c r="D32" s="7">
        <f t="shared" si="4"/>
        <v>9164287</v>
      </c>
      <c r="E32" s="7">
        <f t="shared" si="4"/>
        <v>11368000</v>
      </c>
      <c r="F32" s="7">
        <f t="shared" si="4"/>
        <v>19598178</v>
      </c>
      <c r="G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>
        <f t="shared" ref="D2:D32" si="1">B2+C2</f>
        <v>0</v>
      </c>
      <c r="E2" s="8"/>
      <c r="F2" s="4">
        <f t="shared" ref="F2:F32" si="2">B2+E2</f>
        <v>0</v>
      </c>
      <c r="G2" s="4">
        <f>F2</f>
        <v>0</v>
      </c>
    </row>
    <row r="3">
      <c r="A3" s="5">
        <v>2.0</v>
      </c>
      <c r="B3" s="6">
        <v>258450.0</v>
      </c>
      <c r="C3" s="6">
        <v>17456.0</v>
      </c>
      <c r="D3" s="7">
        <f t="shared" si="1"/>
        <v>275906</v>
      </c>
      <c r="E3" s="6">
        <v>292000.0</v>
      </c>
      <c r="F3" s="7">
        <f t="shared" si="2"/>
        <v>550450</v>
      </c>
      <c r="G3" s="7">
        <f t="shared" ref="G3:G32" si="3">G2+F3</f>
        <v>550450</v>
      </c>
    </row>
    <row r="4">
      <c r="A4" s="5">
        <v>3.0</v>
      </c>
      <c r="B4" s="6">
        <v>495513.0</v>
      </c>
      <c r="C4" s="6">
        <v>24413.0</v>
      </c>
      <c r="D4" s="7">
        <f t="shared" si="1"/>
        <v>519926</v>
      </c>
      <c r="E4" s="6">
        <v>437000.0</v>
      </c>
      <c r="F4" s="7">
        <f t="shared" si="2"/>
        <v>932513</v>
      </c>
      <c r="G4" s="7">
        <f t="shared" si="3"/>
        <v>1482963</v>
      </c>
    </row>
    <row r="5">
      <c r="A5" s="5">
        <v>4.0</v>
      </c>
      <c r="B5" s="6">
        <v>80074.0</v>
      </c>
      <c r="C5" s="6">
        <v>4005.0</v>
      </c>
      <c r="D5" s="7">
        <f t="shared" si="1"/>
        <v>84079</v>
      </c>
      <c r="E5" s="6">
        <v>502000.0</v>
      </c>
      <c r="F5" s="7">
        <f t="shared" si="2"/>
        <v>582074</v>
      </c>
      <c r="G5" s="7">
        <f t="shared" si="3"/>
        <v>2065037</v>
      </c>
    </row>
    <row r="6">
      <c r="A6" s="5">
        <v>5.0</v>
      </c>
      <c r="B6" s="6">
        <v>154217.0</v>
      </c>
      <c r="C6" s="6">
        <v>29168.0</v>
      </c>
      <c r="D6" s="7">
        <f t="shared" si="1"/>
        <v>183385</v>
      </c>
      <c r="E6" s="6">
        <v>774000.0</v>
      </c>
      <c r="F6" s="7">
        <f t="shared" si="2"/>
        <v>928217</v>
      </c>
      <c r="G6" s="7">
        <f t="shared" si="3"/>
        <v>2993254</v>
      </c>
    </row>
    <row r="7">
      <c r="A7" s="5">
        <v>6.0</v>
      </c>
      <c r="B7" s="6">
        <v>264389.0</v>
      </c>
      <c r="C7" s="6">
        <v>21896.0</v>
      </c>
      <c r="D7" s="7">
        <f t="shared" si="1"/>
        <v>286285</v>
      </c>
      <c r="E7" s="6">
        <v>626000.0</v>
      </c>
      <c r="F7" s="7">
        <f t="shared" si="2"/>
        <v>890389</v>
      </c>
      <c r="G7" s="7">
        <f t="shared" si="3"/>
        <v>3883643</v>
      </c>
    </row>
    <row r="8">
      <c r="A8" s="3">
        <v>7.0</v>
      </c>
      <c r="B8" s="8"/>
      <c r="C8" s="8"/>
      <c r="D8" s="4">
        <f t="shared" si="1"/>
        <v>0</v>
      </c>
      <c r="E8" s="8"/>
      <c r="F8" s="4">
        <f t="shared" si="2"/>
        <v>0</v>
      </c>
      <c r="G8" s="4">
        <f t="shared" si="3"/>
        <v>3883643</v>
      </c>
    </row>
    <row r="9">
      <c r="A9" s="5">
        <v>8.0</v>
      </c>
      <c r="B9" s="6">
        <v>310697.0</v>
      </c>
      <c r="C9" s="6">
        <v>47186.0</v>
      </c>
      <c r="D9" s="7">
        <f t="shared" si="1"/>
        <v>357883</v>
      </c>
      <c r="E9" s="6">
        <v>272000.0</v>
      </c>
      <c r="F9" s="7">
        <f t="shared" si="2"/>
        <v>582697</v>
      </c>
      <c r="G9" s="7">
        <f t="shared" si="3"/>
        <v>4466340</v>
      </c>
    </row>
    <row r="10">
      <c r="A10" s="5">
        <v>9.0</v>
      </c>
      <c r="B10" s="6">
        <v>249591.0</v>
      </c>
      <c r="C10" s="6">
        <v>21656.0</v>
      </c>
      <c r="D10" s="7">
        <f t="shared" si="1"/>
        <v>271247</v>
      </c>
      <c r="E10" s="6">
        <v>492000.0</v>
      </c>
      <c r="F10" s="7">
        <f t="shared" si="2"/>
        <v>741591</v>
      </c>
      <c r="G10" s="7">
        <f t="shared" si="3"/>
        <v>5207931</v>
      </c>
    </row>
    <row r="11">
      <c r="A11" s="5">
        <v>10.0</v>
      </c>
      <c r="B11" s="6">
        <v>245308.0</v>
      </c>
      <c r="C11" s="6">
        <v>10416.0</v>
      </c>
      <c r="D11" s="7">
        <f t="shared" si="1"/>
        <v>255724</v>
      </c>
      <c r="E11" s="6">
        <v>414000.0</v>
      </c>
      <c r="F11" s="7">
        <f t="shared" si="2"/>
        <v>659308</v>
      </c>
      <c r="G11" s="7">
        <f t="shared" si="3"/>
        <v>5867239</v>
      </c>
    </row>
    <row r="12">
      <c r="A12" s="5">
        <v>11.0</v>
      </c>
      <c r="B12" s="6">
        <v>104872.0</v>
      </c>
      <c r="C12" s="6">
        <v>7032.0</v>
      </c>
      <c r="D12" s="7">
        <f t="shared" si="1"/>
        <v>111904</v>
      </c>
      <c r="E12" s="6">
        <v>425000.0</v>
      </c>
      <c r="F12" s="7">
        <f t="shared" si="2"/>
        <v>529872</v>
      </c>
      <c r="G12" s="7">
        <f t="shared" si="3"/>
        <v>6397111</v>
      </c>
    </row>
    <row r="13">
      <c r="A13" s="5">
        <v>12.0</v>
      </c>
      <c r="B13" s="6">
        <v>104872.0</v>
      </c>
      <c r="C13" s="6">
        <v>11007.0</v>
      </c>
      <c r="D13" s="7">
        <f t="shared" si="1"/>
        <v>115879</v>
      </c>
      <c r="E13" s="6">
        <v>528000.0</v>
      </c>
      <c r="F13" s="7">
        <f t="shared" si="2"/>
        <v>632872</v>
      </c>
      <c r="G13" s="7">
        <f t="shared" si="3"/>
        <v>7029983</v>
      </c>
    </row>
    <row r="14">
      <c r="A14" s="5">
        <v>13.0</v>
      </c>
      <c r="B14" s="6">
        <v>135421.0</v>
      </c>
      <c r="C14" s="6">
        <v>23547.0</v>
      </c>
      <c r="D14" s="7">
        <f t="shared" si="1"/>
        <v>158968</v>
      </c>
      <c r="E14" s="6">
        <v>951000.0</v>
      </c>
      <c r="F14" s="7">
        <f t="shared" si="2"/>
        <v>1086421</v>
      </c>
      <c r="G14" s="7">
        <f t="shared" si="3"/>
        <v>8116404</v>
      </c>
    </row>
    <row r="15">
      <c r="A15" s="3">
        <v>14.0</v>
      </c>
      <c r="B15" s="8"/>
      <c r="C15" s="8"/>
      <c r="D15" s="4">
        <f t="shared" si="1"/>
        <v>0</v>
      </c>
      <c r="E15" s="8"/>
      <c r="F15" s="4">
        <f t="shared" si="2"/>
        <v>0</v>
      </c>
      <c r="G15" s="4">
        <f t="shared" si="3"/>
        <v>8116404</v>
      </c>
    </row>
    <row r="16">
      <c r="A16" s="5">
        <v>15.0</v>
      </c>
      <c r="B16" s="6">
        <v>386676.0</v>
      </c>
      <c r="C16" s="6">
        <v>27104.0</v>
      </c>
      <c r="D16" s="7">
        <f t="shared" si="1"/>
        <v>413780</v>
      </c>
      <c r="E16" s="6">
        <v>500000.0</v>
      </c>
      <c r="F16" s="7">
        <f t="shared" si="2"/>
        <v>886676</v>
      </c>
      <c r="G16" s="7">
        <f t="shared" si="3"/>
        <v>9003080</v>
      </c>
    </row>
    <row r="17">
      <c r="A17" s="5">
        <v>16.0</v>
      </c>
      <c r="B17" s="6">
        <v>273796.0</v>
      </c>
      <c r="C17" s="6">
        <v>4620.0</v>
      </c>
      <c r="D17" s="7">
        <f t="shared" si="1"/>
        <v>278416</v>
      </c>
      <c r="E17" s="6">
        <v>470000.0</v>
      </c>
      <c r="F17" s="7">
        <f t="shared" si="2"/>
        <v>743796</v>
      </c>
      <c r="G17" s="7">
        <f t="shared" si="3"/>
        <v>9746876</v>
      </c>
    </row>
    <row r="18">
      <c r="A18" s="5">
        <v>17.0</v>
      </c>
      <c r="B18" s="6">
        <v>255353.0</v>
      </c>
      <c r="C18" s="6">
        <v>46117.0</v>
      </c>
      <c r="D18" s="7">
        <f t="shared" si="1"/>
        <v>301470</v>
      </c>
      <c r="E18" s="6">
        <v>411000.0</v>
      </c>
      <c r="F18" s="7">
        <f t="shared" si="2"/>
        <v>666353</v>
      </c>
      <c r="G18" s="7">
        <f t="shared" si="3"/>
        <v>10413229</v>
      </c>
    </row>
    <row r="19">
      <c r="A19" s="5">
        <v>18.0</v>
      </c>
      <c r="B19" s="6">
        <v>355436.0</v>
      </c>
      <c r="C19" s="6">
        <v>56600.0</v>
      </c>
      <c r="D19" s="7">
        <f t="shared" si="1"/>
        <v>412036</v>
      </c>
      <c r="E19" s="6">
        <v>315000.0</v>
      </c>
      <c r="F19" s="7">
        <f t="shared" si="2"/>
        <v>670436</v>
      </c>
      <c r="G19" s="7">
        <f t="shared" si="3"/>
        <v>11083665</v>
      </c>
    </row>
    <row r="20">
      <c r="A20" s="5">
        <v>19.0</v>
      </c>
      <c r="B20" s="6">
        <v>504771.0</v>
      </c>
      <c r="C20" s="6">
        <v>48179.0</v>
      </c>
      <c r="D20" s="7">
        <f t="shared" si="1"/>
        <v>552950</v>
      </c>
      <c r="E20" s="6">
        <v>547000.0</v>
      </c>
      <c r="F20" s="7">
        <f t="shared" si="2"/>
        <v>1051771</v>
      </c>
      <c r="G20" s="7">
        <f t="shared" si="3"/>
        <v>12135436</v>
      </c>
    </row>
    <row r="21">
      <c r="A21" s="5">
        <v>20.0</v>
      </c>
      <c r="B21" s="6">
        <v>379990.0</v>
      </c>
      <c r="C21" s="6">
        <v>41564.0</v>
      </c>
      <c r="D21" s="7">
        <f t="shared" si="1"/>
        <v>421554</v>
      </c>
      <c r="E21" s="6">
        <v>537000.0</v>
      </c>
      <c r="F21" s="7">
        <f t="shared" si="2"/>
        <v>916990</v>
      </c>
      <c r="G21" s="7">
        <f t="shared" si="3"/>
        <v>13052426</v>
      </c>
    </row>
    <row r="22">
      <c r="A22" s="3">
        <v>21.0</v>
      </c>
      <c r="B22" s="8"/>
      <c r="C22" s="8"/>
      <c r="D22" s="4">
        <f t="shared" si="1"/>
        <v>0</v>
      </c>
      <c r="E22" s="8"/>
      <c r="F22" s="4">
        <f t="shared" si="2"/>
        <v>0</v>
      </c>
      <c r="G22" s="4">
        <f t="shared" si="3"/>
        <v>13052426</v>
      </c>
    </row>
    <row r="23">
      <c r="A23" s="3">
        <v>22.0</v>
      </c>
      <c r="B23" s="8"/>
      <c r="C23" s="8"/>
      <c r="D23" s="4">
        <f t="shared" si="1"/>
        <v>0</v>
      </c>
      <c r="E23" s="8"/>
      <c r="F23" s="4">
        <f t="shared" si="2"/>
        <v>0</v>
      </c>
      <c r="G23" s="4">
        <f t="shared" si="3"/>
        <v>13052426</v>
      </c>
    </row>
    <row r="24">
      <c r="A24" s="5">
        <v>23.0</v>
      </c>
      <c r="B24" s="6">
        <v>429594.0</v>
      </c>
      <c r="C24" s="6">
        <v>35608.0</v>
      </c>
      <c r="D24" s="7">
        <f t="shared" si="1"/>
        <v>465202</v>
      </c>
      <c r="E24" s="6">
        <v>450000.0</v>
      </c>
      <c r="F24" s="7">
        <f t="shared" si="2"/>
        <v>879594</v>
      </c>
      <c r="G24" s="7">
        <f t="shared" si="3"/>
        <v>13932020</v>
      </c>
      <c r="K24" s="10" t="s">
        <v>7</v>
      </c>
    </row>
    <row r="25">
      <c r="A25" s="5">
        <v>24.0</v>
      </c>
      <c r="B25" s="6">
        <v>117037.0</v>
      </c>
      <c r="C25" s="6">
        <v>11290.0</v>
      </c>
      <c r="D25" s="7">
        <f t="shared" si="1"/>
        <v>128327</v>
      </c>
      <c r="E25" s="6">
        <v>410000.0</v>
      </c>
      <c r="F25" s="7">
        <f t="shared" si="2"/>
        <v>527037</v>
      </c>
      <c r="G25" s="7">
        <f t="shared" si="3"/>
        <v>14459057</v>
      </c>
    </row>
    <row r="26">
      <c r="A26" s="5">
        <v>25.0</v>
      </c>
      <c r="B26" s="6">
        <v>297312.0</v>
      </c>
      <c r="C26" s="6">
        <v>22776.0</v>
      </c>
      <c r="D26" s="7">
        <f t="shared" si="1"/>
        <v>320088</v>
      </c>
      <c r="E26" s="6">
        <v>579000.0</v>
      </c>
      <c r="F26" s="7">
        <f t="shared" si="2"/>
        <v>876312</v>
      </c>
      <c r="G26" s="7">
        <f t="shared" si="3"/>
        <v>15335369</v>
      </c>
    </row>
    <row r="27">
      <c r="A27" s="5">
        <v>26.0</v>
      </c>
      <c r="B27" s="6">
        <v>356351.0</v>
      </c>
      <c r="C27" s="6">
        <v>51348.0</v>
      </c>
      <c r="D27" s="7">
        <f t="shared" si="1"/>
        <v>407699</v>
      </c>
      <c r="E27" s="6">
        <v>507000.0</v>
      </c>
      <c r="F27" s="7">
        <f t="shared" si="2"/>
        <v>863351</v>
      </c>
      <c r="G27" s="7">
        <f t="shared" si="3"/>
        <v>16198720</v>
      </c>
    </row>
    <row r="28">
      <c r="A28" s="5">
        <v>27.0</v>
      </c>
      <c r="B28" s="6">
        <v>377295.0</v>
      </c>
      <c r="C28" s="6">
        <v>38058.0</v>
      </c>
      <c r="D28" s="7">
        <f t="shared" si="1"/>
        <v>415353</v>
      </c>
      <c r="E28" s="6">
        <v>680000.0</v>
      </c>
      <c r="F28" s="7">
        <f t="shared" si="2"/>
        <v>1057295</v>
      </c>
      <c r="G28" s="7">
        <f t="shared" si="3"/>
        <v>17256015</v>
      </c>
    </row>
    <row r="29">
      <c r="A29" s="3">
        <v>28.0</v>
      </c>
      <c r="B29" s="8"/>
      <c r="C29" s="8"/>
      <c r="D29" s="4">
        <f t="shared" si="1"/>
        <v>0</v>
      </c>
      <c r="E29" s="8"/>
      <c r="F29" s="4">
        <f t="shared" si="2"/>
        <v>0</v>
      </c>
      <c r="G29" s="4">
        <f t="shared" si="3"/>
        <v>17256015</v>
      </c>
    </row>
    <row r="30">
      <c r="A30" s="5">
        <v>29.0</v>
      </c>
      <c r="B30" s="6">
        <v>90473.0</v>
      </c>
      <c r="C30" s="6">
        <v>4866.0</v>
      </c>
      <c r="D30" s="7">
        <f t="shared" si="1"/>
        <v>95339</v>
      </c>
      <c r="E30" s="6">
        <v>364000.0</v>
      </c>
      <c r="F30" s="7">
        <f t="shared" si="2"/>
        <v>454473</v>
      </c>
      <c r="G30" s="7">
        <f t="shared" si="3"/>
        <v>17710488</v>
      </c>
    </row>
    <row r="31">
      <c r="A31" s="5">
        <v>30.0</v>
      </c>
      <c r="B31" s="6">
        <v>409344.0</v>
      </c>
      <c r="C31" s="6">
        <v>23797.0</v>
      </c>
      <c r="D31" s="7">
        <f t="shared" si="1"/>
        <v>433141</v>
      </c>
      <c r="E31" s="6">
        <v>368000.0</v>
      </c>
      <c r="F31" s="7">
        <f t="shared" si="2"/>
        <v>777344</v>
      </c>
      <c r="G31" s="7">
        <f t="shared" si="3"/>
        <v>18487832</v>
      </c>
    </row>
    <row r="32">
      <c r="A32" s="5">
        <v>31.0</v>
      </c>
      <c r="B32" s="6">
        <v>175235.0</v>
      </c>
      <c r="C32" s="6">
        <v>31891.0</v>
      </c>
      <c r="D32" s="7">
        <f t="shared" si="1"/>
        <v>207126</v>
      </c>
      <c r="E32" s="6">
        <v>172000.0</v>
      </c>
      <c r="F32" s="7">
        <f t="shared" si="2"/>
        <v>347235</v>
      </c>
      <c r="G32" s="7">
        <f t="shared" si="3"/>
        <v>18835067</v>
      </c>
    </row>
    <row r="33">
      <c r="A33" s="5" t="s">
        <v>6</v>
      </c>
      <c r="B33" s="7">
        <f t="shared" ref="B33:D33" si="4">SUM(B2:B31)</f>
        <v>6636832</v>
      </c>
      <c r="C33" s="7">
        <f t="shared" si="4"/>
        <v>629709</v>
      </c>
      <c r="D33" s="7">
        <f t="shared" si="4"/>
        <v>7266541</v>
      </c>
      <c r="E33" s="7">
        <f>SUM(E3:E31)</f>
        <v>11851000</v>
      </c>
      <c r="F33" s="7">
        <f>SUM(F3:F32)</f>
        <v>18835067</v>
      </c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294145.0</v>
      </c>
      <c r="C2" s="6">
        <v>29936.0</v>
      </c>
      <c r="D2" s="7">
        <f t="shared" ref="D2:D4" si="1">C2+B2</f>
        <v>324081</v>
      </c>
      <c r="E2" s="6">
        <v>551000.0</v>
      </c>
      <c r="F2" s="7">
        <f t="shared" ref="F2:F4" si="2">E2+B2</f>
        <v>845145</v>
      </c>
      <c r="G2" s="6">
        <v>845145.0</v>
      </c>
    </row>
    <row r="3">
      <c r="A3" s="5">
        <v>2.0</v>
      </c>
      <c r="B3" s="6">
        <v>471994.0</v>
      </c>
      <c r="C3" s="6">
        <v>40814.0</v>
      </c>
      <c r="D3" s="7">
        <f t="shared" si="1"/>
        <v>512808</v>
      </c>
      <c r="E3" s="6">
        <v>366000.0</v>
      </c>
      <c r="F3" s="7">
        <f t="shared" si="2"/>
        <v>837994</v>
      </c>
      <c r="G3" s="7">
        <f t="shared" ref="G3:G4" si="3">G2+F3</f>
        <v>1683139</v>
      </c>
    </row>
    <row r="4">
      <c r="A4" s="5">
        <v>3.0</v>
      </c>
      <c r="B4" s="6">
        <v>387951.0</v>
      </c>
      <c r="C4" s="6">
        <v>36187.0</v>
      </c>
      <c r="D4" s="7">
        <f t="shared" si="1"/>
        <v>424138</v>
      </c>
      <c r="E4" s="6">
        <v>616000.0</v>
      </c>
      <c r="F4" s="7">
        <f t="shared" si="2"/>
        <v>1003951</v>
      </c>
      <c r="G4" s="6">
        <f t="shared" si="3"/>
        <v>2687090</v>
      </c>
    </row>
    <row r="5">
      <c r="A5" s="3">
        <v>4.0</v>
      </c>
      <c r="B5" s="8"/>
      <c r="C5" s="8"/>
      <c r="D5" s="4"/>
      <c r="E5" s="8"/>
      <c r="F5" s="4"/>
      <c r="G5" s="8"/>
    </row>
    <row r="6">
      <c r="A6" s="5">
        <v>5.0</v>
      </c>
      <c r="B6" s="6">
        <v>421567.0</v>
      </c>
      <c r="C6" s="6">
        <v>37519.0</v>
      </c>
      <c r="D6" s="7">
        <f t="shared" ref="D6:D11" si="4">C6+B6</f>
        <v>459086</v>
      </c>
      <c r="E6" s="6">
        <v>454000.0</v>
      </c>
      <c r="F6" s="7">
        <f t="shared" ref="F6:F11" si="5">E6+B6</f>
        <v>875567</v>
      </c>
      <c r="G6" s="6">
        <f>F6+G4</f>
        <v>3562657</v>
      </c>
    </row>
    <row r="7">
      <c r="A7" s="5">
        <v>6.0</v>
      </c>
      <c r="B7" s="6">
        <v>140555.0</v>
      </c>
      <c r="C7" s="6">
        <v>12493.0</v>
      </c>
      <c r="D7" s="7">
        <f t="shared" si="4"/>
        <v>153048</v>
      </c>
      <c r="E7" s="6">
        <v>484000.0</v>
      </c>
      <c r="F7" s="7">
        <f t="shared" si="5"/>
        <v>624555</v>
      </c>
      <c r="G7" s="6">
        <f t="shared" ref="G7:G11" si="6">G6+F7</f>
        <v>4187212</v>
      </c>
    </row>
    <row r="8">
      <c r="A8" s="5">
        <v>7.0</v>
      </c>
      <c r="B8" s="6">
        <v>192451.0</v>
      </c>
      <c r="C8" s="6">
        <v>5318.0</v>
      </c>
      <c r="D8" s="7">
        <f t="shared" si="4"/>
        <v>197769</v>
      </c>
      <c r="E8" s="6">
        <v>495000.0</v>
      </c>
      <c r="F8" s="7">
        <f t="shared" si="5"/>
        <v>687451</v>
      </c>
      <c r="G8" s="6">
        <f t="shared" si="6"/>
        <v>4874663</v>
      </c>
    </row>
    <row r="9">
      <c r="A9" s="5">
        <v>8.0</v>
      </c>
      <c r="B9" s="6">
        <v>200458.0</v>
      </c>
      <c r="C9" s="6">
        <v>14476.0</v>
      </c>
      <c r="D9" s="7">
        <f t="shared" si="4"/>
        <v>214934</v>
      </c>
      <c r="E9" s="6">
        <v>665000.0</v>
      </c>
      <c r="F9" s="7">
        <f t="shared" si="5"/>
        <v>865458</v>
      </c>
      <c r="G9" s="6">
        <f t="shared" si="6"/>
        <v>5740121</v>
      </c>
    </row>
    <row r="10">
      <c r="A10" s="5">
        <v>9.0</v>
      </c>
      <c r="B10" s="6">
        <v>13738.0</v>
      </c>
      <c r="C10" s="6">
        <v>2610.0</v>
      </c>
      <c r="D10" s="7">
        <f t="shared" si="4"/>
        <v>16348</v>
      </c>
      <c r="E10" s="6">
        <v>513000.0</v>
      </c>
      <c r="F10" s="7">
        <f t="shared" si="5"/>
        <v>526738</v>
      </c>
      <c r="G10" s="6">
        <f t="shared" si="6"/>
        <v>6266859</v>
      </c>
    </row>
    <row r="11">
      <c r="A11" s="5">
        <v>10.0</v>
      </c>
      <c r="B11" s="6">
        <v>74449.0</v>
      </c>
      <c r="C11" s="6">
        <v>2540.0</v>
      </c>
      <c r="D11" s="7">
        <f t="shared" si="4"/>
        <v>76989</v>
      </c>
      <c r="E11" s="6">
        <v>515000.0</v>
      </c>
      <c r="F11" s="7">
        <f t="shared" si="5"/>
        <v>589449</v>
      </c>
      <c r="G11" s="6">
        <f t="shared" si="6"/>
        <v>6856308</v>
      </c>
    </row>
    <row r="12">
      <c r="A12" s="3">
        <v>11.0</v>
      </c>
      <c r="B12" s="8"/>
      <c r="C12" s="8"/>
      <c r="D12" s="4"/>
      <c r="E12" s="8"/>
      <c r="F12" s="4"/>
      <c r="G12" s="8"/>
    </row>
    <row r="13">
      <c r="A13" s="3">
        <v>12.0</v>
      </c>
      <c r="B13" s="8"/>
      <c r="C13" s="8"/>
      <c r="D13" s="4"/>
      <c r="E13" s="8"/>
      <c r="F13" s="4"/>
      <c r="G13" s="8"/>
    </row>
    <row r="14">
      <c r="A14" s="5">
        <v>13.0</v>
      </c>
      <c r="B14" s="6">
        <v>247674.0</v>
      </c>
      <c r="C14" s="6">
        <v>29400.0</v>
      </c>
      <c r="D14" s="7">
        <f t="shared" ref="D14:D18" si="7">C14+B14</f>
        <v>277074</v>
      </c>
      <c r="E14" s="6">
        <v>632000.0</v>
      </c>
      <c r="F14" s="7">
        <f t="shared" ref="F14:F18" si="8">E14+B14</f>
        <v>879674</v>
      </c>
      <c r="G14" s="6">
        <f>G11+F14</f>
        <v>7735982</v>
      </c>
    </row>
    <row r="15">
      <c r="A15" s="5">
        <v>14.0</v>
      </c>
      <c r="B15" s="6">
        <v>110075.0</v>
      </c>
      <c r="C15" s="6">
        <v>7833.0</v>
      </c>
      <c r="D15" s="7">
        <f t="shared" si="7"/>
        <v>117908</v>
      </c>
      <c r="E15" s="6">
        <v>534000.0</v>
      </c>
      <c r="F15" s="7">
        <f t="shared" si="8"/>
        <v>644075</v>
      </c>
      <c r="G15" s="6">
        <f t="shared" ref="G15:G18" si="9">G14+F15</f>
        <v>8380057</v>
      </c>
    </row>
    <row r="16">
      <c r="A16" s="5">
        <v>15.0</v>
      </c>
      <c r="B16" s="6">
        <v>22710.0</v>
      </c>
      <c r="C16" s="6">
        <v>1135.0</v>
      </c>
      <c r="D16" s="7">
        <f t="shared" si="7"/>
        <v>23845</v>
      </c>
      <c r="E16" s="6">
        <v>165000.0</v>
      </c>
      <c r="F16" s="7">
        <f t="shared" si="8"/>
        <v>187710</v>
      </c>
      <c r="G16" s="6">
        <f t="shared" si="9"/>
        <v>8567767</v>
      </c>
    </row>
    <row r="17">
      <c r="A17" s="5">
        <v>16.0</v>
      </c>
      <c r="B17" s="6">
        <v>405916.0</v>
      </c>
      <c r="C17" s="6">
        <v>70795.0</v>
      </c>
      <c r="D17" s="7">
        <f t="shared" si="7"/>
        <v>476711</v>
      </c>
      <c r="E17" s="6">
        <v>537000.0</v>
      </c>
      <c r="F17" s="7">
        <f t="shared" si="8"/>
        <v>942916</v>
      </c>
      <c r="G17" s="6">
        <f t="shared" si="9"/>
        <v>9510683</v>
      </c>
    </row>
    <row r="18">
      <c r="A18" s="5">
        <v>17.0</v>
      </c>
      <c r="B18" s="6">
        <v>238663.0</v>
      </c>
      <c r="C18" s="6">
        <v>19317.0</v>
      </c>
      <c r="D18" s="7">
        <f t="shared" si="7"/>
        <v>257980</v>
      </c>
      <c r="E18" s="6">
        <v>630000.0</v>
      </c>
      <c r="F18" s="7">
        <f t="shared" si="8"/>
        <v>868663</v>
      </c>
      <c r="G18" s="6">
        <f t="shared" si="9"/>
        <v>10379346</v>
      </c>
    </row>
    <row r="19">
      <c r="A19" s="3">
        <v>18.0</v>
      </c>
      <c r="B19" s="8"/>
      <c r="C19" s="8"/>
      <c r="D19" s="4"/>
      <c r="E19" s="8"/>
      <c r="F19" s="4"/>
      <c r="G19" s="8"/>
    </row>
    <row r="20">
      <c r="A20" s="3">
        <v>19.0</v>
      </c>
      <c r="B20" s="8"/>
      <c r="C20" s="8"/>
      <c r="D20" s="4"/>
      <c r="E20" s="8"/>
      <c r="F20" s="4"/>
      <c r="G20" s="8"/>
    </row>
    <row r="21">
      <c r="A21" s="5">
        <v>20.0</v>
      </c>
      <c r="B21" s="6">
        <v>1637334.0</v>
      </c>
      <c r="C21" s="6">
        <v>242198.0</v>
      </c>
      <c r="D21" s="7">
        <f t="shared" ref="D21:D25" si="10">C21+B21</f>
        <v>1879532</v>
      </c>
      <c r="E21" s="6">
        <v>650000.0</v>
      </c>
      <c r="F21" s="7">
        <f t="shared" ref="F21:F25" si="11">E21+B21</f>
        <v>2287334</v>
      </c>
      <c r="G21" s="6">
        <f>G18+F21</f>
        <v>12666680</v>
      </c>
    </row>
    <row r="22">
      <c r="A22" s="5">
        <v>21.0</v>
      </c>
      <c r="B22" s="6">
        <v>485669.0</v>
      </c>
      <c r="C22" s="6">
        <v>68227.0</v>
      </c>
      <c r="D22" s="7">
        <f t="shared" si="10"/>
        <v>553896</v>
      </c>
      <c r="E22" s="6">
        <v>578000.0</v>
      </c>
      <c r="F22" s="7">
        <f t="shared" si="11"/>
        <v>1063669</v>
      </c>
      <c r="G22" s="6">
        <f t="shared" ref="G22:G25" si="12">G21+F22</f>
        <v>13730349</v>
      </c>
    </row>
    <row r="23">
      <c r="A23" s="5">
        <v>22.0</v>
      </c>
      <c r="B23" s="6">
        <v>349204.0</v>
      </c>
      <c r="C23" s="6">
        <v>38382.0</v>
      </c>
      <c r="D23" s="7">
        <f t="shared" si="10"/>
        <v>387586</v>
      </c>
      <c r="E23" s="6">
        <v>421000.0</v>
      </c>
      <c r="F23" s="7">
        <f t="shared" si="11"/>
        <v>770204</v>
      </c>
      <c r="G23" s="6">
        <f t="shared" si="12"/>
        <v>14500553</v>
      </c>
    </row>
    <row r="24">
      <c r="A24" s="5">
        <v>23.0</v>
      </c>
      <c r="B24" s="6">
        <v>150106.0</v>
      </c>
      <c r="C24" s="6">
        <v>10981.0</v>
      </c>
      <c r="D24" s="7">
        <f t="shared" si="10"/>
        <v>161087</v>
      </c>
      <c r="E24" s="6">
        <v>442000.0</v>
      </c>
      <c r="F24" s="7">
        <f t="shared" si="11"/>
        <v>592106</v>
      </c>
      <c r="G24" s="6">
        <f t="shared" si="12"/>
        <v>15092659</v>
      </c>
      <c r="K24" s="10" t="s">
        <v>7</v>
      </c>
    </row>
    <row r="25">
      <c r="A25" s="5">
        <v>24.0</v>
      </c>
      <c r="B25" s="6">
        <v>172973.0</v>
      </c>
      <c r="C25" s="6">
        <v>11001.0</v>
      </c>
      <c r="D25" s="7">
        <f t="shared" si="10"/>
        <v>183974</v>
      </c>
      <c r="E25" s="6">
        <v>611000.0</v>
      </c>
      <c r="F25" s="7">
        <f t="shared" si="11"/>
        <v>783973</v>
      </c>
      <c r="G25" s="6">
        <f t="shared" si="12"/>
        <v>15876632</v>
      </c>
    </row>
    <row r="26">
      <c r="A26" s="3">
        <v>25.0</v>
      </c>
      <c r="B26" s="8"/>
      <c r="C26" s="8"/>
      <c r="D26" s="4"/>
      <c r="E26" s="8"/>
      <c r="F26" s="4"/>
      <c r="G26" s="8"/>
    </row>
    <row r="27">
      <c r="A27" s="5">
        <v>26.0</v>
      </c>
      <c r="B27" s="6">
        <v>220487.0</v>
      </c>
      <c r="C27" s="6">
        <v>25708.0</v>
      </c>
      <c r="D27" s="7">
        <f t="shared" ref="D27:D32" si="13">C27+B27</f>
        <v>246195</v>
      </c>
      <c r="E27" s="6">
        <v>488000.0</v>
      </c>
      <c r="F27" s="7">
        <f t="shared" ref="F27:F31" si="14">E27+B27</f>
        <v>708487</v>
      </c>
      <c r="G27" s="6">
        <f>F27+G25</f>
        <v>16585119</v>
      </c>
    </row>
    <row r="28">
      <c r="A28" s="5">
        <v>27.0</v>
      </c>
      <c r="B28" s="6">
        <v>394845.0</v>
      </c>
      <c r="C28" s="6">
        <v>45596.0</v>
      </c>
      <c r="D28" s="7">
        <f t="shared" si="13"/>
        <v>440441</v>
      </c>
      <c r="E28" s="6">
        <v>582000.0</v>
      </c>
      <c r="F28" s="7">
        <f t="shared" si="14"/>
        <v>976845</v>
      </c>
      <c r="G28" s="6">
        <f t="shared" ref="G28:G30" si="15">F28+G27</f>
        <v>17561964</v>
      </c>
    </row>
    <row r="29">
      <c r="A29" s="5">
        <v>28.0</v>
      </c>
      <c r="B29" s="6">
        <v>122584.0</v>
      </c>
      <c r="C29" s="6">
        <v>9613.0</v>
      </c>
      <c r="D29" s="7">
        <f t="shared" si="13"/>
        <v>132197</v>
      </c>
      <c r="E29" s="6">
        <v>306000.0</v>
      </c>
      <c r="F29" s="7">
        <f t="shared" si="14"/>
        <v>428584</v>
      </c>
      <c r="G29" s="6">
        <f t="shared" si="15"/>
        <v>17990548</v>
      </c>
    </row>
    <row r="30">
      <c r="A30" s="5">
        <v>29.0</v>
      </c>
      <c r="B30" s="6">
        <v>79271.0</v>
      </c>
      <c r="C30" s="6">
        <v>14575.0</v>
      </c>
      <c r="D30" s="7">
        <f t="shared" si="13"/>
        <v>93846</v>
      </c>
      <c r="E30" s="6">
        <v>473000.0</v>
      </c>
      <c r="F30" s="7">
        <f t="shared" si="14"/>
        <v>552271</v>
      </c>
      <c r="G30" s="6">
        <f t="shared" si="15"/>
        <v>18542819</v>
      </c>
    </row>
    <row r="31">
      <c r="A31" s="5">
        <v>30.0</v>
      </c>
      <c r="B31" s="6">
        <v>256341.0</v>
      </c>
      <c r="C31" s="6">
        <v>41093.0</v>
      </c>
      <c r="D31" s="7">
        <f t="shared" si="13"/>
        <v>297434</v>
      </c>
      <c r="E31" s="6">
        <v>464000.0</v>
      </c>
      <c r="F31" s="7">
        <f t="shared" si="14"/>
        <v>720341</v>
      </c>
      <c r="G31" s="6">
        <f>G30+F31</f>
        <v>19263160</v>
      </c>
    </row>
    <row r="32">
      <c r="A32" s="5"/>
      <c r="B32" s="6">
        <f t="shared" ref="B32:C32" si="16">SUM(B2:B31)</f>
        <v>7091160</v>
      </c>
      <c r="C32" s="6">
        <f t="shared" si="16"/>
        <v>817747</v>
      </c>
      <c r="D32" s="7">
        <f t="shared" si="13"/>
        <v>7908907</v>
      </c>
      <c r="E32" s="6">
        <f t="shared" ref="E32:F32" si="17">SUM(E2:E31)</f>
        <v>12172000</v>
      </c>
      <c r="F32" s="7">
        <f t="shared" si="17"/>
        <v>19263160</v>
      </c>
      <c r="G32" s="6"/>
    </row>
    <row r="33">
      <c r="A33" s="5"/>
      <c r="B33" s="7"/>
      <c r="C33" s="7"/>
      <c r="D33" s="7"/>
      <c r="E33" s="7"/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520722.0</v>
      </c>
      <c r="C2" s="6">
        <v>31076.0</v>
      </c>
      <c r="D2" s="7">
        <f>B2+C2</f>
        <v>551798</v>
      </c>
      <c r="E2" s="6">
        <v>666000.0</v>
      </c>
      <c r="F2" s="7">
        <f>B2+E2</f>
        <v>1186722</v>
      </c>
      <c r="G2" s="6">
        <f>F2</f>
        <v>1186722</v>
      </c>
    </row>
    <row r="3">
      <c r="A3" s="3">
        <v>2.0</v>
      </c>
      <c r="B3" s="8"/>
      <c r="C3" s="8"/>
      <c r="D3" s="4"/>
      <c r="E3" s="8"/>
      <c r="F3" s="4"/>
      <c r="G3" s="4"/>
    </row>
    <row r="4">
      <c r="A4" s="3">
        <v>3.0</v>
      </c>
      <c r="B4" s="8"/>
      <c r="C4" s="8"/>
      <c r="D4" s="4"/>
      <c r="E4" s="8"/>
      <c r="F4" s="4"/>
      <c r="G4" s="8"/>
    </row>
    <row r="5">
      <c r="A5" s="5">
        <v>4.0</v>
      </c>
      <c r="B5" s="6">
        <v>301587.0</v>
      </c>
      <c r="C5" s="6">
        <v>754.0</v>
      </c>
      <c r="D5" s="7">
        <f t="shared" ref="D5:D9" si="1">B5+C5</f>
        <v>302341</v>
      </c>
      <c r="E5" s="6">
        <v>557000.0</v>
      </c>
      <c r="F5" s="7">
        <f t="shared" ref="F5:F9" si="2">B5+E5</f>
        <v>858587</v>
      </c>
      <c r="G5" s="6">
        <f>F5+G2</f>
        <v>2045309</v>
      </c>
    </row>
    <row r="6">
      <c r="A6" s="5">
        <v>5.0</v>
      </c>
      <c r="B6" s="6">
        <v>306044.0</v>
      </c>
      <c r="C6" s="6">
        <v>26005.0</v>
      </c>
      <c r="D6" s="7">
        <f t="shared" si="1"/>
        <v>332049</v>
      </c>
      <c r="E6" s="6">
        <v>523000.0</v>
      </c>
      <c r="F6" s="7">
        <f t="shared" si="2"/>
        <v>829044</v>
      </c>
      <c r="G6" s="6">
        <f t="shared" ref="G6:G8" si="3">F6+G5</f>
        <v>2874353</v>
      </c>
    </row>
    <row r="7">
      <c r="A7" s="5">
        <v>6.0</v>
      </c>
      <c r="B7" s="6">
        <v>427549.0</v>
      </c>
      <c r="C7" s="6">
        <v>41041.0</v>
      </c>
      <c r="D7" s="7">
        <f t="shared" si="1"/>
        <v>468590</v>
      </c>
      <c r="E7" s="6">
        <v>428000.0</v>
      </c>
      <c r="F7" s="7">
        <f t="shared" si="2"/>
        <v>855549</v>
      </c>
      <c r="G7" s="6">
        <f t="shared" si="3"/>
        <v>3729902</v>
      </c>
    </row>
    <row r="8">
      <c r="A8" s="5">
        <v>7.0</v>
      </c>
      <c r="B8" s="6">
        <v>83289.0</v>
      </c>
      <c r="C8" s="6">
        <v>11993.0</v>
      </c>
      <c r="D8" s="7">
        <f t="shared" si="1"/>
        <v>95282</v>
      </c>
      <c r="E8" s="6">
        <v>408000.0</v>
      </c>
      <c r="F8" s="7">
        <f t="shared" si="2"/>
        <v>491289</v>
      </c>
      <c r="G8" s="6">
        <f t="shared" si="3"/>
        <v>4221191</v>
      </c>
    </row>
    <row r="9">
      <c r="A9" s="5">
        <v>8.0</v>
      </c>
      <c r="B9" s="6">
        <v>177356.0</v>
      </c>
      <c r="C9" s="6">
        <v>14725.0</v>
      </c>
      <c r="D9" s="7">
        <f t="shared" si="1"/>
        <v>192081</v>
      </c>
      <c r="E9" s="6">
        <v>536000.0</v>
      </c>
      <c r="F9" s="7">
        <f t="shared" si="2"/>
        <v>713356</v>
      </c>
      <c r="G9" s="6">
        <f>G8+F9</f>
        <v>4934547</v>
      </c>
    </row>
    <row r="10">
      <c r="A10" s="3">
        <v>9.0</v>
      </c>
      <c r="B10" s="8"/>
      <c r="C10" s="8"/>
      <c r="D10" s="4"/>
      <c r="E10" s="8"/>
      <c r="F10" s="4"/>
      <c r="G10" s="8"/>
    </row>
    <row r="11">
      <c r="A11" s="5">
        <v>10.0</v>
      </c>
      <c r="B11" s="6">
        <v>125013.0</v>
      </c>
      <c r="C11" s="6">
        <v>14152.0</v>
      </c>
      <c r="D11" s="7">
        <f t="shared" ref="D11:D16" si="4">B11+C11</f>
        <v>139165</v>
      </c>
      <c r="E11" s="6">
        <v>524000.0</v>
      </c>
      <c r="F11" s="7">
        <f t="shared" ref="F11:F16" si="5">B11+E11</f>
        <v>649013</v>
      </c>
      <c r="G11" s="6">
        <f>F11+G9</f>
        <v>5583560</v>
      </c>
    </row>
    <row r="12">
      <c r="A12" s="5">
        <v>11.0</v>
      </c>
      <c r="B12" s="6">
        <v>17193.0</v>
      </c>
      <c r="C12" s="6">
        <v>3267.0</v>
      </c>
      <c r="D12" s="7">
        <f t="shared" si="4"/>
        <v>20460</v>
      </c>
      <c r="E12" s="6">
        <v>556000.0</v>
      </c>
      <c r="F12" s="7">
        <f t="shared" si="5"/>
        <v>573193</v>
      </c>
      <c r="G12" s="6">
        <f t="shared" ref="G12:G16" si="6">F12+G11</f>
        <v>6156753</v>
      </c>
    </row>
    <row r="13">
      <c r="A13" s="5">
        <v>12.0</v>
      </c>
      <c r="B13" s="6">
        <v>121291.0</v>
      </c>
      <c r="C13" s="6">
        <v>16088.0</v>
      </c>
      <c r="D13" s="7">
        <f t="shared" si="4"/>
        <v>137379</v>
      </c>
      <c r="E13" s="6">
        <v>318000.0</v>
      </c>
      <c r="F13" s="7">
        <f t="shared" si="5"/>
        <v>439291</v>
      </c>
      <c r="G13" s="6">
        <f t="shared" si="6"/>
        <v>6596044</v>
      </c>
    </row>
    <row r="14">
      <c r="A14" s="5">
        <v>13.0</v>
      </c>
      <c r="B14" s="6">
        <v>355725.0</v>
      </c>
      <c r="C14" s="6">
        <v>43574.0</v>
      </c>
      <c r="D14" s="7">
        <f t="shared" si="4"/>
        <v>399299</v>
      </c>
      <c r="E14" s="6">
        <v>378000.0</v>
      </c>
      <c r="F14" s="7">
        <f t="shared" si="5"/>
        <v>733725</v>
      </c>
      <c r="G14" s="6">
        <f t="shared" si="6"/>
        <v>7329769</v>
      </c>
    </row>
    <row r="15">
      <c r="A15" s="5">
        <v>14.0</v>
      </c>
      <c r="B15" s="6">
        <v>168934.0</v>
      </c>
      <c r="C15" s="6">
        <v>26876.0</v>
      </c>
      <c r="D15" s="7">
        <f t="shared" si="4"/>
        <v>195810</v>
      </c>
      <c r="E15" s="6">
        <v>352000.0</v>
      </c>
      <c r="F15" s="7">
        <f t="shared" si="5"/>
        <v>520934</v>
      </c>
      <c r="G15" s="6">
        <f t="shared" si="6"/>
        <v>7850703</v>
      </c>
    </row>
    <row r="16">
      <c r="A16" s="5">
        <v>15.0</v>
      </c>
      <c r="B16" s="6">
        <v>737584.0</v>
      </c>
      <c r="C16" s="6">
        <v>115340.0</v>
      </c>
      <c r="D16" s="7">
        <f t="shared" si="4"/>
        <v>852924</v>
      </c>
      <c r="E16" s="6">
        <v>682000.0</v>
      </c>
      <c r="F16" s="7">
        <f t="shared" si="5"/>
        <v>1419584</v>
      </c>
      <c r="G16" s="6">
        <f t="shared" si="6"/>
        <v>9270287</v>
      </c>
    </row>
    <row r="17">
      <c r="A17" s="3">
        <v>16.0</v>
      </c>
      <c r="B17" s="8"/>
      <c r="C17" s="8"/>
      <c r="D17" s="4"/>
      <c r="E17" s="8"/>
      <c r="F17" s="4"/>
      <c r="G17" s="8"/>
    </row>
    <row r="18">
      <c r="A18" s="5">
        <v>17.0</v>
      </c>
      <c r="B18" s="6">
        <v>223676.0</v>
      </c>
      <c r="C18" s="6">
        <v>30101.0</v>
      </c>
      <c r="D18" s="7">
        <f t="shared" ref="D18:D23" si="7">B18+C18</f>
        <v>253777</v>
      </c>
      <c r="E18" s="6">
        <v>446000.0</v>
      </c>
      <c r="F18" s="7">
        <f t="shared" ref="F18:F23" si="8">B18+E18</f>
        <v>669676</v>
      </c>
      <c r="G18" s="6">
        <f>G16+F18</f>
        <v>9939963</v>
      </c>
    </row>
    <row r="19">
      <c r="A19" s="5">
        <v>18.0</v>
      </c>
      <c r="B19" s="6">
        <v>102168.0</v>
      </c>
      <c r="C19" s="6">
        <v>8639.0</v>
      </c>
      <c r="D19" s="7">
        <f t="shared" si="7"/>
        <v>110807</v>
      </c>
      <c r="E19" s="6">
        <v>377000.0</v>
      </c>
      <c r="F19" s="7">
        <f t="shared" si="8"/>
        <v>479168</v>
      </c>
      <c r="G19" s="6">
        <f t="shared" ref="G19:G20" si="9">G18+F19</f>
        <v>10419131</v>
      </c>
    </row>
    <row r="20">
      <c r="A20" s="5">
        <v>19.0</v>
      </c>
      <c r="B20" s="6">
        <v>1029.0</v>
      </c>
      <c r="C20" s="6">
        <v>63.0</v>
      </c>
      <c r="D20" s="7">
        <f t="shared" si="7"/>
        <v>1092</v>
      </c>
      <c r="E20" s="6">
        <v>549000.0</v>
      </c>
      <c r="F20" s="7">
        <f t="shared" si="8"/>
        <v>550029</v>
      </c>
      <c r="G20" s="6">
        <f t="shared" si="9"/>
        <v>10969160</v>
      </c>
    </row>
    <row r="21">
      <c r="A21" s="3">
        <v>20.0</v>
      </c>
      <c r="B21" s="8"/>
      <c r="C21" s="8"/>
      <c r="D21" s="4">
        <f t="shared" si="7"/>
        <v>0</v>
      </c>
      <c r="E21" s="8"/>
      <c r="F21" s="4">
        <f t="shared" si="8"/>
        <v>0</v>
      </c>
      <c r="G21" s="8"/>
    </row>
    <row r="22">
      <c r="A22" s="5">
        <v>21.0</v>
      </c>
      <c r="B22" s="6">
        <v>236866.0</v>
      </c>
      <c r="C22" s="6">
        <v>18461.0</v>
      </c>
      <c r="D22" s="7">
        <f t="shared" si="7"/>
        <v>255327</v>
      </c>
      <c r="E22" s="6">
        <v>570000.0</v>
      </c>
      <c r="F22" s="7">
        <f t="shared" si="8"/>
        <v>806866</v>
      </c>
      <c r="G22" s="6">
        <f>F22+G20</f>
        <v>11776026</v>
      </c>
    </row>
    <row r="23">
      <c r="A23" s="5">
        <v>22.0</v>
      </c>
      <c r="B23" s="6">
        <v>243022.0</v>
      </c>
      <c r="C23" s="6">
        <v>11531.0</v>
      </c>
      <c r="D23" s="7">
        <f t="shared" si="7"/>
        <v>254553</v>
      </c>
      <c r="E23" s="6">
        <v>560000.0</v>
      </c>
      <c r="F23" s="7">
        <f t="shared" si="8"/>
        <v>803022</v>
      </c>
      <c r="G23" s="6">
        <f>G22+F23</f>
        <v>12579048</v>
      </c>
    </row>
    <row r="24">
      <c r="A24" s="3">
        <v>23.0</v>
      </c>
      <c r="B24" s="8"/>
      <c r="C24" s="8"/>
      <c r="D24" s="4"/>
      <c r="E24" s="8"/>
      <c r="F24" s="4"/>
      <c r="G24" s="8"/>
      <c r="K24" s="10" t="s">
        <v>7</v>
      </c>
    </row>
    <row r="25">
      <c r="A25" s="5">
        <v>24.0</v>
      </c>
      <c r="B25" s="6">
        <v>125070.0</v>
      </c>
      <c r="C25" s="6">
        <v>7430.0</v>
      </c>
      <c r="D25" s="7">
        <f t="shared" ref="D25:D30" si="10">B25+C25</f>
        <v>132500</v>
      </c>
      <c r="E25" s="6">
        <v>480000.0</v>
      </c>
      <c r="F25" s="7">
        <f t="shared" ref="F25:F30" si="11">B25+E25</f>
        <v>605070</v>
      </c>
      <c r="G25" s="6">
        <f>G23+F25</f>
        <v>13184118</v>
      </c>
    </row>
    <row r="26">
      <c r="A26" s="5">
        <v>25.0</v>
      </c>
      <c r="B26" s="6">
        <v>364371.0</v>
      </c>
      <c r="C26" s="6">
        <v>8532.0</v>
      </c>
      <c r="D26" s="7">
        <f t="shared" si="10"/>
        <v>372903</v>
      </c>
      <c r="E26" s="6">
        <v>675000.0</v>
      </c>
      <c r="F26" s="7">
        <f t="shared" si="11"/>
        <v>1039371</v>
      </c>
      <c r="G26" s="6">
        <f t="shared" ref="G26:G30" si="12">G25+F26</f>
        <v>14223489</v>
      </c>
    </row>
    <row r="27">
      <c r="A27" s="5">
        <v>26.0</v>
      </c>
      <c r="B27" s="6">
        <v>104748.0</v>
      </c>
      <c r="C27" s="6">
        <v>5238.0</v>
      </c>
      <c r="D27" s="7">
        <f t="shared" si="10"/>
        <v>109986</v>
      </c>
      <c r="E27" s="6">
        <v>414000.0</v>
      </c>
      <c r="F27" s="7">
        <f t="shared" si="11"/>
        <v>518748</v>
      </c>
      <c r="G27" s="6">
        <f t="shared" si="12"/>
        <v>14742237</v>
      </c>
    </row>
    <row r="28">
      <c r="A28" s="5">
        <v>27.0</v>
      </c>
      <c r="B28" s="6">
        <v>453876.0</v>
      </c>
      <c r="C28" s="6">
        <v>70214.0</v>
      </c>
      <c r="D28" s="7">
        <f t="shared" si="10"/>
        <v>524090</v>
      </c>
      <c r="E28" s="6">
        <v>594000.0</v>
      </c>
      <c r="F28" s="7">
        <f t="shared" si="11"/>
        <v>1047876</v>
      </c>
      <c r="G28" s="6">
        <f t="shared" si="12"/>
        <v>15790113</v>
      </c>
    </row>
    <row r="29">
      <c r="A29" s="5">
        <v>28.0</v>
      </c>
      <c r="B29" s="6">
        <v>419370.0</v>
      </c>
      <c r="C29" s="6">
        <v>47927.0</v>
      </c>
      <c r="D29" s="7">
        <f t="shared" si="10"/>
        <v>467297</v>
      </c>
      <c r="E29" s="6">
        <v>508000.0</v>
      </c>
      <c r="F29" s="7">
        <f t="shared" si="11"/>
        <v>927370</v>
      </c>
      <c r="G29" s="6">
        <f t="shared" si="12"/>
        <v>16717483</v>
      </c>
    </row>
    <row r="30">
      <c r="A30" s="5">
        <v>29.0</v>
      </c>
      <c r="B30" s="6">
        <v>219981.0</v>
      </c>
      <c r="C30" s="6">
        <v>33964.0</v>
      </c>
      <c r="D30" s="7">
        <f t="shared" si="10"/>
        <v>253945</v>
      </c>
      <c r="E30" s="6">
        <v>478000.0</v>
      </c>
      <c r="F30" s="7">
        <f t="shared" si="11"/>
        <v>697981</v>
      </c>
      <c r="G30" s="6">
        <f t="shared" si="12"/>
        <v>17415464</v>
      </c>
    </row>
    <row r="31">
      <c r="A31" s="3">
        <v>30.0</v>
      </c>
      <c r="B31" s="8"/>
      <c r="C31" s="8"/>
      <c r="D31" s="4"/>
      <c r="E31" s="8"/>
      <c r="F31" s="4"/>
      <c r="G31" s="8"/>
    </row>
    <row r="32">
      <c r="A32" s="5">
        <v>31.0</v>
      </c>
      <c r="B32" s="6">
        <v>241309.0</v>
      </c>
      <c r="C32" s="6">
        <v>18289.0</v>
      </c>
      <c r="D32" s="7">
        <f>C32+B32</f>
        <v>259598</v>
      </c>
      <c r="E32" s="6">
        <v>607000.0</v>
      </c>
      <c r="F32" s="7">
        <f>B32+E32</f>
        <v>848309</v>
      </c>
      <c r="G32" s="6">
        <f>G30+F32</f>
        <v>18263773</v>
      </c>
    </row>
    <row r="33">
      <c r="A33" s="5"/>
      <c r="B33" s="7">
        <f>SUM(B2:B32)</f>
        <v>6077773</v>
      </c>
      <c r="C33" s="7"/>
      <c r="D33" s="7"/>
      <c r="E33" s="7">
        <f>SUM(E2:E32)</f>
        <v>12186000</v>
      </c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154811.0</v>
      </c>
      <c r="C2" s="6">
        <v>13586.0</v>
      </c>
      <c r="D2" s="7">
        <f t="shared" ref="D2:D6" si="1">B2+C2</f>
        <v>168397</v>
      </c>
      <c r="E2" s="6">
        <v>431000.0</v>
      </c>
      <c r="F2" s="7">
        <f t="shared" ref="F2:F6" si="2">B2+E2</f>
        <v>585811</v>
      </c>
      <c r="G2" s="6">
        <f>F2</f>
        <v>585811</v>
      </c>
    </row>
    <row r="3">
      <c r="A3" s="5">
        <v>2.0</v>
      </c>
      <c r="B3" s="6">
        <v>296761.0</v>
      </c>
      <c r="C3" s="6">
        <v>14838.0</v>
      </c>
      <c r="D3" s="7">
        <f t="shared" si="1"/>
        <v>311599</v>
      </c>
      <c r="E3" s="6">
        <v>418000.0</v>
      </c>
      <c r="F3" s="7">
        <f t="shared" si="2"/>
        <v>714761</v>
      </c>
      <c r="G3" s="7">
        <f t="shared" ref="G3:G6" si="3">F3+G2</f>
        <v>1300572</v>
      </c>
    </row>
    <row r="4">
      <c r="A4" s="5">
        <v>3.0</v>
      </c>
      <c r="B4" s="6">
        <v>265133.0</v>
      </c>
      <c r="C4" s="6">
        <v>24240.0</v>
      </c>
      <c r="D4" s="7">
        <f t="shared" si="1"/>
        <v>289373</v>
      </c>
      <c r="E4" s="6">
        <v>453000.0</v>
      </c>
      <c r="F4" s="7">
        <f t="shared" si="2"/>
        <v>718133</v>
      </c>
      <c r="G4" s="6">
        <f t="shared" si="3"/>
        <v>2018705</v>
      </c>
    </row>
    <row r="5">
      <c r="A5" s="5">
        <v>4.0</v>
      </c>
      <c r="B5" s="6">
        <v>189311.0</v>
      </c>
      <c r="C5" s="6">
        <v>9809.0</v>
      </c>
      <c r="D5" s="7">
        <f t="shared" si="1"/>
        <v>199120</v>
      </c>
      <c r="E5" s="6">
        <v>499000.0</v>
      </c>
      <c r="F5" s="7">
        <f t="shared" si="2"/>
        <v>688311</v>
      </c>
      <c r="G5" s="6">
        <f t="shared" si="3"/>
        <v>2707016</v>
      </c>
    </row>
    <row r="6">
      <c r="A6" s="5">
        <v>5.0</v>
      </c>
      <c r="B6" s="6">
        <v>335890.0</v>
      </c>
      <c r="C6" s="6">
        <v>39371.0</v>
      </c>
      <c r="D6" s="7">
        <f t="shared" si="1"/>
        <v>375261</v>
      </c>
      <c r="E6" s="6">
        <v>559000.0</v>
      </c>
      <c r="F6" s="7">
        <f t="shared" si="2"/>
        <v>894890</v>
      </c>
      <c r="G6" s="6">
        <f t="shared" si="3"/>
        <v>3601906</v>
      </c>
    </row>
    <row r="7">
      <c r="A7" s="3">
        <v>6.0</v>
      </c>
      <c r="B7" s="8"/>
      <c r="C7" s="8"/>
      <c r="D7" s="4"/>
      <c r="E7" s="8"/>
      <c r="F7" s="4"/>
      <c r="G7" s="8"/>
    </row>
    <row r="8">
      <c r="A8" s="3">
        <v>7.0</v>
      </c>
      <c r="B8" s="8"/>
      <c r="C8" s="8"/>
      <c r="D8" s="4"/>
      <c r="E8" s="8"/>
      <c r="F8" s="4"/>
      <c r="G8" s="8"/>
    </row>
    <row r="9">
      <c r="A9" s="5">
        <v>8.0</v>
      </c>
      <c r="B9" s="6">
        <v>40941.0</v>
      </c>
      <c r="C9" s="6">
        <v>5088.0</v>
      </c>
      <c r="D9" s="7">
        <f t="shared" ref="D9:D13" si="4">B9+C9</f>
        <v>46029</v>
      </c>
      <c r="E9" s="6">
        <v>500000.0</v>
      </c>
      <c r="F9" s="7">
        <f t="shared" ref="F9:F13" si="5">B9+E9</f>
        <v>540941</v>
      </c>
      <c r="G9" s="6">
        <f>F9+G6</f>
        <v>4142847</v>
      </c>
    </row>
    <row r="10">
      <c r="A10" s="5">
        <v>9.0</v>
      </c>
      <c r="B10" s="6">
        <v>172631.0</v>
      </c>
      <c r="C10" s="6">
        <v>8632.0</v>
      </c>
      <c r="D10" s="7">
        <f t="shared" si="4"/>
        <v>181263</v>
      </c>
      <c r="E10" s="6">
        <v>364000.0</v>
      </c>
      <c r="F10" s="7">
        <f t="shared" si="5"/>
        <v>536631</v>
      </c>
      <c r="G10" s="6">
        <f t="shared" ref="G10:G11" si="6">F10+G9</f>
        <v>4679478</v>
      </c>
    </row>
    <row r="11">
      <c r="A11" s="5">
        <v>10.0</v>
      </c>
      <c r="B11" s="6">
        <v>26714.0</v>
      </c>
      <c r="C11" s="6">
        <v>2543.0</v>
      </c>
      <c r="D11" s="7">
        <f t="shared" si="4"/>
        <v>29257</v>
      </c>
      <c r="E11" s="6">
        <v>349000.0</v>
      </c>
      <c r="F11" s="7">
        <f t="shared" si="5"/>
        <v>375714</v>
      </c>
      <c r="G11" s="6">
        <f t="shared" si="6"/>
        <v>5055192</v>
      </c>
    </row>
    <row r="12">
      <c r="A12" s="5">
        <v>11.0</v>
      </c>
      <c r="B12" s="6">
        <v>104185.0</v>
      </c>
      <c r="C12" s="6">
        <v>8497.0</v>
      </c>
      <c r="D12" s="7">
        <f t="shared" si="4"/>
        <v>112682</v>
      </c>
      <c r="E12" s="6">
        <v>517000.0</v>
      </c>
      <c r="F12" s="7">
        <f t="shared" si="5"/>
        <v>621185</v>
      </c>
      <c r="G12" s="6">
        <f t="shared" ref="G12:G13" si="7">G11+F12</f>
        <v>5676377</v>
      </c>
    </row>
    <row r="13">
      <c r="A13" s="5">
        <v>12.0</v>
      </c>
      <c r="B13" s="6">
        <v>443214.0</v>
      </c>
      <c r="C13" s="6">
        <v>36487.0</v>
      </c>
      <c r="D13" s="7">
        <f t="shared" si="4"/>
        <v>479701</v>
      </c>
      <c r="E13" s="6">
        <v>620000.0</v>
      </c>
      <c r="F13" s="7">
        <f t="shared" si="5"/>
        <v>1063214</v>
      </c>
      <c r="G13" s="6">
        <f t="shared" si="7"/>
        <v>6739591</v>
      </c>
    </row>
    <row r="14">
      <c r="A14" s="3">
        <v>13.0</v>
      </c>
      <c r="B14" s="8"/>
      <c r="C14" s="8"/>
      <c r="D14" s="4"/>
      <c r="E14" s="8"/>
      <c r="F14" s="4"/>
      <c r="G14" s="8"/>
    </row>
    <row r="15">
      <c r="A15" s="5">
        <v>14.0</v>
      </c>
      <c r="B15" s="6">
        <v>258331.0</v>
      </c>
      <c r="C15" s="6">
        <v>42363.0</v>
      </c>
      <c r="D15" s="7">
        <f t="shared" ref="D15:D20" si="8">B15+C15</f>
        <v>300694</v>
      </c>
      <c r="E15" s="6">
        <v>262000.0</v>
      </c>
      <c r="F15" s="7">
        <f t="shared" ref="F15:F20" si="9">B15+E15</f>
        <v>520331</v>
      </c>
      <c r="G15" s="6">
        <f>F15+G13</f>
        <v>7259922</v>
      </c>
    </row>
    <row r="16">
      <c r="A16" s="5">
        <v>15.0</v>
      </c>
      <c r="B16" s="6">
        <v>277997.0</v>
      </c>
      <c r="C16" s="6">
        <v>30614.0</v>
      </c>
      <c r="D16" s="7">
        <f t="shared" si="8"/>
        <v>308611</v>
      </c>
      <c r="E16" s="6">
        <v>356000.0</v>
      </c>
      <c r="F16" s="7">
        <f t="shared" si="9"/>
        <v>633997</v>
      </c>
      <c r="G16" s="6">
        <f t="shared" ref="G16:G20" si="10">G15+F16</f>
        <v>7893919</v>
      </c>
    </row>
    <row r="17">
      <c r="A17" s="5">
        <v>16.0</v>
      </c>
      <c r="B17" s="6">
        <v>345041.0</v>
      </c>
      <c r="C17" s="6">
        <v>44907.0</v>
      </c>
      <c r="D17" s="7">
        <f t="shared" si="8"/>
        <v>389948</v>
      </c>
      <c r="E17" s="6">
        <v>480000.0</v>
      </c>
      <c r="F17" s="7">
        <f t="shared" si="9"/>
        <v>825041</v>
      </c>
      <c r="G17" s="6">
        <f t="shared" si="10"/>
        <v>8718960</v>
      </c>
    </row>
    <row r="18">
      <c r="A18" s="5">
        <v>17.0</v>
      </c>
      <c r="B18" s="6">
        <v>193124.0</v>
      </c>
      <c r="C18" s="6">
        <v>29830.0</v>
      </c>
      <c r="D18" s="7">
        <f t="shared" si="8"/>
        <v>222954</v>
      </c>
      <c r="E18" s="6">
        <v>478000.0</v>
      </c>
      <c r="F18" s="7">
        <f t="shared" si="9"/>
        <v>671124</v>
      </c>
      <c r="G18" s="6">
        <f t="shared" si="10"/>
        <v>9390084</v>
      </c>
    </row>
    <row r="19">
      <c r="A19" s="5">
        <v>18.0</v>
      </c>
      <c r="B19" s="6">
        <v>218526.0</v>
      </c>
      <c r="C19" s="6">
        <v>20962.0</v>
      </c>
      <c r="D19" s="7">
        <f t="shared" si="8"/>
        <v>239488</v>
      </c>
      <c r="E19" s="6">
        <v>414000.0</v>
      </c>
      <c r="F19" s="7">
        <f t="shared" si="9"/>
        <v>632526</v>
      </c>
      <c r="G19" s="6">
        <f t="shared" si="10"/>
        <v>10022610</v>
      </c>
    </row>
    <row r="20">
      <c r="A20" s="5">
        <v>19.0</v>
      </c>
      <c r="B20" s="6">
        <v>42070.0</v>
      </c>
      <c r="C20" s="6">
        <v>2927.0</v>
      </c>
      <c r="D20" s="7">
        <f t="shared" si="8"/>
        <v>44997</v>
      </c>
      <c r="E20" s="6">
        <v>486000.0</v>
      </c>
      <c r="F20" s="7">
        <f t="shared" si="9"/>
        <v>528070</v>
      </c>
      <c r="G20" s="6">
        <f t="shared" si="10"/>
        <v>10550680</v>
      </c>
    </row>
    <row r="21">
      <c r="A21" s="3">
        <v>20.0</v>
      </c>
      <c r="B21" s="8"/>
      <c r="C21" s="8"/>
      <c r="D21" s="4"/>
      <c r="E21" s="8"/>
      <c r="F21" s="4"/>
      <c r="G21" s="8"/>
    </row>
    <row r="22">
      <c r="A22" s="3">
        <v>21.0</v>
      </c>
      <c r="B22" s="8"/>
      <c r="C22" s="8"/>
      <c r="D22" s="4"/>
      <c r="E22" s="8"/>
      <c r="F22" s="4"/>
      <c r="G22" s="8"/>
    </row>
    <row r="23">
      <c r="A23" s="5">
        <v>22.0</v>
      </c>
      <c r="B23" s="6">
        <v>57083.0</v>
      </c>
      <c r="C23" s="6">
        <v>2855.0</v>
      </c>
      <c r="D23" s="7">
        <f t="shared" ref="D23:D27" si="11">B23+C23</f>
        <v>59938</v>
      </c>
      <c r="E23" s="6">
        <v>317000.0</v>
      </c>
      <c r="F23" s="7">
        <f t="shared" ref="F23:F27" si="12">B23+E23</f>
        <v>374083</v>
      </c>
      <c r="G23" s="6">
        <f>F23+G20</f>
        <v>10924763</v>
      </c>
    </row>
    <row r="24">
      <c r="A24" s="5">
        <v>23.0</v>
      </c>
      <c r="B24" s="6">
        <v>204085.0</v>
      </c>
      <c r="C24" s="6">
        <v>30603.0</v>
      </c>
      <c r="D24" s="7">
        <f t="shared" si="11"/>
        <v>234688</v>
      </c>
      <c r="E24" s="6">
        <v>555000.0</v>
      </c>
      <c r="F24" s="7">
        <f t="shared" si="12"/>
        <v>759085</v>
      </c>
      <c r="G24" s="6">
        <f t="shared" ref="G24:G27" si="13">G23+F24</f>
        <v>11683848</v>
      </c>
      <c r="J24" s="10" t="s">
        <v>7</v>
      </c>
    </row>
    <row r="25">
      <c r="A25" s="5">
        <v>24.0</v>
      </c>
      <c r="B25" s="6">
        <v>73165.0</v>
      </c>
      <c r="C25" s="6">
        <v>8834.0</v>
      </c>
      <c r="D25" s="7">
        <f t="shared" si="11"/>
        <v>81999</v>
      </c>
      <c r="E25" s="6">
        <v>482000.0</v>
      </c>
      <c r="F25" s="7">
        <f t="shared" si="12"/>
        <v>555165</v>
      </c>
      <c r="G25" s="6">
        <f t="shared" si="13"/>
        <v>12239013</v>
      </c>
    </row>
    <row r="26">
      <c r="A26" s="5">
        <v>25.0</v>
      </c>
      <c r="B26" s="6">
        <v>319411.0</v>
      </c>
      <c r="C26" s="6">
        <v>20678.0</v>
      </c>
      <c r="D26" s="7">
        <f t="shared" si="11"/>
        <v>340089</v>
      </c>
      <c r="E26" s="6">
        <v>597000.0</v>
      </c>
      <c r="F26" s="7">
        <f t="shared" si="12"/>
        <v>916411</v>
      </c>
      <c r="G26" s="6">
        <f t="shared" si="13"/>
        <v>13155424</v>
      </c>
    </row>
    <row r="27">
      <c r="A27" s="5">
        <v>26.0</v>
      </c>
      <c r="B27" s="6">
        <v>23383.0</v>
      </c>
      <c r="C27" s="6">
        <v>2577.0</v>
      </c>
      <c r="D27" s="7">
        <f t="shared" si="11"/>
        <v>25960</v>
      </c>
      <c r="E27" s="6">
        <v>574000.0</v>
      </c>
      <c r="F27" s="7">
        <f t="shared" si="12"/>
        <v>597383</v>
      </c>
      <c r="G27" s="6">
        <f t="shared" si="13"/>
        <v>13752807</v>
      </c>
    </row>
    <row r="28">
      <c r="A28" s="3">
        <v>27.0</v>
      </c>
      <c r="B28" s="8"/>
      <c r="C28" s="8"/>
      <c r="D28" s="4"/>
      <c r="E28" s="8"/>
      <c r="F28" s="4"/>
      <c r="G28" s="8"/>
    </row>
    <row r="29">
      <c r="A29" s="5">
        <v>28.0</v>
      </c>
      <c r="B29" s="6">
        <v>52436.0</v>
      </c>
      <c r="C29" s="6">
        <v>5564.0</v>
      </c>
      <c r="D29" s="7">
        <f t="shared" ref="D29:D32" si="14">B29+C29</f>
        <v>58000</v>
      </c>
      <c r="E29" s="6">
        <v>616000.0</v>
      </c>
      <c r="F29" s="7">
        <f t="shared" ref="F29:F32" si="15">B29+E29</f>
        <v>668436</v>
      </c>
      <c r="G29" s="6">
        <f>G27+F29</f>
        <v>14421243</v>
      </c>
    </row>
    <row r="30">
      <c r="A30" s="5">
        <v>29.0</v>
      </c>
      <c r="B30" s="6">
        <v>37757.0</v>
      </c>
      <c r="C30" s="6">
        <v>1889.0</v>
      </c>
      <c r="D30" s="7">
        <f t="shared" si="14"/>
        <v>39646</v>
      </c>
      <c r="E30" s="6">
        <v>588000.0</v>
      </c>
      <c r="F30" s="7">
        <f t="shared" si="15"/>
        <v>625757</v>
      </c>
      <c r="G30" s="6">
        <f t="shared" ref="G30:G32" si="16">G29+F30</f>
        <v>15047000</v>
      </c>
    </row>
    <row r="31">
      <c r="A31" s="5">
        <v>30.0</v>
      </c>
      <c r="B31" s="6">
        <v>196944.0</v>
      </c>
      <c r="C31" s="6">
        <v>5320.0</v>
      </c>
      <c r="D31" s="7">
        <f t="shared" si="14"/>
        <v>202264</v>
      </c>
      <c r="E31" s="6">
        <v>523000.0</v>
      </c>
      <c r="F31" s="7">
        <f t="shared" si="15"/>
        <v>719944</v>
      </c>
      <c r="G31" s="6">
        <f t="shared" si="16"/>
        <v>15766944</v>
      </c>
    </row>
    <row r="32">
      <c r="A32" s="5">
        <v>31.0</v>
      </c>
      <c r="B32" s="6">
        <v>168927.0</v>
      </c>
      <c r="C32" s="6">
        <v>5985.0</v>
      </c>
      <c r="D32" s="7">
        <f t="shared" si="14"/>
        <v>174912</v>
      </c>
      <c r="E32" s="6">
        <v>612000.0</v>
      </c>
      <c r="F32" s="7">
        <f t="shared" si="15"/>
        <v>780927</v>
      </c>
      <c r="G32" s="6">
        <f t="shared" si="16"/>
        <v>16547871</v>
      </c>
    </row>
    <row r="33">
      <c r="A33" s="5"/>
      <c r="B33" s="7">
        <f>SUM(B2:B32)</f>
        <v>4497871</v>
      </c>
      <c r="C33" s="7"/>
      <c r="D33" s="7"/>
      <c r="E33" s="7">
        <f>SUM(E2:E32)</f>
        <v>12050000</v>
      </c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250345.0</v>
      </c>
      <c r="C2" s="6">
        <v>38865.0</v>
      </c>
      <c r="D2" s="7">
        <f t="shared" ref="D2:D3" si="1">C2+B2</f>
        <v>289210</v>
      </c>
      <c r="E2" s="6">
        <v>487000.0</v>
      </c>
      <c r="F2" s="7">
        <f t="shared" ref="F2:F3" si="2">E2+B2</f>
        <v>737345</v>
      </c>
      <c r="G2" s="6">
        <f>F2</f>
        <v>737345</v>
      </c>
    </row>
    <row r="3">
      <c r="A3" s="5">
        <v>2.0</v>
      </c>
      <c r="B3" s="6">
        <v>626536.0</v>
      </c>
      <c r="C3" s="6">
        <v>53674.0</v>
      </c>
      <c r="D3" s="7">
        <f t="shared" si="1"/>
        <v>680210</v>
      </c>
      <c r="E3" s="6">
        <v>556000.0</v>
      </c>
      <c r="F3" s="7">
        <f t="shared" si="2"/>
        <v>1182536</v>
      </c>
      <c r="G3" s="7">
        <f>G2+F3</f>
        <v>1919881</v>
      </c>
    </row>
    <row r="4">
      <c r="A4" s="3">
        <v>3.0</v>
      </c>
      <c r="B4" s="8"/>
      <c r="C4" s="8"/>
      <c r="D4" s="4"/>
      <c r="E4" s="8"/>
      <c r="F4" s="4"/>
      <c r="G4" s="8"/>
    </row>
    <row r="5">
      <c r="A5" s="5">
        <v>4.0</v>
      </c>
      <c r="B5" s="6">
        <v>193388.0</v>
      </c>
      <c r="C5" s="6">
        <v>8044.0</v>
      </c>
      <c r="D5" s="7">
        <f t="shared" ref="D5:D7" si="3">SUM(A5:C5)</f>
        <v>201436</v>
      </c>
      <c r="E5" s="6">
        <v>502000.0</v>
      </c>
      <c r="F5" s="7">
        <f t="shared" ref="F5:F10" si="4">E5+B5</f>
        <v>695388</v>
      </c>
      <c r="G5" s="6">
        <f>F5+G3</f>
        <v>2615269</v>
      </c>
    </row>
    <row r="6">
      <c r="A6" s="5">
        <v>5.0</v>
      </c>
      <c r="B6" s="6">
        <v>334312.0</v>
      </c>
      <c r="C6" s="6">
        <v>60473.0</v>
      </c>
      <c r="D6" s="7">
        <f t="shared" si="3"/>
        <v>394790</v>
      </c>
      <c r="E6" s="6">
        <v>410000.0</v>
      </c>
      <c r="F6" s="7">
        <f t="shared" si="4"/>
        <v>744312</v>
      </c>
      <c r="G6" s="6">
        <f t="shared" ref="G6:G10" si="5">F6+G5</f>
        <v>3359581</v>
      </c>
    </row>
    <row r="7">
      <c r="A7" s="5">
        <v>6.0</v>
      </c>
      <c r="B7" s="6">
        <v>215642.0</v>
      </c>
      <c r="C7" s="6">
        <v>26631.0</v>
      </c>
      <c r="D7" s="7">
        <f t="shared" si="3"/>
        <v>242279</v>
      </c>
      <c r="E7" s="6">
        <v>325000.0</v>
      </c>
      <c r="F7" s="7">
        <f t="shared" si="4"/>
        <v>540642</v>
      </c>
      <c r="G7" s="6">
        <f t="shared" si="5"/>
        <v>3900223</v>
      </c>
    </row>
    <row r="8">
      <c r="A8" s="5">
        <v>7.0</v>
      </c>
      <c r="B8" s="6">
        <v>159975.0</v>
      </c>
      <c r="C8" s="6">
        <v>9446.0</v>
      </c>
      <c r="D8" s="7">
        <f t="shared" ref="D8:D10" si="6">B8+C8</f>
        <v>169421</v>
      </c>
      <c r="E8" s="6">
        <v>461000.0</v>
      </c>
      <c r="F8" s="7">
        <f t="shared" si="4"/>
        <v>620975</v>
      </c>
      <c r="G8" s="6">
        <f t="shared" si="5"/>
        <v>4521198</v>
      </c>
    </row>
    <row r="9">
      <c r="A9" s="5">
        <v>8.0</v>
      </c>
      <c r="B9" s="6">
        <v>298860.0</v>
      </c>
      <c r="C9" s="6">
        <v>43342.0</v>
      </c>
      <c r="D9" s="7">
        <f t="shared" si="6"/>
        <v>342202</v>
      </c>
      <c r="E9" s="6">
        <v>401000.0</v>
      </c>
      <c r="F9" s="7">
        <f t="shared" si="4"/>
        <v>699860</v>
      </c>
      <c r="G9" s="6">
        <f t="shared" si="5"/>
        <v>5221058</v>
      </c>
    </row>
    <row r="10">
      <c r="A10" s="5">
        <v>9.0</v>
      </c>
      <c r="B10" s="6">
        <v>70949.0</v>
      </c>
      <c r="C10" s="6">
        <v>8549.0</v>
      </c>
      <c r="D10" s="7">
        <f t="shared" si="6"/>
        <v>79498</v>
      </c>
      <c r="E10" s="6">
        <v>800000.0</v>
      </c>
      <c r="F10" s="7">
        <f t="shared" si="4"/>
        <v>870949</v>
      </c>
      <c r="G10" s="6">
        <f t="shared" si="5"/>
        <v>6092007</v>
      </c>
    </row>
    <row r="11">
      <c r="A11" s="3">
        <v>10.0</v>
      </c>
      <c r="B11" s="8"/>
      <c r="C11" s="8"/>
      <c r="D11" s="4"/>
      <c r="E11" s="8"/>
      <c r="F11" s="4"/>
      <c r="G11" s="8"/>
    </row>
    <row r="12">
      <c r="A12" s="5">
        <v>11.0</v>
      </c>
      <c r="B12" s="6">
        <v>292872.0</v>
      </c>
      <c r="C12" s="6">
        <v>12178.0</v>
      </c>
      <c r="D12" s="7">
        <f t="shared" ref="D12:D14" si="7">B12+C12</f>
        <v>305050</v>
      </c>
      <c r="E12" s="6">
        <v>464000.0</v>
      </c>
      <c r="F12" s="7">
        <f t="shared" ref="F12:F17" si="8">E12+B12</f>
        <v>756872</v>
      </c>
      <c r="G12" s="6">
        <f>F12+G10</f>
        <v>6848879</v>
      </c>
    </row>
    <row r="13">
      <c r="A13" s="5">
        <v>12.0</v>
      </c>
      <c r="B13" s="6">
        <v>72027.0</v>
      </c>
      <c r="C13" s="6">
        <v>7280.0</v>
      </c>
      <c r="D13" s="7">
        <f t="shared" si="7"/>
        <v>79307</v>
      </c>
      <c r="E13" s="6">
        <v>414000.0</v>
      </c>
      <c r="F13" s="7">
        <f t="shared" si="8"/>
        <v>486027</v>
      </c>
      <c r="G13" s="6">
        <f t="shared" ref="G13:G14" si="9">F13+G12</f>
        <v>7334906</v>
      </c>
    </row>
    <row r="14">
      <c r="A14" s="5">
        <v>13.0</v>
      </c>
      <c r="B14" s="6">
        <v>190530.0</v>
      </c>
      <c r="C14" s="6">
        <v>11527.0</v>
      </c>
      <c r="D14" s="7">
        <f t="shared" si="7"/>
        <v>202057</v>
      </c>
      <c r="E14" s="6">
        <v>476000.0</v>
      </c>
      <c r="F14" s="7">
        <f t="shared" si="8"/>
        <v>666530</v>
      </c>
      <c r="G14" s="6">
        <f t="shared" si="9"/>
        <v>8001436</v>
      </c>
    </row>
    <row r="15">
      <c r="A15" s="5">
        <v>14.0</v>
      </c>
      <c r="B15" s="6">
        <v>187439.0</v>
      </c>
      <c r="C15" s="6">
        <v>16776.0</v>
      </c>
      <c r="D15" s="7">
        <f t="shared" ref="D15:D17" si="10">C15+B15</f>
        <v>204215</v>
      </c>
      <c r="E15" s="6">
        <v>513000.0</v>
      </c>
      <c r="F15" s="7">
        <f t="shared" si="8"/>
        <v>700439</v>
      </c>
      <c r="G15" s="6">
        <f t="shared" ref="G15:G17" si="11">G14+F15</f>
        <v>8701875</v>
      </c>
    </row>
    <row r="16">
      <c r="A16" s="5">
        <v>15.0</v>
      </c>
      <c r="B16" s="6">
        <v>241058.0</v>
      </c>
      <c r="C16" s="6">
        <v>20554.0</v>
      </c>
      <c r="D16" s="7">
        <f t="shared" si="10"/>
        <v>261612</v>
      </c>
      <c r="E16" s="6">
        <v>534000.0</v>
      </c>
      <c r="F16" s="7">
        <f t="shared" si="8"/>
        <v>775058</v>
      </c>
      <c r="G16" s="6">
        <f t="shared" si="11"/>
        <v>9476933</v>
      </c>
    </row>
    <row r="17">
      <c r="A17" s="5">
        <v>16.0</v>
      </c>
      <c r="B17" s="6">
        <v>712151.0</v>
      </c>
      <c r="C17" s="6">
        <v>79858.0</v>
      </c>
      <c r="D17" s="7">
        <f t="shared" si="10"/>
        <v>792009</v>
      </c>
      <c r="E17" s="6">
        <v>672000.0</v>
      </c>
      <c r="F17" s="7">
        <f t="shared" si="8"/>
        <v>1384151</v>
      </c>
      <c r="G17" s="6">
        <f t="shared" si="11"/>
        <v>10861084</v>
      </c>
    </row>
    <row r="18">
      <c r="A18" s="3">
        <v>17.0</v>
      </c>
      <c r="B18" s="8"/>
      <c r="C18" s="8"/>
      <c r="D18" s="4"/>
      <c r="E18" s="8"/>
      <c r="F18" s="4"/>
      <c r="G18" s="8"/>
    </row>
    <row r="19">
      <c r="A19" s="5">
        <v>18.0</v>
      </c>
      <c r="B19" s="6">
        <v>83404.0</v>
      </c>
      <c r="C19" s="6">
        <v>5171.0</v>
      </c>
      <c r="D19" s="7">
        <f t="shared" ref="D19:D23" si="12">B19+C19</f>
        <v>88575</v>
      </c>
      <c r="E19" s="6">
        <v>418000.0</v>
      </c>
      <c r="F19" s="7">
        <f t="shared" ref="F19:F24" si="13">E19+B19</f>
        <v>501404</v>
      </c>
      <c r="G19" s="6">
        <f>F19+G17</f>
        <v>11362488</v>
      </c>
    </row>
    <row r="20">
      <c r="A20" s="5">
        <v>19.0</v>
      </c>
      <c r="B20" s="6">
        <v>59887.0</v>
      </c>
      <c r="C20" s="6">
        <v>8654.0</v>
      </c>
      <c r="D20" s="7">
        <f t="shared" si="12"/>
        <v>68541</v>
      </c>
      <c r="E20" s="6">
        <v>488000.0</v>
      </c>
      <c r="F20" s="7">
        <f t="shared" si="13"/>
        <v>547887</v>
      </c>
      <c r="G20" s="6">
        <f t="shared" ref="G20:G23" si="14">F20+G19</f>
        <v>11910375</v>
      </c>
    </row>
    <row r="21">
      <c r="A21" s="5">
        <v>20.0</v>
      </c>
      <c r="B21" s="6">
        <v>143226.0</v>
      </c>
      <c r="C21" s="6">
        <v>11362.0</v>
      </c>
      <c r="D21" s="7">
        <f t="shared" si="12"/>
        <v>154588</v>
      </c>
      <c r="E21" s="6">
        <v>403000.0</v>
      </c>
      <c r="F21" s="7">
        <f t="shared" si="13"/>
        <v>546226</v>
      </c>
      <c r="G21" s="6">
        <f t="shared" si="14"/>
        <v>12456601</v>
      </c>
    </row>
    <row r="22">
      <c r="A22" s="5">
        <v>21.0</v>
      </c>
      <c r="B22" s="6">
        <v>57739.0</v>
      </c>
      <c r="C22" s="6">
        <v>8056.0</v>
      </c>
      <c r="D22" s="6">
        <f t="shared" si="12"/>
        <v>65795</v>
      </c>
      <c r="E22" s="6">
        <v>481000.0</v>
      </c>
      <c r="F22" s="7">
        <f t="shared" si="13"/>
        <v>538739</v>
      </c>
      <c r="G22" s="6">
        <f t="shared" si="14"/>
        <v>12995340</v>
      </c>
    </row>
    <row r="23">
      <c r="A23" s="5">
        <v>22.0</v>
      </c>
      <c r="B23" s="6">
        <v>534887.0</v>
      </c>
      <c r="C23" s="6">
        <v>82521.0</v>
      </c>
      <c r="D23" s="7">
        <f t="shared" si="12"/>
        <v>617408</v>
      </c>
      <c r="E23" s="6">
        <v>606000.0</v>
      </c>
      <c r="F23" s="7">
        <f t="shared" si="13"/>
        <v>1140887</v>
      </c>
      <c r="G23" s="6">
        <f t="shared" si="14"/>
        <v>14136227</v>
      </c>
    </row>
    <row r="24">
      <c r="A24" s="5">
        <v>23.0</v>
      </c>
      <c r="B24" s="6">
        <v>341642.0</v>
      </c>
      <c r="C24" s="6">
        <v>35416.0</v>
      </c>
      <c r="D24" s="7">
        <f>C24+B24</f>
        <v>377058</v>
      </c>
      <c r="E24" s="6">
        <v>536000.0</v>
      </c>
      <c r="F24" s="7">
        <f t="shared" si="13"/>
        <v>877642</v>
      </c>
      <c r="G24" s="6">
        <f>G23+F24</f>
        <v>15013869</v>
      </c>
      <c r="J24" s="10" t="s">
        <v>7</v>
      </c>
    </row>
    <row r="25">
      <c r="A25" s="3">
        <v>24.0</v>
      </c>
      <c r="B25" s="8"/>
      <c r="C25" s="8"/>
      <c r="D25" s="4"/>
      <c r="E25" s="8"/>
      <c r="F25" s="4"/>
      <c r="G25" s="8"/>
    </row>
    <row r="26">
      <c r="A26" s="5">
        <v>25.0</v>
      </c>
      <c r="B26" s="6">
        <v>489006.0</v>
      </c>
      <c r="C26" s="6">
        <v>49510.0</v>
      </c>
      <c r="D26" s="7">
        <f t="shared" ref="D26:D28" si="15">B26+C26</f>
        <v>538516</v>
      </c>
      <c r="E26" s="6">
        <v>361000.0</v>
      </c>
      <c r="F26" s="7">
        <f t="shared" ref="F26:F31" si="16">E26+B26</f>
        <v>850006</v>
      </c>
      <c r="G26" s="6">
        <f>F26+G24</f>
        <v>15863875</v>
      </c>
    </row>
    <row r="27">
      <c r="A27" s="5">
        <v>26.0</v>
      </c>
      <c r="B27" s="6">
        <v>95237.0</v>
      </c>
      <c r="C27" s="6">
        <v>9556.0</v>
      </c>
      <c r="D27" s="6">
        <f t="shared" si="15"/>
        <v>104793</v>
      </c>
      <c r="E27" s="6">
        <v>539000.0</v>
      </c>
      <c r="F27" s="7">
        <f t="shared" si="16"/>
        <v>634237</v>
      </c>
      <c r="G27" s="6">
        <f t="shared" ref="G27:G29" si="17">F27+G26</f>
        <v>16498112</v>
      </c>
    </row>
    <row r="28">
      <c r="A28" s="5">
        <v>27.0</v>
      </c>
      <c r="B28" s="6">
        <v>132186.0</v>
      </c>
      <c r="C28" s="6">
        <v>12583.0</v>
      </c>
      <c r="D28" s="7">
        <f t="shared" si="15"/>
        <v>144769</v>
      </c>
      <c r="E28" s="6">
        <v>338000.0</v>
      </c>
      <c r="F28" s="7">
        <f t="shared" si="16"/>
        <v>470186</v>
      </c>
      <c r="G28" s="6">
        <f t="shared" si="17"/>
        <v>16968298</v>
      </c>
    </row>
    <row r="29">
      <c r="A29" s="5">
        <v>28.0</v>
      </c>
      <c r="B29" s="6">
        <v>0.0</v>
      </c>
      <c r="C29" s="6">
        <v>0.0</v>
      </c>
      <c r="D29" s="6">
        <v>0.0</v>
      </c>
      <c r="E29" s="6">
        <v>419000.0</v>
      </c>
      <c r="F29" s="7">
        <f t="shared" si="16"/>
        <v>419000</v>
      </c>
      <c r="G29" s="6">
        <f t="shared" si="17"/>
        <v>17387298</v>
      </c>
    </row>
    <row r="30">
      <c r="A30" s="5">
        <v>29.0</v>
      </c>
      <c r="B30" s="6">
        <v>161123.0</v>
      </c>
      <c r="C30" s="6">
        <v>30076.0</v>
      </c>
      <c r="D30" s="7">
        <f t="shared" ref="D30:D31" si="18">C30+B30</f>
        <v>191199</v>
      </c>
      <c r="E30" s="6">
        <v>557000.0</v>
      </c>
      <c r="F30" s="7">
        <f t="shared" si="16"/>
        <v>718123</v>
      </c>
      <c r="G30" s="6">
        <f t="shared" ref="G30:G31" si="19">G29+F30</f>
        <v>18105421</v>
      </c>
    </row>
    <row r="31">
      <c r="A31" s="5">
        <v>30.0</v>
      </c>
      <c r="B31" s="6">
        <v>462627.0</v>
      </c>
      <c r="C31" s="6">
        <v>28808.0</v>
      </c>
      <c r="D31" s="7">
        <f t="shared" si="18"/>
        <v>491435</v>
      </c>
      <c r="E31" s="6">
        <v>599000.0</v>
      </c>
      <c r="F31" s="7">
        <f t="shared" si="16"/>
        <v>1061627</v>
      </c>
      <c r="G31" s="6">
        <f t="shared" si="19"/>
        <v>19167048</v>
      </c>
    </row>
    <row r="32">
      <c r="A32" s="5"/>
      <c r="B32" s="6">
        <f>SUM(B2:B31)</f>
        <v>6407048</v>
      </c>
      <c r="C32" s="6"/>
      <c r="D32" s="7"/>
      <c r="E32" s="6">
        <f>SUM(E2:E31)</f>
        <v>12760000</v>
      </c>
      <c r="F32" s="7"/>
      <c r="G32" s="6"/>
    </row>
    <row r="33">
      <c r="A33" s="5"/>
      <c r="B33" s="7"/>
      <c r="C33" s="7"/>
      <c r="D33" s="7"/>
      <c r="E33" s="7"/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/>
      <c r="E2" s="8"/>
      <c r="F2" s="4"/>
      <c r="G2" s="8"/>
    </row>
    <row r="3">
      <c r="A3" s="5">
        <v>2.0</v>
      </c>
      <c r="B3" s="6">
        <v>454919.0</v>
      </c>
      <c r="C3" s="6">
        <v>40785.0</v>
      </c>
      <c r="D3" s="7">
        <f>C3+B3</f>
        <v>495704</v>
      </c>
      <c r="E3" s="6">
        <v>322000.0</v>
      </c>
      <c r="F3" s="7">
        <f t="shared" ref="F3:F8" si="1">E3+B3</f>
        <v>776919</v>
      </c>
      <c r="G3" s="6">
        <f>F3</f>
        <v>776919</v>
      </c>
    </row>
    <row r="4">
      <c r="A4" s="5">
        <v>3.0</v>
      </c>
      <c r="B4" s="6">
        <v>63591.0</v>
      </c>
      <c r="C4" s="6">
        <v>6709.0</v>
      </c>
      <c r="D4" s="6">
        <v>70300.0</v>
      </c>
      <c r="E4" s="6">
        <v>593000.0</v>
      </c>
      <c r="F4" s="7">
        <f t="shared" si="1"/>
        <v>656591</v>
      </c>
      <c r="G4" s="7">
        <f t="shared" ref="G4:G8" si="2">G3+F4</f>
        <v>1433510</v>
      </c>
    </row>
    <row r="5">
      <c r="A5" s="5">
        <v>4.0</v>
      </c>
      <c r="B5" s="6">
        <v>219680.0</v>
      </c>
      <c r="C5" s="6">
        <v>19986.0</v>
      </c>
      <c r="D5" s="7">
        <f t="shared" ref="D5:D6" si="3">SUM(A5:C5)</f>
        <v>239670</v>
      </c>
      <c r="E5" s="6">
        <v>549000.0</v>
      </c>
      <c r="F5" s="7">
        <f t="shared" si="1"/>
        <v>768680</v>
      </c>
      <c r="G5" s="6">
        <f t="shared" si="2"/>
        <v>2202190</v>
      </c>
    </row>
    <row r="6">
      <c r="A6" s="5">
        <v>5.0</v>
      </c>
      <c r="B6" s="6">
        <v>308439.0</v>
      </c>
      <c r="C6" s="6">
        <v>45035.0</v>
      </c>
      <c r="D6" s="7">
        <f t="shared" si="3"/>
        <v>353479</v>
      </c>
      <c r="E6" s="6">
        <v>313000.0</v>
      </c>
      <c r="F6" s="7">
        <f t="shared" si="1"/>
        <v>621439</v>
      </c>
      <c r="G6" s="6">
        <f t="shared" si="2"/>
        <v>2823629</v>
      </c>
    </row>
    <row r="7">
      <c r="A7" s="5">
        <v>6.0</v>
      </c>
      <c r="B7" s="6">
        <v>306180.0</v>
      </c>
      <c r="C7" s="6">
        <v>50182.0</v>
      </c>
      <c r="D7" s="7">
        <f t="shared" ref="D7:D8" si="4">C7+B7</f>
        <v>356362</v>
      </c>
      <c r="E7" s="6">
        <v>668000.0</v>
      </c>
      <c r="F7" s="7">
        <f t="shared" si="1"/>
        <v>974180</v>
      </c>
      <c r="G7" s="6">
        <f t="shared" si="2"/>
        <v>3797809</v>
      </c>
    </row>
    <row r="8">
      <c r="A8" s="5">
        <v>7.0</v>
      </c>
      <c r="B8" s="6">
        <v>209150.0</v>
      </c>
      <c r="C8" s="6">
        <v>26646.0</v>
      </c>
      <c r="D8" s="7">
        <f t="shared" si="4"/>
        <v>235796</v>
      </c>
      <c r="E8" s="6">
        <v>561000.0</v>
      </c>
      <c r="F8" s="7">
        <f t="shared" si="1"/>
        <v>770150</v>
      </c>
      <c r="G8" s="6">
        <f t="shared" si="2"/>
        <v>4567959</v>
      </c>
    </row>
    <row r="9">
      <c r="A9" s="3">
        <v>8.0</v>
      </c>
      <c r="B9" s="8"/>
      <c r="C9" s="8"/>
      <c r="D9" s="4"/>
      <c r="E9" s="8"/>
      <c r="F9" s="4"/>
      <c r="G9" s="8"/>
    </row>
    <row r="10">
      <c r="A10" s="5">
        <v>9.0</v>
      </c>
      <c r="B10" s="6">
        <v>143562.0</v>
      </c>
      <c r="C10" s="6">
        <v>15982.0</v>
      </c>
      <c r="D10" s="7">
        <f>SUM(B10:C10)</f>
        <v>159544</v>
      </c>
      <c r="E10" s="6">
        <v>358000.0</v>
      </c>
      <c r="F10" s="7">
        <f t="shared" ref="F10:F15" si="5">E10+B10</f>
        <v>501562</v>
      </c>
      <c r="G10" s="6">
        <f>F10+G8</f>
        <v>5069521</v>
      </c>
    </row>
    <row r="11">
      <c r="A11" s="5">
        <v>10.0</v>
      </c>
      <c r="B11" s="6">
        <v>248828.0</v>
      </c>
      <c r="C11" s="6">
        <v>32644.0</v>
      </c>
      <c r="D11" s="7">
        <f t="shared" ref="D11:D15" si="6">C11+B11</f>
        <v>281472</v>
      </c>
      <c r="E11" s="6">
        <v>404000.0</v>
      </c>
      <c r="F11" s="7">
        <f t="shared" si="5"/>
        <v>652828</v>
      </c>
      <c r="G11" s="6">
        <f t="shared" ref="G11:G15" si="7">G10+F11</f>
        <v>5722349</v>
      </c>
    </row>
    <row r="12">
      <c r="A12" s="5">
        <v>11.0</v>
      </c>
      <c r="B12" s="6">
        <v>100243.0</v>
      </c>
      <c r="C12" s="6">
        <v>15381.0</v>
      </c>
      <c r="D12" s="7">
        <f t="shared" si="6"/>
        <v>115624</v>
      </c>
      <c r="E12" s="6">
        <v>467000.0</v>
      </c>
      <c r="F12" s="7">
        <f t="shared" si="5"/>
        <v>567243</v>
      </c>
      <c r="G12" s="6">
        <f t="shared" si="7"/>
        <v>6289592</v>
      </c>
    </row>
    <row r="13">
      <c r="A13" s="5">
        <v>12.0</v>
      </c>
      <c r="B13" s="6">
        <v>61949.0</v>
      </c>
      <c r="C13" s="6">
        <v>9045.0</v>
      </c>
      <c r="D13" s="7">
        <f t="shared" si="6"/>
        <v>70994</v>
      </c>
      <c r="E13" s="6">
        <v>499000.0</v>
      </c>
      <c r="F13" s="7">
        <f t="shared" si="5"/>
        <v>560949</v>
      </c>
      <c r="G13" s="6">
        <f t="shared" si="7"/>
        <v>6850541</v>
      </c>
    </row>
    <row r="14">
      <c r="A14" s="5">
        <v>13.0</v>
      </c>
      <c r="B14" s="6">
        <v>421248.0</v>
      </c>
      <c r="C14" s="6">
        <v>59544.0</v>
      </c>
      <c r="D14" s="6">
        <f t="shared" si="6"/>
        <v>480792</v>
      </c>
      <c r="E14" s="6">
        <v>596000.0</v>
      </c>
      <c r="F14" s="7">
        <f t="shared" si="5"/>
        <v>1017248</v>
      </c>
      <c r="G14" s="6">
        <f t="shared" si="7"/>
        <v>7867789</v>
      </c>
    </row>
    <row r="15">
      <c r="A15" s="5">
        <v>14.0</v>
      </c>
      <c r="B15" s="6">
        <v>206103.0</v>
      </c>
      <c r="C15" s="6">
        <v>15835.0</v>
      </c>
      <c r="D15" s="7">
        <f t="shared" si="6"/>
        <v>221938</v>
      </c>
      <c r="E15" s="6">
        <v>654000.0</v>
      </c>
      <c r="F15" s="7">
        <f t="shared" si="5"/>
        <v>860103</v>
      </c>
      <c r="G15" s="6">
        <f t="shared" si="7"/>
        <v>8727892</v>
      </c>
    </row>
    <row r="16">
      <c r="A16" s="3">
        <v>15.0</v>
      </c>
      <c r="B16" s="8"/>
      <c r="C16" s="8"/>
      <c r="D16" s="4"/>
      <c r="E16" s="8"/>
      <c r="F16" s="4"/>
      <c r="G16" s="8"/>
    </row>
    <row r="17">
      <c r="A17" s="3">
        <v>16.0</v>
      </c>
      <c r="B17" s="8"/>
      <c r="C17" s="8"/>
      <c r="D17" s="4"/>
      <c r="E17" s="8"/>
      <c r="F17" s="4"/>
      <c r="G17" s="8"/>
    </row>
    <row r="18">
      <c r="A18" s="5">
        <v>17.0</v>
      </c>
      <c r="B18" s="6">
        <v>214213.0</v>
      </c>
      <c r="C18" s="6">
        <v>19643.0</v>
      </c>
      <c r="D18" s="7">
        <f t="shared" ref="D18:D22" si="8">C18+B18</f>
        <v>233856</v>
      </c>
      <c r="E18" s="6">
        <v>220000.0</v>
      </c>
      <c r="F18" s="7">
        <f t="shared" ref="F18:F22" si="9">E18+B18</f>
        <v>434213</v>
      </c>
      <c r="G18" s="6">
        <f>F18+G15</f>
        <v>9162105</v>
      </c>
    </row>
    <row r="19">
      <c r="A19" s="5">
        <v>18.0</v>
      </c>
      <c r="B19" s="6">
        <v>61428.0</v>
      </c>
      <c r="C19" s="6">
        <v>4072.0</v>
      </c>
      <c r="D19" s="7">
        <f t="shared" si="8"/>
        <v>65500</v>
      </c>
      <c r="E19" s="6">
        <v>473000.0</v>
      </c>
      <c r="F19" s="7">
        <f t="shared" si="9"/>
        <v>534428</v>
      </c>
      <c r="G19" s="6">
        <f t="shared" ref="G19:G20" si="10">F19+G18</f>
        <v>9696533</v>
      </c>
    </row>
    <row r="20">
      <c r="A20" s="5">
        <v>19.0</v>
      </c>
      <c r="B20" s="6">
        <v>121287.0</v>
      </c>
      <c r="C20" s="6">
        <v>11582.0</v>
      </c>
      <c r="D20" s="7">
        <f t="shared" si="8"/>
        <v>132869</v>
      </c>
      <c r="E20" s="6">
        <v>434000.0</v>
      </c>
      <c r="F20" s="7">
        <f t="shared" si="9"/>
        <v>555287</v>
      </c>
      <c r="G20" s="6">
        <f t="shared" si="10"/>
        <v>10251820</v>
      </c>
    </row>
    <row r="21">
      <c r="A21" s="5">
        <v>20.0</v>
      </c>
      <c r="B21" s="6">
        <v>164700.0</v>
      </c>
      <c r="C21" s="6">
        <v>29400.0</v>
      </c>
      <c r="D21" s="7">
        <f t="shared" si="8"/>
        <v>194100</v>
      </c>
      <c r="E21" s="6">
        <v>452000.0</v>
      </c>
      <c r="F21" s="7">
        <f t="shared" si="9"/>
        <v>616700</v>
      </c>
      <c r="G21" s="6">
        <f t="shared" ref="G21:G22" si="11">G20+F21</f>
        <v>10868520</v>
      </c>
    </row>
    <row r="22">
      <c r="A22" s="5">
        <v>21.0</v>
      </c>
      <c r="B22" s="6">
        <v>99075.0</v>
      </c>
      <c r="C22" s="6">
        <v>11225.0</v>
      </c>
      <c r="D22" s="7">
        <f t="shared" si="8"/>
        <v>110300</v>
      </c>
      <c r="E22" s="6">
        <v>665000.0</v>
      </c>
      <c r="F22" s="7">
        <f t="shared" si="9"/>
        <v>764075</v>
      </c>
      <c r="G22" s="6">
        <f t="shared" si="11"/>
        <v>11632595</v>
      </c>
    </row>
    <row r="23">
      <c r="A23" s="3">
        <v>22.0</v>
      </c>
      <c r="B23" s="8"/>
      <c r="C23" s="8"/>
      <c r="D23" s="8"/>
      <c r="E23" s="8"/>
      <c r="F23" s="4"/>
      <c r="G23" s="8"/>
    </row>
    <row r="24">
      <c r="A24" s="5">
        <v>23.0</v>
      </c>
      <c r="B24" s="6">
        <v>369897.0</v>
      </c>
      <c r="C24" s="6">
        <v>66687.0</v>
      </c>
      <c r="D24" s="7">
        <f t="shared" ref="D24:D29" si="12">C24+B24</f>
        <v>436584</v>
      </c>
      <c r="E24" s="6">
        <v>459000.0</v>
      </c>
      <c r="F24" s="7">
        <f t="shared" ref="F24:F29" si="13">E24+B24</f>
        <v>828897</v>
      </c>
      <c r="G24" s="6">
        <f>G22+F24</f>
        <v>12461492</v>
      </c>
    </row>
    <row r="25">
      <c r="A25" s="5">
        <v>24.0</v>
      </c>
      <c r="B25" s="6">
        <v>149837.0</v>
      </c>
      <c r="C25" s="6">
        <v>9105.0</v>
      </c>
      <c r="D25" s="7">
        <f t="shared" si="12"/>
        <v>158942</v>
      </c>
      <c r="E25" s="6">
        <v>450000.0</v>
      </c>
      <c r="F25" s="7">
        <f t="shared" si="13"/>
        <v>599837</v>
      </c>
      <c r="G25" s="6">
        <f t="shared" ref="G25:G29" si="14">G24+F25</f>
        <v>13061329</v>
      </c>
      <c r="J25" s="10" t="s">
        <v>7</v>
      </c>
    </row>
    <row r="26">
      <c r="A26" s="5">
        <v>25.0</v>
      </c>
      <c r="B26" s="6">
        <v>83802.0</v>
      </c>
      <c r="C26" s="6">
        <v>4191.0</v>
      </c>
      <c r="D26" s="7">
        <f t="shared" si="12"/>
        <v>87993</v>
      </c>
      <c r="E26" s="6">
        <v>234000.0</v>
      </c>
      <c r="F26" s="7">
        <f t="shared" si="13"/>
        <v>317802</v>
      </c>
      <c r="G26" s="6">
        <f t="shared" si="14"/>
        <v>13379131</v>
      </c>
    </row>
    <row r="27">
      <c r="A27" s="5">
        <v>26.0</v>
      </c>
      <c r="B27" s="6">
        <v>165000.0</v>
      </c>
      <c r="C27" s="6">
        <v>13426.0</v>
      </c>
      <c r="D27" s="7">
        <f t="shared" si="12"/>
        <v>178426</v>
      </c>
      <c r="E27" s="6">
        <v>301000.0</v>
      </c>
      <c r="F27" s="7">
        <f t="shared" si="13"/>
        <v>466000</v>
      </c>
      <c r="G27" s="6">
        <f t="shared" si="14"/>
        <v>13845131</v>
      </c>
    </row>
    <row r="28">
      <c r="A28" s="5">
        <v>27.0</v>
      </c>
      <c r="B28" s="6">
        <v>281739.0</v>
      </c>
      <c r="C28" s="6">
        <v>43170.0</v>
      </c>
      <c r="D28" s="6">
        <f t="shared" si="12"/>
        <v>324909</v>
      </c>
      <c r="E28" s="6">
        <v>542000.0</v>
      </c>
      <c r="F28" s="7">
        <f t="shared" si="13"/>
        <v>823739</v>
      </c>
      <c r="G28" s="6">
        <f t="shared" si="14"/>
        <v>14668870</v>
      </c>
    </row>
    <row r="29">
      <c r="A29" s="5">
        <v>28.0</v>
      </c>
      <c r="B29" s="6">
        <v>327334.0</v>
      </c>
      <c r="C29" s="6">
        <v>51921.0</v>
      </c>
      <c r="D29" s="7">
        <f t="shared" si="12"/>
        <v>379255</v>
      </c>
      <c r="E29" s="6">
        <v>688000.0</v>
      </c>
      <c r="F29" s="7">
        <f t="shared" si="13"/>
        <v>1015334</v>
      </c>
      <c r="G29" s="6">
        <f t="shared" si="14"/>
        <v>15684204</v>
      </c>
    </row>
    <row r="30">
      <c r="A30" s="3">
        <v>29.0</v>
      </c>
      <c r="B30" s="8"/>
      <c r="C30" s="8"/>
      <c r="D30" s="8"/>
      <c r="E30" s="8"/>
      <c r="F30" s="4"/>
      <c r="G30" s="8"/>
    </row>
    <row r="31">
      <c r="A31" s="5">
        <v>30.0</v>
      </c>
      <c r="B31" s="6">
        <v>248812.0</v>
      </c>
      <c r="C31" s="6">
        <v>27325.0</v>
      </c>
      <c r="D31" s="7">
        <f t="shared" ref="D31:D32" si="15">C31+B31</f>
        <v>276137</v>
      </c>
      <c r="E31" s="6">
        <v>571000.0</v>
      </c>
      <c r="F31" s="7">
        <f t="shared" ref="F31:F32" si="16">E31+B31</f>
        <v>819812</v>
      </c>
      <c r="G31" s="6">
        <f>G29+F31</f>
        <v>16504016</v>
      </c>
    </row>
    <row r="32">
      <c r="A32" s="5">
        <v>31.0</v>
      </c>
      <c r="B32" s="6">
        <v>423244.0</v>
      </c>
      <c r="C32" s="6">
        <v>37745.0</v>
      </c>
      <c r="D32" s="7">
        <f t="shared" si="15"/>
        <v>460989</v>
      </c>
      <c r="E32" s="6">
        <v>581000.0</v>
      </c>
      <c r="F32" s="7">
        <f t="shared" si="16"/>
        <v>1004244</v>
      </c>
      <c r="G32" s="6">
        <f>G31+F32</f>
        <v>17508260</v>
      </c>
    </row>
    <row r="33">
      <c r="A33" s="5"/>
      <c r="B33" s="6">
        <f>SUM(B3:B32)</f>
        <v>5454260</v>
      </c>
      <c r="C33" s="6"/>
      <c r="D33" s="7"/>
      <c r="E33" s="6">
        <f>SUM(E3:E32)</f>
        <v>12054000</v>
      </c>
      <c r="F33" s="7"/>
      <c r="G33" s="6"/>
    </row>
    <row r="34">
      <c r="A34" s="5"/>
      <c r="B34" s="7"/>
      <c r="C34" s="7"/>
      <c r="D34" s="7"/>
      <c r="E34" s="7"/>
      <c r="F34" s="7"/>
      <c r="G34" s="7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242872.0</v>
      </c>
      <c r="C2" s="6">
        <v>10530.0</v>
      </c>
      <c r="D2" s="7">
        <f t="shared" ref="D2:D5" si="1">C2+B2</f>
        <v>253402</v>
      </c>
      <c r="E2" s="6">
        <v>473000.0</v>
      </c>
      <c r="F2" s="7">
        <f t="shared" ref="F2:F5" si="2">E2+B2</f>
        <v>715872</v>
      </c>
      <c r="G2" s="6">
        <f>F2</f>
        <v>715872</v>
      </c>
    </row>
    <row r="3">
      <c r="A3" s="5">
        <v>2.0</v>
      </c>
      <c r="B3" s="6">
        <v>324694.0</v>
      </c>
      <c r="C3" s="6">
        <v>55417.0</v>
      </c>
      <c r="D3" s="6">
        <f t="shared" si="1"/>
        <v>380111</v>
      </c>
      <c r="E3" s="6">
        <v>752000.0</v>
      </c>
      <c r="F3" s="7">
        <f t="shared" si="2"/>
        <v>1076694</v>
      </c>
      <c r="G3" s="6">
        <f t="shared" ref="G3:G5" si="3">G2+F3</f>
        <v>1792566</v>
      </c>
    </row>
    <row r="4">
      <c r="A4" s="5">
        <v>3.0</v>
      </c>
      <c r="B4" s="6">
        <v>704619.0</v>
      </c>
      <c r="C4" s="6">
        <v>116787.0</v>
      </c>
      <c r="D4" s="6">
        <f t="shared" si="1"/>
        <v>821406</v>
      </c>
      <c r="E4" s="6">
        <v>690000.0</v>
      </c>
      <c r="F4" s="7">
        <f t="shared" si="2"/>
        <v>1394619</v>
      </c>
      <c r="G4" s="7">
        <f t="shared" si="3"/>
        <v>3187185</v>
      </c>
    </row>
    <row r="5">
      <c r="A5" s="5">
        <v>4.0</v>
      </c>
      <c r="B5" s="6">
        <v>503132.0</v>
      </c>
      <c r="C5" s="6">
        <v>49853.0</v>
      </c>
      <c r="D5" s="7">
        <f t="shared" si="1"/>
        <v>552985</v>
      </c>
      <c r="E5" s="6">
        <v>537000.0</v>
      </c>
      <c r="F5" s="7">
        <f t="shared" si="2"/>
        <v>1040132</v>
      </c>
      <c r="G5" s="6">
        <f t="shared" si="3"/>
        <v>4227317</v>
      </c>
    </row>
    <row r="6">
      <c r="A6" s="3">
        <v>5.0</v>
      </c>
      <c r="B6" s="8"/>
      <c r="C6" s="8"/>
      <c r="D6" s="4"/>
      <c r="E6" s="8"/>
      <c r="F6" s="4"/>
      <c r="G6" s="8"/>
    </row>
    <row r="7">
      <c r="A7" s="3">
        <v>6.0</v>
      </c>
      <c r="B7" s="8"/>
      <c r="C7" s="8"/>
      <c r="D7" s="4"/>
      <c r="E7" s="8"/>
      <c r="F7" s="4"/>
      <c r="G7" s="8"/>
    </row>
    <row r="8">
      <c r="A8" s="5">
        <v>7.0</v>
      </c>
      <c r="B8" s="6">
        <v>167786.0</v>
      </c>
      <c r="C8" s="6">
        <v>14580.0</v>
      </c>
      <c r="D8" s="7">
        <f t="shared" ref="D8:D11" si="4">C8+B8</f>
        <v>182366</v>
      </c>
      <c r="E8" s="6">
        <v>316000.0</v>
      </c>
      <c r="F8" s="7">
        <f t="shared" ref="F8:F12" si="5">E8+B8</f>
        <v>483786</v>
      </c>
      <c r="G8" s="6">
        <f>F8+G5</f>
        <v>4711103</v>
      </c>
    </row>
    <row r="9">
      <c r="A9" s="5">
        <v>8.0</v>
      </c>
      <c r="B9" s="6">
        <v>125402.0</v>
      </c>
      <c r="C9" s="6">
        <v>11028.0</v>
      </c>
      <c r="D9" s="7">
        <f t="shared" si="4"/>
        <v>136430</v>
      </c>
      <c r="E9" s="6">
        <v>240000.0</v>
      </c>
      <c r="F9" s="7">
        <f t="shared" si="5"/>
        <v>365402</v>
      </c>
      <c r="G9" s="6">
        <f t="shared" ref="G9:G10" si="6">F9+G8</f>
        <v>5076505</v>
      </c>
    </row>
    <row r="10">
      <c r="A10" s="5">
        <v>9.0</v>
      </c>
      <c r="B10" s="6">
        <v>151483.0</v>
      </c>
      <c r="C10" s="6">
        <v>10517.0</v>
      </c>
      <c r="D10" s="7">
        <f t="shared" si="4"/>
        <v>162000</v>
      </c>
      <c r="E10" s="6">
        <v>515000.0</v>
      </c>
      <c r="F10" s="7">
        <f t="shared" si="5"/>
        <v>666483</v>
      </c>
      <c r="G10" s="6">
        <f t="shared" si="6"/>
        <v>5742988</v>
      </c>
    </row>
    <row r="11">
      <c r="A11" s="5">
        <v>10.0</v>
      </c>
      <c r="B11" s="6">
        <v>378876.0</v>
      </c>
      <c r="C11" s="6">
        <v>33361.0</v>
      </c>
      <c r="D11" s="7">
        <f t="shared" si="4"/>
        <v>412237</v>
      </c>
      <c r="E11" s="6">
        <v>518000.0</v>
      </c>
      <c r="F11" s="7">
        <f t="shared" si="5"/>
        <v>896876</v>
      </c>
      <c r="G11" s="6">
        <f t="shared" ref="G11:G12" si="7">G10+F11</f>
        <v>6639864</v>
      </c>
    </row>
    <row r="12">
      <c r="A12" s="5">
        <v>11.0</v>
      </c>
      <c r="B12" s="6">
        <v>277558.0</v>
      </c>
      <c r="C12" s="6">
        <v>15406.0</v>
      </c>
      <c r="D12" s="7">
        <f>B12+C12</f>
        <v>292964</v>
      </c>
      <c r="E12" s="6">
        <v>655000.0</v>
      </c>
      <c r="F12" s="7">
        <f t="shared" si="5"/>
        <v>932558</v>
      </c>
      <c r="G12" s="6">
        <f t="shared" si="7"/>
        <v>7572422</v>
      </c>
    </row>
    <row r="13">
      <c r="A13" s="3">
        <v>12.0</v>
      </c>
      <c r="B13" s="8"/>
      <c r="C13" s="8"/>
      <c r="D13" s="4"/>
      <c r="E13" s="8"/>
      <c r="F13" s="4"/>
      <c r="G13" s="8"/>
    </row>
    <row r="14">
      <c r="A14" s="3">
        <v>13.0</v>
      </c>
      <c r="B14" s="8"/>
      <c r="C14" s="8"/>
      <c r="D14" s="8"/>
      <c r="E14" s="8"/>
      <c r="F14" s="4"/>
      <c r="G14" s="8"/>
    </row>
    <row r="15">
      <c r="A15" s="5">
        <v>14.0</v>
      </c>
      <c r="B15" s="6">
        <v>100961.0</v>
      </c>
      <c r="C15" s="6">
        <v>7989.0</v>
      </c>
      <c r="D15" s="7">
        <f t="shared" ref="D15:D19" si="8">C15+B15</f>
        <v>108950</v>
      </c>
      <c r="E15" s="6">
        <v>398000.0</v>
      </c>
      <c r="F15" s="7">
        <f t="shared" ref="F15:F19" si="9">E15+B15</f>
        <v>498961</v>
      </c>
      <c r="G15" s="6">
        <f>F15+G12</f>
        <v>8071383</v>
      </c>
    </row>
    <row r="16">
      <c r="A16" s="5">
        <v>15.0</v>
      </c>
      <c r="B16" s="6">
        <v>379887.0</v>
      </c>
      <c r="C16" s="6">
        <v>31625.0</v>
      </c>
      <c r="D16" s="7">
        <f t="shared" si="8"/>
        <v>411512</v>
      </c>
      <c r="E16" s="6">
        <v>278000.0</v>
      </c>
      <c r="F16" s="7">
        <f t="shared" si="9"/>
        <v>657887</v>
      </c>
      <c r="G16" s="6">
        <f t="shared" ref="G16:G18" si="10">F16+G15</f>
        <v>8729270</v>
      </c>
    </row>
    <row r="17">
      <c r="A17" s="5">
        <v>16.0</v>
      </c>
      <c r="B17" s="6">
        <v>293810.0</v>
      </c>
      <c r="C17" s="6">
        <v>20407.0</v>
      </c>
      <c r="D17" s="7">
        <f t="shared" si="8"/>
        <v>314217</v>
      </c>
      <c r="E17" s="6">
        <v>390000.0</v>
      </c>
      <c r="F17" s="7">
        <f t="shared" si="9"/>
        <v>683810</v>
      </c>
      <c r="G17" s="6">
        <f t="shared" si="10"/>
        <v>9413080</v>
      </c>
    </row>
    <row r="18">
      <c r="A18" s="5">
        <v>17.0</v>
      </c>
      <c r="B18" s="6">
        <v>330299.0</v>
      </c>
      <c r="C18" s="6">
        <v>13645.0</v>
      </c>
      <c r="D18" s="7">
        <f t="shared" si="8"/>
        <v>343944</v>
      </c>
      <c r="E18" s="6">
        <v>452000.0</v>
      </c>
      <c r="F18" s="7">
        <f t="shared" si="9"/>
        <v>782299</v>
      </c>
      <c r="G18" s="6">
        <f t="shared" si="10"/>
        <v>10195379</v>
      </c>
    </row>
    <row r="19">
      <c r="A19" s="5">
        <v>18.0</v>
      </c>
      <c r="B19" s="6">
        <v>297340.0</v>
      </c>
      <c r="C19" s="6">
        <v>24156.0</v>
      </c>
      <c r="D19" s="7">
        <f t="shared" si="8"/>
        <v>321496</v>
      </c>
      <c r="E19" s="6">
        <v>719000.0</v>
      </c>
      <c r="F19" s="7">
        <f t="shared" si="9"/>
        <v>1016340</v>
      </c>
      <c r="G19" s="6">
        <f>G18+F19</f>
        <v>11211719</v>
      </c>
    </row>
    <row r="20">
      <c r="A20" s="3">
        <v>19.0</v>
      </c>
      <c r="B20" s="8"/>
      <c r="C20" s="8"/>
      <c r="D20" s="4"/>
      <c r="E20" s="8"/>
      <c r="F20" s="4"/>
      <c r="G20" s="8"/>
    </row>
    <row r="21">
      <c r="A21" s="5">
        <v>20.0</v>
      </c>
      <c r="B21" s="6">
        <v>127675.0</v>
      </c>
      <c r="C21" s="6">
        <v>18923.0</v>
      </c>
      <c r="D21" s="7">
        <f t="shared" ref="D21:D26" si="11">C21+B21</f>
        <v>146598</v>
      </c>
      <c r="E21" s="6">
        <v>446000.0</v>
      </c>
      <c r="F21" s="7">
        <f t="shared" ref="F21:F26" si="12">E21+B21</f>
        <v>573675</v>
      </c>
      <c r="G21" s="6">
        <f>G19+F21</f>
        <v>11785394</v>
      </c>
    </row>
    <row r="22">
      <c r="A22" s="5">
        <v>21.0</v>
      </c>
      <c r="B22" s="6">
        <v>138972.0</v>
      </c>
      <c r="C22" s="6">
        <v>18855.0</v>
      </c>
      <c r="D22" s="7">
        <f t="shared" si="11"/>
        <v>157827</v>
      </c>
      <c r="E22" s="6">
        <v>592000.0</v>
      </c>
      <c r="F22" s="7">
        <f t="shared" si="12"/>
        <v>730972</v>
      </c>
      <c r="G22" s="6">
        <f>G21+F22</f>
        <v>12516366</v>
      </c>
    </row>
    <row r="23">
      <c r="A23" s="5">
        <v>22.0</v>
      </c>
      <c r="B23" s="6">
        <v>286625.0</v>
      </c>
      <c r="C23" s="6">
        <v>26004.0</v>
      </c>
      <c r="D23" s="6">
        <f t="shared" si="11"/>
        <v>312629</v>
      </c>
      <c r="E23" s="6">
        <v>591000.0</v>
      </c>
      <c r="F23" s="7">
        <f t="shared" si="12"/>
        <v>877625</v>
      </c>
      <c r="G23" s="6">
        <f t="shared" ref="G23:G26" si="13">F23+G22</f>
        <v>13393991</v>
      </c>
    </row>
    <row r="24">
      <c r="A24" s="5">
        <v>23.0</v>
      </c>
      <c r="B24" s="6">
        <v>416128.0</v>
      </c>
      <c r="C24" s="6">
        <v>29714.0</v>
      </c>
      <c r="D24" s="7">
        <f t="shared" si="11"/>
        <v>445842</v>
      </c>
      <c r="E24" s="6">
        <v>576000.0</v>
      </c>
      <c r="F24" s="7">
        <f t="shared" si="12"/>
        <v>992128</v>
      </c>
      <c r="G24" s="6">
        <f t="shared" si="13"/>
        <v>14386119</v>
      </c>
    </row>
    <row r="25">
      <c r="A25" s="5">
        <v>24.0</v>
      </c>
      <c r="B25" s="6">
        <v>166551.0</v>
      </c>
      <c r="C25" s="6">
        <v>18378.0</v>
      </c>
      <c r="D25" s="7">
        <f t="shared" si="11"/>
        <v>184929</v>
      </c>
      <c r="E25" s="6">
        <f>D25+B25</f>
        <v>351480</v>
      </c>
      <c r="F25" s="7">
        <f t="shared" si="12"/>
        <v>518031</v>
      </c>
      <c r="G25" s="6">
        <f t="shared" si="13"/>
        <v>14904150</v>
      </c>
      <c r="J25" s="10" t="s">
        <v>7</v>
      </c>
    </row>
    <row r="26">
      <c r="A26" s="5">
        <v>25.0</v>
      </c>
      <c r="B26" s="6">
        <v>339353.0</v>
      </c>
      <c r="C26" s="6">
        <v>33957.0</v>
      </c>
      <c r="D26" s="7">
        <f t="shared" si="11"/>
        <v>373310</v>
      </c>
      <c r="E26" s="6">
        <v>575000.0</v>
      </c>
      <c r="F26" s="7">
        <f t="shared" si="12"/>
        <v>914353</v>
      </c>
      <c r="G26" s="6">
        <f t="shared" si="13"/>
        <v>15818503</v>
      </c>
    </row>
    <row r="27">
      <c r="A27" s="3">
        <v>26.0</v>
      </c>
      <c r="B27" s="8"/>
      <c r="C27" s="8"/>
      <c r="D27" s="4"/>
      <c r="E27" s="8"/>
      <c r="F27" s="4"/>
      <c r="G27" s="8"/>
    </row>
    <row r="28">
      <c r="A28" s="5">
        <v>27.0</v>
      </c>
      <c r="B28" s="6">
        <v>331130.0</v>
      </c>
      <c r="C28" s="6">
        <v>39145.0</v>
      </c>
      <c r="D28" s="6">
        <f t="shared" ref="D28:D31" si="14">C28+B28</f>
        <v>370275</v>
      </c>
      <c r="E28" s="6">
        <v>429000.0</v>
      </c>
      <c r="F28" s="7">
        <f t="shared" ref="F28:F31" si="15">E28+B28</f>
        <v>760130</v>
      </c>
      <c r="G28" s="6">
        <f>G26+F28</f>
        <v>16578633</v>
      </c>
    </row>
    <row r="29">
      <c r="A29" s="5">
        <v>28.0</v>
      </c>
      <c r="B29" s="6">
        <v>386499.0</v>
      </c>
      <c r="C29" s="6">
        <v>24413.0</v>
      </c>
      <c r="D29" s="7">
        <f t="shared" si="14"/>
        <v>410912</v>
      </c>
      <c r="E29" s="6">
        <v>688000.0</v>
      </c>
      <c r="F29" s="7">
        <f t="shared" si="15"/>
        <v>1074499</v>
      </c>
      <c r="G29" s="6">
        <f t="shared" ref="G29:G31" si="16">G28+F29</f>
        <v>17653132</v>
      </c>
    </row>
    <row r="30">
      <c r="A30" s="5">
        <v>29.0</v>
      </c>
      <c r="B30" s="6">
        <v>199593.0</v>
      </c>
      <c r="C30" s="6">
        <v>28864.0</v>
      </c>
      <c r="D30" s="6">
        <f t="shared" si="14"/>
        <v>228457</v>
      </c>
      <c r="E30" s="6">
        <v>473000.0</v>
      </c>
      <c r="F30" s="7">
        <f t="shared" si="15"/>
        <v>672593</v>
      </c>
      <c r="G30" s="6">
        <f t="shared" si="16"/>
        <v>18325725</v>
      </c>
    </row>
    <row r="31">
      <c r="A31" s="5">
        <v>30.0</v>
      </c>
      <c r="B31" s="6">
        <v>679082.0</v>
      </c>
      <c r="C31" s="6">
        <v>39559.0</v>
      </c>
      <c r="D31" s="7">
        <f t="shared" si="14"/>
        <v>718641</v>
      </c>
      <c r="E31" s="6">
        <v>450000.0</v>
      </c>
      <c r="F31" s="7">
        <f t="shared" si="15"/>
        <v>1129082</v>
      </c>
      <c r="G31" s="6">
        <f t="shared" si="16"/>
        <v>19454807</v>
      </c>
    </row>
    <row r="32">
      <c r="A32" s="5"/>
      <c r="B32" s="6">
        <f>SUM(B2:B31)</f>
        <v>7350327</v>
      </c>
      <c r="C32" s="6"/>
      <c r="D32" s="7"/>
      <c r="E32" s="6">
        <f>SUM(E2:E31)</f>
        <v>12104480</v>
      </c>
      <c r="F32" s="7"/>
      <c r="G32" s="6"/>
    </row>
    <row r="33">
      <c r="A33" s="5"/>
      <c r="B33" s="6"/>
      <c r="C33" s="6"/>
      <c r="D33" s="7"/>
      <c r="E33" s="6"/>
      <c r="F33" s="7"/>
      <c r="G33" s="6"/>
    </row>
    <row r="34">
      <c r="A34" s="5"/>
      <c r="B34" s="7"/>
      <c r="C34" s="7"/>
      <c r="D34" s="7"/>
      <c r="E34" s="7"/>
      <c r="F34" s="7"/>
      <c r="G34" s="7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4" max="4" width="19.13"/>
    <col customWidth="1" min="5" max="5" width="17.88"/>
    <col customWidth="1" min="6" max="6" width="19.38"/>
    <col customWidth="1" min="7" max="7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219647.0</v>
      </c>
      <c r="C2" s="6">
        <v>17347.0</v>
      </c>
      <c r="D2" s="7">
        <f t="shared" ref="D2:D3" si="1">C2+B2</f>
        <v>236994</v>
      </c>
      <c r="E2" s="6">
        <v>596000.0</v>
      </c>
      <c r="F2" s="7">
        <f t="shared" ref="F2:F3" si="2">E2+B2</f>
        <v>815647</v>
      </c>
      <c r="G2" s="6">
        <f>F2</f>
        <v>815647</v>
      </c>
    </row>
    <row r="3">
      <c r="A3" s="5">
        <v>2.0</v>
      </c>
      <c r="B3" s="6">
        <v>447969.0</v>
      </c>
      <c r="C3" s="6">
        <v>23801.0</v>
      </c>
      <c r="D3" s="6">
        <f t="shared" si="1"/>
        <v>471770</v>
      </c>
      <c r="E3" s="6">
        <v>567000.0</v>
      </c>
      <c r="F3" s="7">
        <f t="shared" si="2"/>
        <v>1014969</v>
      </c>
      <c r="G3" s="6">
        <f>G2+F3</f>
        <v>1830616</v>
      </c>
    </row>
    <row r="4">
      <c r="A4" s="3">
        <v>3.0</v>
      </c>
      <c r="B4" s="8"/>
      <c r="C4" s="8"/>
      <c r="D4" s="8"/>
      <c r="E4" s="8"/>
      <c r="F4" s="4"/>
      <c r="G4" s="4"/>
    </row>
    <row r="5">
      <c r="A5" s="5">
        <v>4.0</v>
      </c>
      <c r="B5" s="6">
        <v>201293.0</v>
      </c>
      <c r="C5" s="6">
        <v>25712.0</v>
      </c>
      <c r="D5" s="7">
        <f t="shared" ref="D5:D8" si="3">C5+B5</f>
        <v>227005</v>
      </c>
      <c r="E5" s="6">
        <v>649000.0</v>
      </c>
      <c r="F5" s="7">
        <f t="shared" ref="F5:F8" si="4">E5+B5</f>
        <v>850293</v>
      </c>
      <c r="G5" s="6">
        <f>G3+F5</f>
        <v>2680909</v>
      </c>
    </row>
    <row r="6">
      <c r="A6" s="5">
        <v>5.0</v>
      </c>
      <c r="B6" s="6">
        <v>59662.0</v>
      </c>
      <c r="C6" s="6">
        <v>6677.0</v>
      </c>
      <c r="D6" s="7">
        <f t="shared" si="3"/>
        <v>66339</v>
      </c>
      <c r="E6" s="6">
        <v>600000.0</v>
      </c>
      <c r="F6" s="7">
        <f t="shared" si="4"/>
        <v>659662</v>
      </c>
      <c r="G6" s="6">
        <f t="shared" ref="G6:G8" si="5">G5+F6</f>
        <v>3340571</v>
      </c>
    </row>
    <row r="7">
      <c r="A7" s="5">
        <v>6.0</v>
      </c>
      <c r="B7" s="6">
        <v>222062.0</v>
      </c>
      <c r="C7" s="6">
        <v>33092.0</v>
      </c>
      <c r="D7" s="7">
        <f t="shared" si="3"/>
        <v>255154</v>
      </c>
      <c r="E7" s="6">
        <v>784000.0</v>
      </c>
      <c r="F7" s="7">
        <f t="shared" si="4"/>
        <v>1006062</v>
      </c>
      <c r="G7" s="6">
        <f t="shared" si="5"/>
        <v>4346633</v>
      </c>
    </row>
    <row r="8">
      <c r="A8" s="5">
        <v>7.0</v>
      </c>
      <c r="B8" s="6">
        <v>438846.0</v>
      </c>
      <c r="C8" s="6">
        <v>52620.0</v>
      </c>
      <c r="D8" s="7">
        <f t="shared" si="3"/>
        <v>491466</v>
      </c>
      <c r="E8" s="6">
        <v>763000.0</v>
      </c>
      <c r="F8" s="7">
        <f t="shared" si="4"/>
        <v>1201846</v>
      </c>
      <c r="G8" s="6">
        <f t="shared" si="5"/>
        <v>5548479</v>
      </c>
    </row>
    <row r="9">
      <c r="A9" s="3">
        <v>8.0</v>
      </c>
      <c r="B9" s="8"/>
      <c r="C9" s="8"/>
      <c r="D9" s="4"/>
      <c r="E9" s="8"/>
      <c r="F9" s="4"/>
      <c r="G9" s="8"/>
    </row>
    <row r="10">
      <c r="A10" s="5">
        <v>9.0</v>
      </c>
      <c r="B10" s="6">
        <v>298301.0</v>
      </c>
      <c r="C10" s="6">
        <v>54012.0</v>
      </c>
      <c r="D10" s="7">
        <f>C10+B10</f>
        <v>352313</v>
      </c>
      <c r="E10" s="6">
        <v>837000.0</v>
      </c>
      <c r="F10" s="7">
        <f>E10+B10</f>
        <v>1135301</v>
      </c>
      <c r="G10" s="6">
        <f>G8+F10</f>
        <v>6683780</v>
      </c>
    </row>
    <row r="11">
      <c r="A11" s="3">
        <v>10.0</v>
      </c>
      <c r="B11" s="11"/>
      <c r="C11" s="11"/>
      <c r="D11" s="11"/>
      <c r="E11" s="11"/>
      <c r="F11" s="11"/>
      <c r="G11" s="11"/>
    </row>
    <row r="12">
      <c r="A12" s="5">
        <v>11.0</v>
      </c>
      <c r="B12" s="6">
        <v>305172.0</v>
      </c>
      <c r="C12" s="6">
        <v>51858.0</v>
      </c>
      <c r="D12" s="7">
        <f t="shared" ref="D12:D17" si="6">C12+B12</f>
        <v>357030</v>
      </c>
      <c r="E12" s="6">
        <v>629000.0</v>
      </c>
      <c r="F12" s="7">
        <f t="shared" ref="F12:F17" si="7">E12+B12</f>
        <v>934172</v>
      </c>
      <c r="G12" s="6">
        <f>G10+F12</f>
        <v>7617952</v>
      </c>
    </row>
    <row r="13">
      <c r="A13" s="5">
        <v>12.0</v>
      </c>
      <c r="B13" s="6">
        <v>237726.0</v>
      </c>
      <c r="C13" s="6">
        <v>26653.0</v>
      </c>
      <c r="D13" s="7">
        <f t="shared" si="6"/>
        <v>264379</v>
      </c>
      <c r="E13" s="6">
        <v>497000.0</v>
      </c>
      <c r="F13" s="7">
        <f t="shared" si="7"/>
        <v>734726</v>
      </c>
      <c r="G13" s="6">
        <f t="shared" ref="G13:G17" si="8">G12+F13</f>
        <v>8352678</v>
      </c>
    </row>
    <row r="14">
      <c r="A14" s="5">
        <v>13.0</v>
      </c>
      <c r="B14" s="6">
        <v>57143.0</v>
      </c>
      <c r="C14" s="6">
        <v>2857.0</v>
      </c>
      <c r="D14" s="7">
        <f t="shared" si="6"/>
        <v>60000</v>
      </c>
      <c r="E14" s="6">
        <v>648000.0</v>
      </c>
      <c r="F14" s="7">
        <f t="shared" si="7"/>
        <v>705143</v>
      </c>
      <c r="G14" s="6">
        <f t="shared" si="8"/>
        <v>9057821</v>
      </c>
    </row>
    <row r="15">
      <c r="A15" s="5">
        <v>14.0</v>
      </c>
      <c r="B15" s="6">
        <v>273034.0</v>
      </c>
      <c r="C15" s="6">
        <v>19536.0</v>
      </c>
      <c r="D15" s="6">
        <f t="shared" si="6"/>
        <v>292570</v>
      </c>
      <c r="E15" s="6">
        <v>524000.0</v>
      </c>
      <c r="F15" s="7">
        <f t="shared" si="7"/>
        <v>797034</v>
      </c>
      <c r="G15" s="6">
        <f t="shared" si="8"/>
        <v>9854855</v>
      </c>
    </row>
    <row r="16">
      <c r="A16" s="5">
        <v>15.0</v>
      </c>
      <c r="B16" s="6">
        <v>102213.0</v>
      </c>
      <c r="C16" s="6">
        <v>15687.0</v>
      </c>
      <c r="D16" s="7">
        <f t="shared" si="6"/>
        <v>117900</v>
      </c>
      <c r="E16" s="6">
        <v>668000.0</v>
      </c>
      <c r="F16" s="7">
        <f t="shared" si="7"/>
        <v>770213</v>
      </c>
      <c r="G16" s="6">
        <f t="shared" si="8"/>
        <v>10625068</v>
      </c>
    </row>
    <row r="17">
      <c r="A17" s="5">
        <v>16.0</v>
      </c>
      <c r="B17" s="6">
        <v>421326.0</v>
      </c>
      <c r="C17" s="6">
        <v>32172.0</v>
      </c>
      <c r="D17" s="7">
        <f t="shared" si="6"/>
        <v>453498</v>
      </c>
      <c r="E17" s="6">
        <v>562000.0</v>
      </c>
      <c r="F17" s="7">
        <f t="shared" si="7"/>
        <v>983326</v>
      </c>
      <c r="G17" s="6">
        <f t="shared" si="8"/>
        <v>11608394</v>
      </c>
    </row>
    <row r="18">
      <c r="A18" s="3">
        <v>17.0</v>
      </c>
      <c r="B18" s="8"/>
      <c r="C18" s="8"/>
      <c r="D18" s="4"/>
      <c r="E18" s="8"/>
      <c r="F18" s="4"/>
      <c r="G18" s="8"/>
    </row>
    <row r="19">
      <c r="A19" s="5">
        <v>18.0</v>
      </c>
      <c r="B19" s="6">
        <v>288850.0</v>
      </c>
      <c r="C19" s="6">
        <v>42938.0</v>
      </c>
      <c r="D19" s="7">
        <f t="shared" ref="D19:D24" si="9">C19+B19</f>
        <v>331788</v>
      </c>
      <c r="E19" s="6">
        <v>795000.0</v>
      </c>
      <c r="F19" s="7">
        <f t="shared" ref="F19:F21" si="10">E19+B19</f>
        <v>1083850</v>
      </c>
      <c r="G19" s="6">
        <f>G17+F19</f>
        <v>12692244</v>
      </c>
    </row>
    <row r="20">
      <c r="A20" s="5">
        <v>19.0</v>
      </c>
      <c r="B20" s="6">
        <v>520482.0</v>
      </c>
      <c r="C20" s="6">
        <v>75858.0</v>
      </c>
      <c r="D20" s="7">
        <f t="shared" si="9"/>
        <v>596340</v>
      </c>
      <c r="E20" s="6">
        <v>779000.0</v>
      </c>
      <c r="F20" s="7">
        <f t="shared" si="10"/>
        <v>1299482</v>
      </c>
      <c r="G20" s="6">
        <f t="shared" ref="G20:G25" si="11">G19+F20</f>
        <v>13991726</v>
      </c>
    </row>
    <row r="21">
      <c r="A21" s="5">
        <v>20.0</v>
      </c>
      <c r="B21" s="6">
        <v>453589.0</v>
      </c>
      <c r="C21" s="6">
        <v>58946.0</v>
      </c>
      <c r="D21" s="7">
        <f t="shared" si="9"/>
        <v>512535</v>
      </c>
      <c r="E21" s="6">
        <v>884000.0</v>
      </c>
      <c r="F21" s="7">
        <f t="shared" si="10"/>
        <v>1337589</v>
      </c>
      <c r="G21" s="6">
        <f t="shared" si="11"/>
        <v>15329315</v>
      </c>
    </row>
    <row r="22">
      <c r="A22" s="5">
        <v>21.0</v>
      </c>
      <c r="B22" s="6">
        <v>257024.0</v>
      </c>
      <c r="C22" s="6">
        <v>35139.0</v>
      </c>
      <c r="D22" s="7">
        <f t="shared" si="9"/>
        <v>292163</v>
      </c>
      <c r="E22" s="6">
        <v>866000.0</v>
      </c>
      <c r="F22" s="7">
        <f t="shared" ref="F22:F32" si="12">B22+E22</f>
        <v>1123024</v>
      </c>
      <c r="G22" s="6">
        <f t="shared" si="11"/>
        <v>16452339</v>
      </c>
    </row>
    <row r="23">
      <c r="A23" s="5">
        <v>22.0</v>
      </c>
      <c r="B23" s="6">
        <v>530544.0</v>
      </c>
      <c r="C23" s="6">
        <v>66998.0</v>
      </c>
      <c r="D23" s="6">
        <f t="shared" si="9"/>
        <v>597542</v>
      </c>
      <c r="E23" s="6">
        <v>1191000.0</v>
      </c>
      <c r="F23" s="7">
        <f t="shared" si="12"/>
        <v>1721544</v>
      </c>
      <c r="G23" s="6">
        <f t="shared" si="11"/>
        <v>18173883</v>
      </c>
    </row>
    <row r="24">
      <c r="A24" s="5">
        <v>23.0</v>
      </c>
      <c r="B24" s="6">
        <v>1330415.0</v>
      </c>
      <c r="C24" s="6">
        <v>177477.0</v>
      </c>
      <c r="D24" s="7">
        <f t="shared" si="9"/>
        <v>1507892</v>
      </c>
      <c r="E24" s="6">
        <v>980000.0</v>
      </c>
      <c r="F24" s="7">
        <f t="shared" si="12"/>
        <v>2310415</v>
      </c>
      <c r="G24" s="6">
        <f t="shared" si="11"/>
        <v>20484298</v>
      </c>
    </row>
    <row r="25">
      <c r="A25" s="5">
        <v>24.0</v>
      </c>
      <c r="B25" s="6">
        <v>1278270.0</v>
      </c>
      <c r="C25" s="6">
        <v>132707.0</v>
      </c>
      <c r="D25" s="7">
        <f>B25+C25</f>
        <v>1410977</v>
      </c>
      <c r="E25" s="6">
        <v>770000.0</v>
      </c>
      <c r="F25" s="7">
        <f t="shared" si="12"/>
        <v>2048270</v>
      </c>
      <c r="G25" s="6">
        <f t="shared" si="11"/>
        <v>22532568</v>
      </c>
      <c r="J25" s="10" t="s">
        <v>7</v>
      </c>
    </row>
    <row r="26">
      <c r="A26" s="3">
        <v>25.0</v>
      </c>
      <c r="B26" s="8"/>
      <c r="C26" s="8"/>
      <c r="D26" s="4"/>
      <c r="E26" s="8"/>
      <c r="F26" s="4">
        <f t="shared" si="12"/>
        <v>0</v>
      </c>
      <c r="G26" s="8"/>
    </row>
    <row r="27">
      <c r="A27" s="5">
        <v>26.0</v>
      </c>
      <c r="B27" s="6">
        <v>235390.0</v>
      </c>
      <c r="C27" s="6">
        <v>20269.0</v>
      </c>
      <c r="D27" s="7">
        <f>SUM(B27:C27)</f>
        <v>255659</v>
      </c>
      <c r="E27" s="6">
        <v>615000.0</v>
      </c>
      <c r="F27" s="7">
        <f t="shared" si="12"/>
        <v>850390</v>
      </c>
      <c r="G27" s="6">
        <f>G25+F27</f>
        <v>23382958</v>
      </c>
    </row>
    <row r="28">
      <c r="A28" s="5">
        <v>27.0</v>
      </c>
      <c r="B28" s="6">
        <v>460941.0</v>
      </c>
      <c r="C28" s="6">
        <v>58723.0</v>
      </c>
      <c r="D28" s="6">
        <f t="shared" ref="D28:D31" si="13">C28+B28</f>
        <v>519664</v>
      </c>
      <c r="E28" s="6">
        <v>692000.0</v>
      </c>
      <c r="F28" s="7">
        <f t="shared" si="12"/>
        <v>1152941</v>
      </c>
      <c r="G28" s="6">
        <f t="shared" ref="G28:G31" si="14">G27+F28</f>
        <v>24535899</v>
      </c>
    </row>
    <row r="29">
      <c r="A29" s="5">
        <v>28.0</v>
      </c>
      <c r="B29" s="6">
        <v>80755.0</v>
      </c>
      <c r="C29" s="6">
        <v>6278.0</v>
      </c>
      <c r="D29" s="7">
        <f t="shared" si="13"/>
        <v>87033</v>
      </c>
      <c r="E29" s="6">
        <v>807000.0</v>
      </c>
      <c r="F29" s="7">
        <f t="shared" si="12"/>
        <v>887755</v>
      </c>
      <c r="G29" s="6">
        <f t="shared" si="14"/>
        <v>25423654</v>
      </c>
    </row>
    <row r="30">
      <c r="A30" s="5">
        <v>29.0</v>
      </c>
      <c r="B30" s="6">
        <v>793042.0</v>
      </c>
      <c r="C30" s="6">
        <v>88964.0</v>
      </c>
      <c r="D30" s="6">
        <f t="shared" si="13"/>
        <v>882006</v>
      </c>
      <c r="E30" s="6">
        <v>964000.0</v>
      </c>
      <c r="F30" s="7">
        <f t="shared" si="12"/>
        <v>1757042</v>
      </c>
      <c r="G30" s="6">
        <f t="shared" si="14"/>
        <v>27180696</v>
      </c>
    </row>
    <row r="31">
      <c r="A31" s="5">
        <v>30.0</v>
      </c>
      <c r="B31" s="6">
        <v>818383.0</v>
      </c>
      <c r="C31" s="6">
        <v>87770.0</v>
      </c>
      <c r="D31" s="7">
        <f t="shared" si="13"/>
        <v>906153</v>
      </c>
      <c r="E31" s="6">
        <v>1088000.0</v>
      </c>
      <c r="F31" s="7">
        <f t="shared" si="12"/>
        <v>1906383</v>
      </c>
      <c r="G31" s="6">
        <f t="shared" si="14"/>
        <v>29087079</v>
      </c>
    </row>
    <row r="32">
      <c r="A32" s="5"/>
      <c r="B32" s="6">
        <f>SUM(B2:B31)</f>
        <v>10332079</v>
      </c>
      <c r="C32" s="6"/>
      <c r="D32" s="7"/>
      <c r="E32" s="6">
        <f>SUM(E2:E31)</f>
        <v>18755000</v>
      </c>
      <c r="F32" s="7">
        <f t="shared" si="12"/>
        <v>29087079</v>
      </c>
      <c r="G32" s="6"/>
    </row>
    <row r="33">
      <c r="A33" s="5"/>
      <c r="B33" s="7"/>
      <c r="C33" s="7"/>
      <c r="D33" s="7"/>
      <c r="E33" s="7"/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4"/>
      <c r="C2" s="4"/>
    </row>
    <row r="3">
      <c r="A3" s="3">
        <v>2.0</v>
      </c>
      <c r="B3" s="4"/>
      <c r="C3" s="4"/>
    </row>
    <row r="4">
      <c r="A4" s="3">
        <v>3.0</v>
      </c>
      <c r="B4" s="4"/>
      <c r="C4" s="4"/>
    </row>
    <row r="5">
      <c r="A5" s="3">
        <v>4.0</v>
      </c>
      <c r="B5" s="4"/>
      <c r="C5" s="4"/>
    </row>
    <row r="6">
      <c r="A6" s="3">
        <v>5.0</v>
      </c>
      <c r="B6" s="4"/>
      <c r="C6" s="4"/>
    </row>
    <row r="7">
      <c r="A7" s="3">
        <v>6.0</v>
      </c>
      <c r="B7" s="4"/>
      <c r="C7" s="4"/>
    </row>
    <row r="8">
      <c r="A8" s="3">
        <v>7.0</v>
      </c>
      <c r="B8" s="4"/>
      <c r="C8" s="4"/>
    </row>
    <row r="9">
      <c r="A9" s="3">
        <v>8.0</v>
      </c>
      <c r="B9" s="4"/>
      <c r="C9" s="4"/>
    </row>
    <row r="10">
      <c r="A10" s="3">
        <v>9.0</v>
      </c>
      <c r="B10" s="4"/>
      <c r="C10" s="4"/>
    </row>
    <row r="11">
      <c r="A11" s="5">
        <v>10.0</v>
      </c>
      <c r="B11" s="12">
        <v>309200.0</v>
      </c>
      <c r="C11" s="12">
        <v>360000.0</v>
      </c>
    </row>
    <row r="12">
      <c r="A12" s="5">
        <v>11.0</v>
      </c>
      <c r="B12" s="12">
        <v>118300.0</v>
      </c>
      <c r="C12" s="12">
        <v>637000.0</v>
      </c>
    </row>
    <row r="13">
      <c r="A13" s="5">
        <v>12.0</v>
      </c>
      <c r="B13" s="12">
        <v>103600.0</v>
      </c>
      <c r="C13" s="12">
        <v>425000.0</v>
      </c>
    </row>
    <row r="14">
      <c r="A14" s="5">
        <v>13.0</v>
      </c>
      <c r="B14" s="12">
        <v>219400.0</v>
      </c>
      <c r="C14" s="12">
        <v>466000.0</v>
      </c>
    </row>
    <row r="15">
      <c r="A15" s="5">
        <v>14.0</v>
      </c>
      <c r="B15" s="12">
        <v>169200.0</v>
      </c>
      <c r="C15" s="12">
        <v>579000.0</v>
      </c>
    </row>
    <row r="16">
      <c r="A16" s="3">
        <v>15.0</v>
      </c>
      <c r="B16" s="4"/>
      <c r="C16" s="4"/>
    </row>
    <row r="17">
      <c r="A17" s="5">
        <v>16.0</v>
      </c>
      <c r="B17" s="12">
        <v>244200.0</v>
      </c>
      <c r="C17" s="12">
        <v>408000.0</v>
      </c>
    </row>
    <row r="18">
      <c r="A18" s="5">
        <v>17.0</v>
      </c>
      <c r="B18" s="12">
        <v>85100.0</v>
      </c>
      <c r="C18" s="12">
        <v>403000.0</v>
      </c>
    </row>
    <row r="19">
      <c r="A19" s="5">
        <v>18.0</v>
      </c>
      <c r="B19" s="12">
        <v>230600.0</v>
      </c>
      <c r="C19" s="12">
        <v>220000.0</v>
      </c>
      <c r="D19" s="10">
        <v>261439.0</v>
      </c>
      <c r="E19" s="13">
        <v>30900.0</v>
      </c>
    </row>
    <row r="20">
      <c r="A20" s="5">
        <v>19.0</v>
      </c>
      <c r="B20" s="12">
        <v>245800.0</v>
      </c>
      <c r="C20" s="12">
        <v>366000.0</v>
      </c>
    </row>
    <row r="21">
      <c r="A21" s="5">
        <v>20.0</v>
      </c>
      <c r="B21" s="12">
        <v>328300.0</v>
      </c>
      <c r="C21" s="12">
        <v>326000.0</v>
      </c>
    </row>
    <row r="22">
      <c r="A22" s="5">
        <v>21.0</v>
      </c>
      <c r="B22" s="12">
        <v>290400.0</v>
      </c>
      <c r="C22" s="12">
        <v>298000.0</v>
      </c>
      <c r="D22" s="10">
        <v>383500.0</v>
      </c>
      <c r="E22" s="14">
        <f>D22-B22</f>
        <v>93100</v>
      </c>
    </row>
    <row r="23">
      <c r="A23" s="3">
        <v>22.0</v>
      </c>
      <c r="B23" s="4"/>
      <c r="C23" s="4"/>
    </row>
    <row r="24">
      <c r="A24" s="5">
        <v>23.0</v>
      </c>
      <c r="B24" s="12">
        <v>224900.0</v>
      </c>
      <c r="C24" s="12">
        <v>376000.0</v>
      </c>
    </row>
    <row r="25">
      <c r="A25" s="5">
        <v>24.0</v>
      </c>
      <c r="B25" s="12">
        <v>42900.0</v>
      </c>
      <c r="C25" s="12">
        <v>407000.0</v>
      </c>
    </row>
    <row r="26">
      <c r="A26" s="5">
        <v>25.0</v>
      </c>
      <c r="B26" s="12">
        <v>92900.0</v>
      </c>
      <c r="C26" s="12">
        <v>99000.0</v>
      </c>
    </row>
    <row r="27">
      <c r="A27" s="5">
        <v>26.0</v>
      </c>
      <c r="B27" s="12">
        <v>264800.0</v>
      </c>
      <c r="C27" s="12">
        <v>264000.0</v>
      </c>
    </row>
    <row r="28">
      <c r="A28" s="5">
        <v>27.0</v>
      </c>
      <c r="B28" s="12">
        <v>114500.0</v>
      </c>
      <c r="C28" s="12">
        <v>407000.0</v>
      </c>
    </row>
    <row r="29">
      <c r="A29" s="5">
        <v>28.0</v>
      </c>
      <c r="B29" s="12">
        <v>74400.0</v>
      </c>
      <c r="C29" s="12">
        <v>387000.0</v>
      </c>
    </row>
    <row r="30">
      <c r="A30" s="3">
        <v>29.0</v>
      </c>
      <c r="B30" s="4"/>
      <c r="C30" s="4"/>
    </row>
    <row r="31">
      <c r="A31" s="5">
        <v>30.0</v>
      </c>
      <c r="B31" s="12">
        <v>125400.0</v>
      </c>
      <c r="C31" s="12">
        <v>303000.0</v>
      </c>
    </row>
    <row r="32">
      <c r="A32" s="5">
        <v>31.0</v>
      </c>
      <c r="B32" s="12">
        <v>201800.0</v>
      </c>
      <c r="C32" s="12">
        <v>327000.0</v>
      </c>
    </row>
    <row r="33">
      <c r="A33" s="5" t="s">
        <v>6</v>
      </c>
      <c r="B33" s="7">
        <f t="shared" ref="B33:C33" si="1">SUM(B2:B32)</f>
        <v>3485700</v>
      </c>
      <c r="C33" s="7">
        <f t="shared" si="1"/>
        <v>7058000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5">
        <v>0.0</v>
      </c>
      <c r="B1" s="2" t="s">
        <v>0</v>
      </c>
      <c r="C1" s="2" t="s">
        <v>3</v>
      </c>
    </row>
    <row r="2">
      <c r="A2" s="5">
        <v>1.0</v>
      </c>
      <c r="B2" s="12">
        <v>331000.0</v>
      </c>
      <c r="C2" s="12">
        <v>362000.0</v>
      </c>
    </row>
    <row r="3">
      <c r="A3" s="5">
        <v>2.0</v>
      </c>
      <c r="B3" s="12">
        <v>185300.0</v>
      </c>
      <c r="C3" s="12">
        <v>457000.0</v>
      </c>
    </row>
    <row r="4">
      <c r="A4" s="5">
        <v>3.0</v>
      </c>
      <c r="B4" s="12">
        <v>15000.0</v>
      </c>
      <c r="C4" s="12">
        <v>253000.0</v>
      </c>
    </row>
    <row r="5">
      <c r="A5" s="5">
        <v>4.0</v>
      </c>
      <c r="B5" s="12">
        <v>225300.0</v>
      </c>
      <c r="C5" s="12">
        <v>265000.0</v>
      </c>
    </row>
    <row r="6">
      <c r="A6" s="3">
        <v>5.0</v>
      </c>
      <c r="B6" s="4"/>
      <c r="C6" s="4"/>
    </row>
    <row r="7">
      <c r="A7" s="5">
        <v>6.0</v>
      </c>
      <c r="B7" s="12">
        <v>227100.0</v>
      </c>
      <c r="C7" s="12">
        <v>363000.0</v>
      </c>
    </row>
    <row r="8">
      <c r="A8" s="5">
        <v>7.0</v>
      </c>
      <c r="B8" s="12">
        <v>227300.0</v>
      </c>
      <c r="C8" s="12">
        <v>424000.0</v>
      </c>
    </row>
    <row r="9">
      <c r="A9" s="5">
        <v>8.0</v>
      </c>
      <c r="B9" s="12">
        <v>377600.0</v>
      </c>
      <c r="C9" s="12">
        <v>410000.0</v>
      </c>
    </row>
    <row r="10">
      <c r="A10" s="5">
        <v>9.0</v>
      </c>
      <c r="B10" s="12">
        <v>97100.0</v>
      </c>
      <c r="C10" s="12">
        <v>389000.0</v>
      </c>
    </row>
    <row r="11">
      <c r="A11" s="5">
        <v>10.0</v>
      </c>
      <c r="B11" s="12">
        <v>58400.0</v>
      </c>
      <c r="C11" s="12">
        <v>338000.0</v>
      </c>
    </row>
    <row r="12">
      <c r="A12" s="5">
        <v>11.0</v>
      </c>
      <c r="B12" s="12">
        <v>177400.0</v>
      </c>
      <c r="C12" s="12">
        <v>389000.0</v>
      </c>
    </row>
    <row r="13">
      <c r="A13" s="3">
        <v>12.0</v>
      </c>
      <c r="B13" s="8"/>
      <c r="C13" s="8"/>
    </row>
    <row r="14">
      <c r="A14" s="5">
        <v>13.0</v>
      </c>
      <c r="B14" s="12">
        <v>350800.0</v>
      </c>
      <c r="C14" s="12">
        <v>311000.0</v>
      </c>
    </row>
    <row r="15">
      <c r="A15" s="5">
        <v>14.0</v>
      </c>
      <c r="B15" s="12">
        <v>49900.0</v>
      </c>
      <c r="C15" s="12">
        <v>442000.0</v>
      </c>
    </row>
    <row r="16">
      <c r="A16" s="5">
        <v>15.0</v>
      </c>
      <c r="B16" s="12">
        <v>86300.0</v>
      </c>
      <c r="C16" s="12">
        <v>626000.0</v>
      </c>
    </row>
    <row r="17">
      <c r="A17" s="5">
        <v>16.0</v>
      </c>
      <c r="B17" s="12">
        <v>35000.0</v>
      </c>
      <c r="C17" s="12">
        <v>514000.0</v>
      </c>
    </row>
    <row r="18">
      <c r="A18" s="5">
        <v>17.0</v>
      </c>
      <c r="B18" s="12">
        <v>182800.0</v>
      </c>
      <c r="C18" s="12">
        <v>291000.0</v>
      </c>
    </row>
    <row r="19">
      <c r="A19" s="5">
        <v>18.0</v>
      </c>
      <c r="B19" s="16">
        <v>123800.0</v>
      </c>
      <c r="C19" s="12">
        <v>360000.0</v>
      </c>
      <c r="E19" s="10"/>
    </row>
    <row r="20">
      <c r="A20" s="3">
        <v>19.0</v>
      </c>
      <c r="B20" s="8"/>
      <c r="C20" s="8"/>
    </row>
    <row r="21">
      <c r="A21" s="5">
        <v>20.0</v>
      </c>
      <c r="B21" s="12">
        <v>214200.0</v>
      </c>
      <c r="C21" s="12">
        <v>359000.0</v>
      </c>
    </row>
    <row r="22">
      <c r="A22" s="5">
        <v>21.0</v>
      </c>
      <c r="B22" s="12">
        <v>323500.0</v>
      </c>
      <c r="C22" s="12">
        <v>279000.0</v>
      </c>
    </row>
    <row r="23">
      <c r="A23" s="5">
        <v>22.0</v>
      </c>
      <c r="B23" s="12">
        <v>386600.0</v>
      </c>
      <c r="C23" s="12">
        <v>84000.0</v>
      </c>
    </row>
    <row r="24">
      <c r="A24" s="5">
        <v>23.0</v>
      </c>
      <c r="B24" s="12">
        <v>67000.0</v>
      </c>
      <c r="C24" s="12">
        <v>308000.0</v>
      </c>
    </row>
    <row r="25">
      <c r="A25" s="5">
        <v>24.0</v>
      </c>
      <c r="B25" s="12">
        <v>235800.0</v>
      </c>
      <c r="C25" s="12">
        <v>336000.0</v>
      </c>
    </row>
    <row r="26">
      <c r="A26" s="5">
        <v>25.0</v>
      </c>
      <c r="B26" s="12">
        <v>60900.0</v>
      </c>
      <c r="C26" s="12">
        <v>281000.0</v>
      </c>
    </row>
    <row r="27">
      <c r="A27" s="3">
        <v>26.0</v>
      </c>
      <c r="B27" s="8"/>
      <c r="C27" s="8"/>
    </row>
    <row r="28">
      <c r="A28" s="5">
        <v>27.0</v>
      </c>
      <c r="B28" s="12">
        <v>140500.0</v>
      </c>
      <c r="C28" s="12">
        <v>336000.0</v>
      </c>
    </row>
    <row r="29">
      <c r="A29" s="5">
        <v>28.0</v>
      </c>
      <c r="B29" s="6">
        <v>0.0</v>
      </c>
      <c r="C29" s="6">
        <v>230000.0</v>
      </c>
    </row>
    <row r="30">
      <c r="A30" s="5" t="s">
        <v>6</v>
      </c>
      <c r="B30" s="7">
        <f t="shared" ref="B30:C30" si="1">SUM(B2:B29)</f>
        <v>4178600</v>
      </c>
      <c r="C30" s="7">
        <f t="shared" si="1"/>
        <v>8407000</v>
      </c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5">
        <v>0.0</v>
      </c>
      <c r="B1" s="2" t="s">
        <v>0</v>
      </c>
      <c r="C1" s="2" t="s">
        <v>3</v>
      </c>
    </row>
    <row r="2">
      <c r="A2" s="5">
        <v>1.0</v>
      </c>
      <c r="B2" s="12">
        <v>139100.0</v>
      </c>
      <c r="C2" s="12">
        <v>273000.0</v>
      </c>
    </row>
    <row r="3">
      <c r="A3" s="5">
        <v>2.0</v>
      </c>
      <c r="B3" s="12">
        <v>218800.0</v>
      </c>
      <c r="C3" s="12">
        <v>529000.0</v>
      </c>
    </row>
    <row r="4">
      <c r="A4" s="5">
        <v>3.0</v>
      </c>
      <c r="B4" s="12">
        <v>251300.0</v>
      </c>
      <c r="C4" s="12">
        <v>222000.0</v>
      </c>
    </row>
    <row r="5">
      <c r="A5" s="5">
        <v>4.0</v>
      </c>
      <c r="B5" s="12">
        <v>274800.0</v>
      </c>
      <c r="C5" s="12">
        <v>283000.0</v>
      </c>
    </row>
    <row r="6">
      <c r="A6" s="3">
        <v>5.0</v>
      </c>
      <c r="B6" s="4"/>
      <c r="C6" s="4"/>
    </row>
    <row r="7">
      <c r="A7" s="5">
        <v>6.0</v>
      </c>
      <c r="B7" s="12">
        <v>98200.0</v>
      </c>
      <c r="C7" s="12">
        <v>331000.0</v>
      </c>
    </row>
    <row r="8">
      <c r="A8" s="5">
        <v>7.0</v>
      </c>
      <c r="B8" s="12">
        <v>135300.0</v>
      </c>
      <c r="C8" s="12">
        <v>305000.0</v>
      </c>
    </row>
    <row r="9">
      <c r="A9" s="5">
        <v>8.0</v>
      </c>
      <c r="B9" s="12">
        <v>83800.0</v>
      </c>
      <c r="C9" s="12">
        <v>322000.0</v>
      </c>
    </row>
    <row r="10">
      <c r="A10" s="5">
        <v>9.0</v>
      </c>
      <c r="B10" s="12">
        <v>273600.0</v>
      </c>
      <c r="C10" s="12">
        <v>377000.0</v>
      </c>
    </row>
    <row r="11">
      <c r="A11" s="5">
        <v>10.0</v>
      </c>
      <c r="B11" s="12">
        <v>174200.0</v>
      </c>
      <c r="C11" s="12">
        <v>271000.0</v>
      </c>
    </row>
    <row r="12">
      <c r="A12" s="5">
        <v>11.0</v>
      </c>
      <c r="B12" s="12">
        <v>379500.0</v>
      </c>
      <c r="C12" s="12">
        <v>418000.0</v>
      </c>
    </row>
    <row r="13">
      <c r="A13" s="3">
        <v>12.0</v>
      </c>
      <c r="B13" s="8"/>
      <c r="C13" s="8"/>
    </row>
    <row r="14">
      <c r="A14" s="5">
        <v>13.0</v>
      </c>
      <c r="B14" s="12">
        <v>31000.0</v>
      </c>
      <c r="C14" s="12">
        <v>418000.0</v>
      </c>
    </row>
    <row r="15">
      <c r="A15" s="5">
        <v>14.0</v>
      </c>
      <c r="B15" s="12">
        <v>443800.0</v>
      </c>
      <c r="C15" s="16">
        <v>509000.0</v>
      </c>
    </row>
    <row r="16">
      <c r="A16" s="5">
        <v>15.0</v>
      </c>
      <c r="B16" s="12">
        <v>172400.0</v>
      </c>
      <c r="C16" s="12">
        <v>108000.0</v>
      </c>
    </row>
    <row r="17">
      <c r="A17" s="5">
        <v>16.0</v>
      </c>
      <c r="B17" s="12">
        <v>98300.0</v>
      </c>
      <c r="C17" s="12">
        <v>303000.0</v>
      </c>
    </row>
    <row r="18">
      <c r="A18" s="5">
        <v>17.0</v>
      </c>
      <c r="B18" s="12">
        <v>26200.0</v>
      </c>
      <c r="C18" s="12">
        <v>530000.0</v>
      </c>
    </row>
    <row r="19">
      <c r="A19" s="5">
        <v>18.0</v>
      </c>
      <c r="B19" s="16">
        <v>215000.0</v>
      </c>
      <c r="C19" s="12">
        <v>491000.0</v>
      </c>
      <c r="E19" s="10"/>
    </row>
    <row r="20">
      <c r="A20" s="3">
        <v>19.0</v>
      </c>
      <c r="B20" s="8"/>
      <c r="C20" s="8"/>
    </row>
    <row r="21">
      <c r="A21" s="3">
        <v>20.0</v>
      </c>
      <c r="B21" s="8"/>
      <c r="C21" s="8"/>
    </row>
    <row r="22">
      <c r="A22" s="5">
        <v>21.0</v>
      </c>
      <c r="B22" s="12">
        <v>85000.0</v>
      </c>
      <c r="C22" s="12">
        <v>274000.0</v>
      </c>
    </row>
    <row r="23">
      <c r="A23" s="5">
        <v>22.0</v>
      </c>
      <c r="B23" s="12">
        <v>85400.0</v>
      </c>
      <c r="C23" s="12">
        <v>397000.0</v>
      </c>
    </row>
    <row r="24">
      <c r="A24" s="5">
        <v>23.0</v>
      </c>
      <c r="B24" s="12">
        <v>139900.0</v>
      </c>
      <c r="C24" s="12">
        <v>392000.0</v>
      </c>
    </row>
    <row r="25">
      <c r="A25" s="5">
        <v>24.0</v>
      </c>
      <c r="B25" s="12">
        <v>0.0</v>
      </c>
      <c r="C25" s="12">
        <v>330000.0</v>
      </c>
    </row>
    <row r="26">
      <c r="A26" s="5">
        <v>25.0</v>
      </c>
      <c r="B26" s="12">
        <v>559700.0</v>
      </c>
      <c r="C26" s="12">
        <v>198000.0</v>
      </c>
    </row>
    <row r="27">
      <c r="A27" s="3">
        <v>26.0</v>
      </c>
      <c r="B27" s="8"/>
      <c r="C27" s="8"/>
    </row>
    <row r="28">
      <c r="A28" s="5">
        <v>27.0</v>
      </c>
      <c r="B28" s="12">
        <v>258700.0</v>
      </c>
      <c r="C28" s="12">
        <v>187000.0</v>
      </c>
    </row>
    <row r="29">
      <c r="A29" s="5">
        <v>28.0</v>
      </c>
      <c r="B29" s="12">
        <v>188400.0</v>
      </c>
      <c r="C29" s="12">
        <v>230000.0</v>
      </c>
    </row>
    <row r="30">
      <c r="A30" s="5">
        <v>29.0</v>
      </c>
      <c r="B30" s="12">
        <v>45500.0</v>
      </c>
      <c r="C30" s="12">
        <v>281000.0</v>
      </c>
    </row>
    <row r="31">
      <c r="A31" s="5">
        <v>30.0</v>
      </c>
      <c r="B31" s="12">
        <v>0.0</v>
      </c>
      <c r="C31" s="12">
        <v>401000.0</v>
      </c>
    </row>
    <row r="32">
      <c r="A32" s="5">
        <v>31.0</v>
      </c>
      <c r="B32" s="12">
        <v>382400.0</v>
      </c>
      <c r="C32" s="12">
        <v>346000.0</v>
      </c>
    </row>
    <row r="33">
      <c r="A33" s="5" t="s">
        <v>6</v>
      </c>
      <c r="B33" s="7">
        <f t="shared" ref="B33:C33" si="1">SUM(B2:B32)</f>
        <v>4760300</v>
      </c>
      <c r="C33" s="7">
        <f t="shared" si="1"/>
        <v>8726000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5">
        <v>0.0</v>
      </c>
      <c r="B1" s="2" t="s">
        <v>0</v>
      </c>
      <c r="C1" s="2" t="s">
        <v>3</v>
      </c>
    </row>
    <row r="2">
      <c r="A2" s="5">
        <v>1.0</v>
      </c>
      <c r="B2" s="12">
        <v>393150.0</v>
      </c>
      <c r="C2" s="12">
        <v>260000.0</v>
      </c>
    </row>
    <row r="3">
      <c r="A3" s="3">
        <v>2.0</v>
      </c>
      <c r="B3" s="8"/>
      <c r="C3" s="8"/>
    </row>
    <row r="4">
      <c r="A4" s="5">
        <v>3.0</v>
      </c>
      <c r="B4" s="6">
        <v>0.0</v>
      </c>
      <c r="C4" s="12">
        <v>428000.0</v>
      </c>
    </row>
    <row r="5">
      <c r="A5" s="5">
        <v>4.0</v>
      </c>
      <c r="B5" s="12">
        <v>758400.0</v>
      </c>
      <c r="C5" s="12">
        <v>384000.0</v>
      </c>
    </row>
    <row r="6">
      <c r="A6" s="5">
        <v>5.0</v>
      </c>
      <c r="B6" s="12">
        <v>701400.0</v>
      </c>
      <c r="C6" s="12">
        <v>502000.0</v>
      </c>
    </row>
    <row r="7">
      <c r="A7" s="3">
        <v>6.0</v>
      </c>
      <c r="B7" s="8"/>
      <c r="C7" s="8"/>
    </row>
    <row r="8">
      <c r="A8" s="3">
        <v>7.0</v>
      </c>
      <c r="B8" s="8"/>
      <c r="C8" s="8"/>
    </row>
    <row r="9">
      <c r="A9" s="3">
        <v>8.0</v>
      </c>
      <c r="B9" s="8"/>
      <c r="C9" s="8"/>
    </row>
    <row r="10">
      <c r="A10" s="3">
        <v>9.0</v>
      </c>
      <c r="B10" s="8"/>
      <c r="C10" s="8"/>
    </row>
    <row r="11">
      <c r="A11" s="5">
        <v>10.0</v>
      </c>
      <c r="B11" s="12">
        <v>205600.0</v>
      </c>
      <c r="C11" s="12">
        <v>532000.0</v>
      </c>
    </row>
    <row r="12">
      <c r="A12" s="5">
        <v>11.0</v>
      </c>
      <c r="B12" s="12">
        <v>109300.0</v>
      </c>
      <c r="C12" s="12">
        <v>244000.0</v>
      </c>
    </row>
    <row r="13">
      <c r="A13" s="5">
        <v>12.0</v>
      </c>
      <c r="B13" s="12">
        <v>110400.0</v>
      </c>
      <c r="C13" s="12">
        <v>171000.0</v>
      </c>
    </row>
    <row r="14">
      <c r="A14" s="5">
        <v>13.0</v>
      </c>
      <c r="B14" s="12">
        <v>257200.0</v>
      </c>
      <c r="C14" s="12">
        <v>421000.0</v>
      </c>
    </row>
    <row r="15">
      <c r="A15" s="5">
        <v>14.0</v>
      </c>
      <c r="B15" s="12">
        <v>34800.0</v>
      </c>
      <c r="C15" s="16">
        <v>474000.0</v>
      </c>
    </row>
    <row r="16">
      <c r="A16" s="5">
        <v>15.0</v>
      </c>
      <c r="B16" s="12">
        <v>56700.0</v>
      </c>
      <c r="C16" s="12">
        <v>456000.0</v>
      </c>
    </row>
    <row r="17">
      <c r="A17" s="3">
        <v>16.0</v>
      </c>
      <c r="B17" s="8"/>
      <c r="C17" s="8"/>
    </row>
    <row r="18">
      <c r="A18" s="5">
        <v>17.0</v>
      </c>
      <c r="B18" s="12">
        <v>130650.0</v>
      </c>
      <c r="C18" s="12">
        <v>360000.0</v>
      </c>
    </row>
    <row r="19">
      <c r="A19" s="5">
        <v>18.0</v>
      </c>
      <c r="B19" s="16">
        <v>23500.0</v>
      </c>
      <c r="C19" s="12">
        <v>209000.0</v>
      </c>
      <c r="E19" s="10"/>
    </row>
    <row r="20">
      <c r="A20" s="5">
        <v>19.0</v>
      </c>
      <c r="B20" s="12">
        <v>74400.0</v>
      </c>
      <c r="C20" s="12">
        <v>397000.0</v>
      </c>
    </row>
    <row r="21">
      <c r="A21" s="5">
        <v>20.0</v>
      </c>
      <c r="B21" s="12">
        <v>205500.0</v>
      </c>
      <c r="C21" s="12">
        <v>241000.0</v>
      </c>
    </row>
    <row r="22">
      <c r="A22" s="5">
        <v>21.0</v>
      </c>
      <c r="B22" s="12">
        <v>269600.0</v>
      </c>
      <c r="C22" s="12">
        <v>366000.0</v>
      </c>
    </row>
    <row r="23">
      <c r="A23" s="5">
        <v>22.0</v>
      </c>
      <c r="B23" s="12">
        <v>75100.0</v>
      </c>
      <c r="C23" s="12">
        <v>323000.0</v>
      </c>
    </row>
    <row r="24">
      <c r="A24" s="3">
        <v>23.0</v>
      </c>
      <c r="B24" s="8"/>
      <c r="C24" s="8"/>
    </row>
    <row r="25">
      <c r="A25" s="5">
        <v>24.0</v>
      </c>
      <c r="B25" s="12">
        <v>256300.0</v>
      </c>
      <c r="C25" s="12">
        <v>386000.0</v>
      </c>
    </row>
    <row r="26">
      <c r="A26" s="5">
        <v>25.0</v>
      </c>
      <c r="B26" s="12">
        <v>17000.0</v>
      </c>
      <c r="C26" s="12">
        <v>255000.0</v>
      </c>
    </row>
    <row r="27">
      <c r="A27" s="5">
        <v>26.0</v>
      </c>
      <c r="B27" s="12">
        <v>106300.0</v>
      </c>
      <c r="C27" s="12">
        <v>261000.0</v>
      </c>
    </row>
    <row r="28">
      <c r="A28" s="5">
        <v>27.0</v>
      </c>
      <c r="B28" s="12">
        <v>213400.0</v>
      </c>
      <c r="C28" s="12">
        <v>250000.0</v>
      </c>
    </row>
    <row r="29">
      <c r="A29" s="5">
        <v>28.0</v>
      </c>
      <c r="B29" s="12">
        <v>96700.0</v>
      </c>
      <c r="C29" s="12">
        <v>234000.0</v>
      </c>
    </row>
    <row r="30">
      <c r="A30" s="5">
        <v>29.0</v>
      </c>
      <c r="B30" s="12">
        <v>129900.0</v>
      </c>
      <c r="C30" s="12">
        <v>544000.0</v>
      </c>
    </row>
    <row r="31">
      <c r="A31" s="3">
        <v>30.0</v>
      </c>
      <c r="B31" s="8"/>
      <c r="C31" s="8"/>
    </row>
    <row r="32">
      <c r="A32" s="5">
        <v>31.0</v>
      </c>
      <c r="B32" s="6"/>
      <c r="C32" s="6"/>
    </row>
    <row r="33">
      <c r="A33" s="5" t="s">
        <v>6</v>
      </c>
      <c r="B33" s="7">
        <f t="shared" ref="B33:C33" si="1">SUM(B2:B32)</f>
        <v>4225300</v>
      </c>
      <c r="C33" s="7">
        <f t="shared" si="1"/>
        <v>7698000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5">
        <v>0.0</v>
      </c>
      <c r="B1" s="2" t="s">
        <v>0</v>
      </c>
      <c r="C1" s="2" t="s">
        <v>3</v>
      </c>
    </row>
    <row r="2">
      <c r="A2" s="3">
        <v>1.0</v>
      </c>
      <c r="B2" s="8"/>
      <c r="C2" s="8"/>
    </row>
    <row r="3">
      <c r="A3" s="5">
        <v>2.0</v>
      </c>
      <c r="B3" s="12">
        <v>143700.0</v>
      </c>
      <c r="C3" s="12">
        <v>238000.0</v>
      </c>
    </row>
    <row r="4">
      <c r="A4" s="5">
        <v>3.0</v>
      </c>
      <c r="B4" s="12">
        <v>421100.0</v>
      </c>
      <c r="C4" s="12">
        <v>333000.0</v>
      </c>
    </row>
    <row r="5">
      <c r="A5" s="5">
        <v>4.0</v>
      </c>
      <c r="B5" s="12">
        <v>83100.0</v>
      </c>
      <c r="C5" s="12">
        <v>453000.0</v>
      </c>
    </row>
    <row r="6">
      <c r="A6" s="5">
        <v>5.0</v>
      </c>
      <c r="B6" s="12">
        <v>61500.0</v>
      </c>
      <c r="C6" s="12">
        <v>401000.0</v>
      </c>
    </row>
    <row r="7">
      <c r="A7" s="5">
        <v>6.0</v>
      </c>
      <c r="B7" s="12">
        <v>268300.0</v>
      </c>
      <c r="C7" s="12">
        <v>393000.0</v>
      </c>
    </row>
    <row r="8">
      <c r="A8" s="3">
        <v>7.0</v>
      </c>
      <c r="B8" s="8"/>
      <c r="C8" s="8"/>
    </row>
    <row r="9">
      <c r="A9" s="5">
        <v>8.0</v>
      </c>
      <c r="B9" s="12">
        <v>50900.0</v>
      </c>
      <c r="C9" s="12">
        <v>177000.0</v>
      </c>
    </row>
    <row r="10">
      <c r="A10" s="5">
        <v>9.0</v>
      </c>
      <c r="B10" s="12">
        <v>13300.0</v>
      </c>
      <c r="C10" s="12">
        <v>452000.0</v>
      </c>
    </row>
    <row r="11">
      <c r="A11" s="5">
        <v>10.0</v>
      </c>
      <c r="B11" s="12">
        <v>255800.0</v>
      </c>
      <c r="C11" s="12">
        <v>289000.0</v>
      </c>
    </row>
    <row r="12">
      <c r="A12" s="5">
        <v>11.0</v>
      </c>
      <c r="B12" s="12">
        <v>39000.0</v>
      </c>
      <c r="C12" s="12">
        <v>280000.0</v>
      </c>
    </row>
    <row r="13">
      <c r="A13" s="5">
        <v>12.0</v>
      </c>
      <c r="B13" s="12">
        <v>52000.0</v>
      </c>
      <c r="C13" s="12">
        <v>239000.0</v>
      </c>
    </row>
    <row r="14">
      <c r="A14" s="5">
        <v>13.0</v>
      </c>
      <c r="B14" s="12">
        <v>84000.0</v>
      </c>
      <c r="C14" s="12">
        <v>483000.0</v>
      </c>
    </row>
    <row r="15">
      <c r="A15" s="3">
        <v>14.0</v>
      </c>
      <c r="B15" s="8"/>
      <c r="C15" s="17"/>
    </row>
    <row r="16">
      <c r="A16" s="5">
        <v>15.0</v>
      </c>
      <c r="B16" s="12">
        <v>278100.0</v>
      </c>
      <c r="C16" s="12">
        <v>410000.0</v>
      </c>
    </row>
    <row r="17">
      <c r="A17" s="5">
        <v>16.0</v>
      </c>
      <c r="B17" s="12">
        <v>18000.0</v>
      </c>
      <c r="C17" s="12">
        <v>280000.0</v>
      </c>
    </row>
    <row r="18">
      <c r="A18" s="5">
        <v>17.0</v>
      </c>
      <c r="B18" s="12">
        <v>86000.0</v>
      </c>
      <c r="C18" s="12">
        <v>319000.0</v>
      </c>
    </row>
    <row r="19">
      <c r="A19" s="5">
        <v>18.0</v>
      </c>
      <c r="B19" s="16">
        <v>412000.0</v>
      </c>
      <c r="C19" s="12">
        <v>175000.0</v>
      </c>
      <c r="E19" s="10"/>
    </row>
    <row r="20">
      <c r="A20" s="5">
        <v>19.0</v>
      </c>
      <c r="B20" s="12">
        <v>202200.0</v>
      </c>
      <c r="C20" s="12">
        <v>422000.0</v>
      </c>
    </row>
    <row r="21">
      <c r="A21" s="5">
        <v>20.0</v>
      </c>
      <c r="B21" s="12">
        <v>94700.0</v>
      </c>
      <c r="C21" s="12">
        <v>401000.0</v>
      </c>
    </row>
    <row r="22">
      <c r="A22" s="3">
        <v>21.0</v>
      </c>
      <c r="B22" s="8"/>
      <c r="C22" s="8"/>
    </row>
    <row r="23">
      <c r="A23" s="3">
        <v>22.0</v>
      </c>
      <c r="B23" s="8"/>
      <c r="C23" s="8"/>
    </row>
    <row r="24">
      <c r="A24" s="5">
        <v>23.0</v>
      </c>
      <c r="B24" s="12">
        <v>223300.0</v>
      </c>
      <c r="C24" s="12">
        <v>390000.0</v>
      </c>
    </row>
    <row r="25">
      <c r="A25" s="5">
        <v>24.0</v>
      </c>
      <c r="B25" s="12">
        <v>107600.0</v>
      </c>
      <c r="C25" s="12">
        <v>292000.0</v>
      </c>
    </row>
    <row r="26">
      <c r="A26" s="5">
        <v>25.0</v>
      </c>
      <c r="B26" s="12">
        <v>188900.0</v>
      </c>
      <c r="C26" s="12">
        <v>495000.0</v>
      </c>
    </row>
    <row r="27">
      <c r="A27" s="5">
        <v>26.0</v>
      </c>
      <c r="B27" s="12">
        <v>167700.0</v>
      </c>
      <c r="C27" s="12">
        <v>465000.0</v>
      </c>
    </row>
    <row r="28">
      <c r="A28" s="5">
        <v>27.0</v>
      </c>
      <c r="B28" s="12">
        <v>212500.0</v>
      </c>
      <c r="C28" s="12">
        <v>367000.0</v>
      </c>
    </row>
    <row r="29">
      <c r="A29" s="3">
        <v>28.0</v>
      </c>
      <c r="B29" s="8"/>
      <c r="C29" s="8"/>
    </row>
    <row r="30">
      <c r="A30" s="5">
        <v>29.0</v>
      </c>
      <c r="B30" s="12">
        <v>95400.0</v>
      </c>
      <c r="C30" s="12">
        <v>278000.0</v>
      </c>
    </row>
    <row r="31">
      <c r="A31" s="5">
        <v>30.0</v>
      </c>
      <c r="B31" s="12">
        <v>79700.0</v>
      </c>
      <c r="C31" s="12">
        <v>206000.0</v>
      </c>
    </row>
    <row r="32">
      <c r="A32" s="5">
        <v>31.0</v>
      </c>
      <c r="B32" s="12">
        <v>51300.0</v>
      </c>
      <c r="C32" s="12">
        <v>77000.0</v>
      </c>
    </row>
    <row r="33">
      <c r="A33" s="5"/>
      <c r="B33" s="6"/>
      <c r="C33" s="6"/>
    </row>
    <row r="34">
      <c r="A34" s="5" t="s">
        <v>6</v>
      </c>
      <c r="B34" s="7">
        <f t="shared" ref="B34:C34" si="1">SUM(B2:B32)</f>
        <v>3690100</v>
      </c>
      <c r="C34" s="7">
        <f t="shared" si="1"/>
        <v>8315000</v>
      </c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</cols>
  <sheetData>
    <row r="1">
      <c r="A1" s="15">
        <v>0.0</v>
      </c>
      <c r="B1" s="2" t="s">
        <v>0</v>
      </c>
      <c r="C1" s="2" t="s">
        <v>3</v>
      </c>
    </row>
    <row r="2">
      <c r="A2" s="5">
        <v>1.0</v>
      </c>
      <c r="B2" s="12">
        <v>204300.0</v>
      </c>
      <c r="C2" s="12">
        <v>497000.0</v>
      </c>
    </row>
    <row r="3">
      <c r="A3" s="5">
        <v>2.0</v>
      </c>
      <c r="B3" s="12">
        <v>276600.0</v>
      </c>
      <c r="C3" s="12">
        <v>231000.0</v>
      </c>
    </row>
    <row r="4">
      <c r="A4" s="5">
        <v>3.0</v>
      </c>
      <c r="B4" s="12">
        <v>236200.0</v>
      </c>
      <c r="C4" s="12">
        <v>495000.0</v>
      </c>
    </row>
    <row r="5">
      <c r="A5" s="3">
        <v>4.0</v>
      </c>
      <c r="B5" s="8"/>
      <c r="C5" s="8"/>
    </row>
    <row r="6">
      <c r="A6" s="5">
        <v>5.0</v>
      </c>
      <c r="B6" s="12">
        <v>150800.0</v>
      </c>
      <c r="C6" s="12">
        <v>365000.0</v>
      </c>
    </row>
    <row r="7">
      <c r="A7" s="5">
        <v>6.0</v>
      </c>
      <c r="B7" s="12">
        <v>153100.0</v>
      </c>
      <c r="C7" s="12">
        <v>446000.0</v>
      </c>
    </row>
    <row r="8">
      <c r="A8" s="5">
        <v>7.0</v>
      </c>
      <c r="B8" s="12">
        <v>152400.0</v>
      </c>
      <c r="C8" s="12">
        <v>324000.0</v>
      </c>
    </row>
    <row r="9">
      <c r="A9" s="5">
        <v>8.0</v>
      </c>
      <c r="B9" s="12">
        <v>29500.0</v>
      </c>
      <c r="C9" s="12">
        <v>384000.0</v>
      </c>
    </row>
    <row r="10">
      <c r="A10" s="5">
        <v>9.0</v>
      </c>
      <c r="B10" s="12">
        <v>16400.0</v>
      </c>
      <c r="C10" s="12">
        <v>240000.0</v>
      </c>
    </row>
    <row r="11">
      <c r="A11" s="5">
        <v>10.0</v>
      </c>
      <c r="B11" s="12">
        <v>20800.0</v>
      </c>
      <c r="C11" s="12">
        <v>362000.0</v>
      </c>
    </row>
    <row r="12">
      <c r="A12" s="3">
        <v>11.0</v>
      </c>
      <c r="B12" s="8"/>
      <c r="C12" s="8"/>
    </row>
    <row r="13">
      <c r="A13" s="3">
        <v>12.0</v>
      </c>
      <c r="B13" s="8"/>
      <c r="C13" s="8"/>
    </row>
    <row r="14">
      <c r="A14" s="5">
        <v>13.0</v>
      </c>
      <c r="B14" s="12">
        <v>126600.0</v>
      </c>
      <c r="C14" s="12">
        <v>409000.0</v>
      </c>
    </row>
    <row r="15">
      <c r="A15" s="5">
        <v>14.0</v>
      </c>
      <c r="B15" s="12">
        <v>41100.0</v>
      </c>
      <c r="C15" s="18">
        <v>391000.0</v>
      </c>
    </row>
    <row r="16">
      <c r="A16" s="5">
        <v>15.0</v>
      </c>
      <c r="B16" s="12">
        <v>1000.0</v>
      </c>
      <c r="C16" s="12">
        <v>165000.0</v>
      </c>
    </row>
    <row r="17">
      <c r="A17" s="5">
        <v>16.0</v>
      </c>
      <c r="B17" s="19">
        <v>456400.0</v>
      </c>
      <c r="C17" s="12">
        <v>284000.0</v>
      </c>
    </row>
    <row r="18">
      <c r="A18" s="5">
        <v>17.0</v>
      </c>
      <c r="B18" s="12">
        <v>229300.0</v>
      </c>
      <c r="C18" s="12">
        <v>453000.0</v>
      </c>
    </row>
    <row r="19">
      <c r="A19" s="3">
        <v>18.0</v>
      </c>
      <c r="B19" s="17"/>
      <c r="C19" s="8"/>
    </row>
    <row r="20">
      <c r="A20" s="3">
        <v>19.0</v>
      </c>
      <c r="B20" s="8"/>
      <c r="C20" s="8"/>
    </row>
    <row r="21">
      <c r="A21" s="5">
        <v>20.0</v>
      </c>
      <c r="B21" s="12">
        <v>1418200.0</v>
      </c>
      <c r="C21" s="12">
        <v>191000.0</v>
      </c>
    </row>
    <row r="22">
      <c r="A22" s="5">
        <v>21.0</v>
      </c>
      <c r="B22" s="12">
        <v>147800.0</v>
      </c>
      <c r="C22" s="12">
        <v>435000.0</v>
      </c>
    </row>
    <row r="23">
      <c r="A23" s="5">
        <v>22.0</v>
      </c>
      <c r="B23" s="12">
        <v>142600.0</v>
      </c>
      <c r="C23" s="12">
        <v>385000.0</v>
      </c>
    </row>
    <row r="24">
      <c r="A24" s="5">
        <v>23.0</v>
      </c>
      <c r="B24" s="12">
        <v>52400.0</v>
      </c>
      <c r="C24" s="12">
        <v>280000.0</v>
      </c>
    </row>
    <row r="25">
      <c r="A25" s="5">
        <v>24.0</v>
      </c>
      <c r="B25" s="12">
        <v>159000.0</v>
      </c>
      <c r="C25" s="12">
        <v>401000.0</v>
      </c>
    </row>
    <row r="26">
      <c r="A26" s="3">
        <v>25.0</v>
      </c>
      <c r="B26" s="8"/>
      <c r="C26" s="8"/>
    </row>
    <row r="27">
      <c r="A27" s="5">
        <v>26.0</v>
      </c>
      <c r="B27" s="12">
        <v>189200.0</v>
      </c>
      <c r="C27" s="12">
        <v>412000.0</v>
      </c>
    </row>
    <row r="28">
      <c r="A28" s="5">
        <v>27.0</v>
      </c>
      <c r="B28" s="12">
        <v>165600.0</v>
      </c>
      <c r="C28" s="12">
        <v>367000.0</v>
      </c>
    </row>
    <row r="29">
      <c r="A29" s="5">
        <v>28.0</v>
      </c>
      <c r="B29" s="12">
        <v>132200.0</v>
      </c>
      <c r="C29" s="12">
        <v>212000.0</v>
      </c>
    </row>
    <row r="30">
      <c r="A30" s="5">
        <v>29.0</v>
      </c>
      <c r="B30" s="12">
        <v>3700.0</v>
      </c>
      <c r="C30" s="12">
        <v>307000.0</v>
      </c>
    </row>
    <row r="31">
      <c r="A31" s="5">
        <v>30.0</v>
      </c>
      <c r="B31" s="12">
        <v>82100.0</v>
      </c>
      <c r="C31" s="12">
        <v>247000.0</v>
      </c>
    </row>
    <row r="32">
      <c r="A32" s="5"/>
      <c r="B32" s="6"/>
      <c r="C32" s="6"/>
    </row>
    <row r="33">
      <c r="A33" s="5" t="s">
        <v>6</v>
      </c>
      <c r="B33" s="6">
        <f t="shared" ref="B33:C33" si="1">SUM(B2:B31)</f>
        <v>4587300</v>
      </c>
      <c r="C33" s="6">
        <f t="shared" si="1"/>
        <v>8283000</v>
      </c>
    </row>
    <row r="34">
      <c r="A34" s="20"/>
      <c r="B34" s="21"/>
      <c r="C34" s="21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15.63"/>
  </cols>
  <sheetData>
    <row r="1">
      <c r="A1" s="15">
        <v>0.0</v>
      </c>
      <c r="B1" s="2" t="s">
        <v>0</v>
      </c>
      <c r="C1" s="2" t="s">
        <v>3</v>
      </c>
      <c r="D1" s="22" t="s">
        <v>8</v>
      </c>
    </row>
    <row r="2">
      <c r="A2" s="5">
        <v>1.0</v>
      </c>
      <c r="B2" s="12">
        <v>201700.0</v>
      </c>
      <c r="C2" s="12">
        <v>285000.0</v>
      </c>
      <c r="D2" s="23"/>
    </row>
    <row r="3">
      <c r="A3" s="3">
        <v>2.0</v>
      </c>
      <c r="B3" s="8"/>
      <c r="C3" s="8"/>
      <c r="D3" s="24"/>
    </row>
    <row r="4">
      <c r="A4" s="3">
        <v>3.0</v>
      </c>
      <c r="B4" s="8"/>
      <c r="C4" s="8"/>
      <c r="D4" s="24"/>
    </row>
    <row r="5">
      <c r="A5" s="5">
        <v>4.0</v>
      </c>
      <c r="B5" s="12">
        <v>106500.0</v>
      </c>
      <c r="C5" s="12">
        <v>370000.0</v>
      </c>
      <c r="D5" s="23"/>
    </row>
    <row r="6">
      <c r="A6" s="5">
        <v>5.0</v>
      </c>
      <c r="B6" s="12">
        <v>52800.0</v>
      </c>
      <c r="C6" s="12">
        <v>443000.0</v>
      </c>
      <c r="D6" s="23"/>
    </row>
    <row r="7">
      <c r="A7" s="5">
        <v>6.0</v>
      </c>
      <c r="B7" s="12">
        <v>159900.0</v>
      </c>
      <c r="C7" s="12">
        <v>353000.0</v>
      </c>
      <c r="D7" s="23"/>
    </row>
    <row r="8">
      <c r="A8" s="5">
        <v>7.0</v>
      </c>
      <c r="B8" s="12">
        <v>69500.0</v>
      </c>
      <c r="C8" s="12">
        <v>312000.0</v>
      </c>
      <c r="D8" s="23"/>
    </row>
    <row r="9">
      <c r="A9" s="5">
        <v>8.0</v>
      </c>
      <c r="B9" s="12">
        <v>183600.0</v>
      </c>
      <c r="C9" s="12">
        <v>536000.0</v>
      </c>
      <c r="D9" s="23"/>
    </row>
    <row r="10">
      <c r="A10" s="3">
        <v>9.0</v>
      </c>
      <c r="B10" s="8"/>
      <c r="C10" s="8"/>
      <c r="D10" s="24"/>
    </row>
    <row r="11">
      <c r="A11" s="5">
        <v>10.0</v>
      </c>
      <c r="B11" s="12">
        <v>64300.0</v>
      </c>
      <c r="C11" s="12">
        <v>282000.0</v>
      </c>
      <c r="D11" s="23"/>
    </row>
    <row r="12">
      <c r="A12" s="5">
        <v>11.0</v>
      </c>
      <c r="B12" s="12">
        <v>20500.0</v>
      </c>
      <c r="C12" s="12">
        <v>323000.0</v>
      </c>
      <c r="D12" s="23"/>
    </row>
    <row r="13">
      <c r="A13" s="5">
        <v>12.0</v>
      </c>
      <c r="B13" s="12">
        <v>84100.0</v>
      </c>
      <c r="C13" s="12">
        <v>227000.0</v>
      </c>
      <c r="D13" s="23"/>
    </row>
    <row r="14">
      <c r="A14" s="5">
        <v>13.0</v>
      </c>
      <c r="B14" s="12">
        <v>170700.0</v>
      </c>
      <c r="C14" s="12">
        <v>248000.0</v>
      </c>
      <c r="D14" s="23"/>
    </row>
    <row r="15">
      <c r="A15" s="5">
        <v>14.0</v>
      </c>
      <c r="B15" s="12">
        <v>45700.0</v>
      </c>
      <c r="C15" s="18">
        <v>312000.0</v>
      </c>
      <c r="D15" s="23"/>
    </row>
    <row r="16">
      <c r="A16" s="5">
        <v>15.0</v>
      </c>
      <c r="B16" s="12">
        <v>183900.0</v>
      </c>
      <c r="C16" s="12">
        <v>583000.0</v>
      </c>
      <c r="D16" s="23"/>
    </row>
    <row r="17">
      <c r="A17" s="3">
        <v>16.0</v>
      </c>
      <c r="B17" s="25"/>
      <c r="C17" s="8"/>
      <c r="D17" s="24"/>
    </row>
    <row r="18">
      <c r="A18" s="5">
        <v>17.0</v>
      </c>
      <c r="B18" s="12">
        <v>120800.0</v>
      </c>
      <c r="C18" s="12">
        <v>326000.0</v>
      </c>
      <c r="D18" s="23"/>
    </row>
    <row r="19">
      <c r="A19" s="5">
        <v>18.0</v>
      </c>
      <c r="B19" s="16">
        <v>110800.0</v>
      </c>
      <c r="C19" s="12">
        <v>327000.0</v>
      </c>
      <c r="D19" s="23"/>
    </row>
    <row r="20">
      <c r="A20" s="5">
        <v>19.0</v>
      </c>
      <c r="B20" s="12">
        <v>1000.0</v>
      </c>
      <c r="C20" s="12">
        <v>484000.0</v>
      </c>
      <c r="D20" s="23"/>
    </row>
    <row r="21">
      <c r="A21" s="3">
        <v>20.0</v>
      </c>
      <c r="B21" s="8"/>
      <c r="C21" s="8"/>
      <c r="D21" s="24"/>
    </row>
    <row r="22">
      <c r="A22" s="5">
        <v>21.0</v>
      </c>
      <c r="B22" s="12">
        <v>195700.0</v>
      </c>
      <c r="C22" s="12">
        <v>375000.0</v>
      </c>
      <c r="D22" s="23"/>
    </row>
    <row r="23">
      <c r="A23" s="5">
        <v>22.0</v>
      </c>
      <c r="B23" s="12">
        <v>31500.0</v>
      </c>
      <c r="C23" s="12">
        <v>188000.0</v>
      </c>
      <c r="D23" s="18">
        <v>379000.0</v>
      </c>
    </row>
    <row r="24">
      <c r="A24" s="3">
        <v>23.0</v>
      </c>
      <c r="B24" s="8"/>
      <c r="C24" s="8"/>
      <c r="D24" s="24"/>
    </row>
    <row r="25">
      <c r="A25" s="5">
        <v>24.0</v>
      </c>
      <c r="B25" s="12">
        <v>10000.0</v>
      </c>
      <c r="C25" s="12">
        <v>227000.0</v>
      </c>
      <c r="D25" s="18">
        <v>121500.0</v>
      </c>
    </row>
    <row r="26">
      <c r="A26" s="5">
        <v>25.0</v>
      </c>
      <c r="B26" s="12">
        <v>278200.0</v>
      </c>
      <c r="C26" s="12">
        <v>565000.0</v>
      </c>
      <c r="D26" s="18">
        <v>113000.0</v>
      </c>
    </row>
    <row r="27">
      <c r="A27" s="5">
        <v>26.0</v>
      </c>
      <c r="B27" s="12">
        <v>110000.0</v>
      </c>
      <c r="C27" s="12">
        <v>265000.0</v>
      </c>
      <c r="D27" s="18">
        <v>149000.0</v>
      </c>
    </row>
    <row r="28">
      <c r="A28" s="5">
        <v>27.0</v>
      </c>
      <c r="B28" s="12">
        <v>174400.0</v>
      </c>
      <c r="C28" s="12">
        <v>347000.0</v>
      </c>
      <c r="D28" s="18">
        <v>595670.0</v>
      </c>
    </row>
    <row r="29">
      <c r="A29" s="5">
        <v>28.0</v>
      </c>
      <c r="B29" s="12">
        <v>193800.0</v>
      </c>
      <c r="C29" s="12">
        <v>283000.0</v>
      </c>
      <c r="D29" s="18">
        <v>230613.0</v>
      </c>
    </row>
    <row r="30">
      <c r="A30" s="5">
        <v>29.0</v>
      </c>
      <c r="B30" s="12">
        <v>74300.0</v>
      </c>
      <c r="C30" s="12">
        <v>355000.0</v>
      </c>
      <c r="D30" s="18">
        <v>302656.0</v>
      </c>
    </row>
    <row r="31">
      <c r="A31" s="3">
        <v>30.0</v>
      </c>
      <c r="B31" s="8"/>
      <c r="C31" s="8"/>
      <c r="D31" s="24"/>
    </row>
    <row r="32">
      <c r="A32" s="5">
        <v>31.0</v>
      </c>
      <c r="B32" s="6">
        <v>154700.0</v>
      </c>
      <c r="C32" s="6">
        <v>228000.0</v>
      </c>
      <c r="D32" s="26">
        <v>161000.0</v>
      </c>
    </row>
    <row r="33">
      <c r="A33" s="5" t="s">
        <v>6</v>
      </c>
      <c r="B33" s="6"/>
      <c r="C33" s="6"/>
      <c r="D33" s="27"/>
    </row>
    <row r="34">
      <c r="A34" s="20"/>
      <c r="B34" s="21"/>
      <c r="C34" s="21"/>
    </row>
    <row r="35">
      <c r="A35" s="9"/>
    </row>
    <row r="36">
      <c r="A36" s="9"/>
    </row>
    <row r="37">
      <c r="A37" s="9"/>
    </row>
    <row r="38">
      <c r="A38" s="9"/>
    </row>
    <row r="39">
      <c r="A39" s="9"/>
      <c r="D39" s="28"/>
    </row>
    <row r="40">
      <c r="A40" s="9"/>
      <c r="D40" s="23"/>
    </row>
    <row r="41">
      <c r="A41" s="9"/>
      <c r="D41" s="23"/>
    </row>
    <row r="42">
      <c r="A42" s="9"/>
      <c r="D42" s="23"/>
    </row>
    <row r="43">
      <c r="A43" s="9"/>
      <c r="D43" s="23"/>
    </row>
    <row r="44">
      <c r="A44" s="9"/>
      <c r="D44" s="23"/>
    </row>
    <row r="45">
      <c r="A45" s="9"/>
      <c r="D45" s="23"/>
    </row>
    <row r="46">
      <c r="A46" s="9"/>
      <c r="D46" s="23"/>
    </row>
    <row r="47">
      <c r="A47" s="9"/>
      <c r="D47" s="23"/>
    </row>
    <row r="48">
      <c r="A48" s="9"/>
      <c r="D48" s="23"/>
    </row>
    <row r="49">
      <c r="A49" s="9"/>
      <c r="D49" s="23"/>
    </row>
    <row r="50">
      <c r="A50" s="9"/>
      <c r="D50" s="23"/>
    </row>
    <row r="51">
      <c r="A51" s="9"/>
      <c r="D51" s="23"/>
    </row>
    <row r="52">
      <c r="A52" s="9"/>
      <c r="D52" s="23"/>
    </row>
    <row r="53">
      <c r="A53" s="9"/>
      <c r="D53" s="23"/>
    </row>
    <row r="54">
      <c r="A54" s="9"/>
      <c r="D54" s="23"/>
    </row>
    <row r="55">
      <c r="A55" s="9"/>
      <c r="D55" s="23"/>
    </row>
    <row r="56">
      <c r="A56" s="9"/>
      <c r="D56" s="23"/>
    </row>
    <row r="57">
      <c r="A57" s="9"/>
      <c r="D57" s="23"/>
    </row>
    <row r="58">
      <c r="A58" s="9"/>
      <c r="D58" s="23"/>
    </row>
    <row r="59">
      <c r="A59" s="9"/>
      <c r="D59" s="23"/>
    </row>
    <row r="60">
      <c r="A60" s="9"/>
      <c r="D60" s="23"/>
    </row>
    <row r="61">
      <c r="A61" s="9"/>
      <c r="D61" s="23"/>
    </row>
    <row r="62">
      <c r="A62" s="9"/>
      <c r="D62" s="23"/>
    </row>
    <row r="63">
      <c r="A63" s="9"/>
      <c r="D63" s="23"/>
    </row>
    <row r="64">
      <c r="A64" s="9"/>
      <c r="D64" s="23"/>
    </row>
    <row r="65">
      <c r="A65" s="9"/>
      <c r="D65" s="23"/>
    </row>
    <row r="66">
      <c r="A66" s="9"/>
      <c r="D66" s="23"/>
    </row>
    <row r="67">
      <c r="A67" s="9"/>
      <c r="D67" s="23"/>
    </row>
    <row r="68">
      <c r="A68" s="9"/>
      <c r="D68" s="23"/>
    </row>
    <row r="69">
      <c r="A69" s="9"/>
      <c r="D69" s="23"/>
    </row>
    <row r="70">
      <c r="A70" s="9"/>
      <c r="D70" s="23"/>
    </row>
    <row r="71">
      <c r="A71" s="9"/>
      <c r="D71" s="23"/>
    </row>
    <row r="72">
      <c r="A72" s="9"/>
      <c r="D72" s="23"/>
    </row>
    <row r="73">
      <c r="A73" s="9"/>
      <c r="D73" s="23"/>
    </row>
    <row r="74">
      <c r="A74" s="9"/>
      <c r="D74" s="23"/>
    </row>
    <row r="75">
      <c r="A75" s="9"/>
      <c r="D75" s="23"/>
    </row>
    <row r="76">
      <c r="A76" s="9"/>
      <c r="D76" s="23"/>
    </row>
    <row r="77">
      <c r="A77" s="9"/>
      <c r="D77" s="23"/>
    </row>
    <row r="78">
      <c r="A78" s="9"/>
      <c r="D78" s="23"/>
    </row>
    <row r="79">
      <c r="A79" s="9"/>
      <c r="D79" s="23"/>
    </row>
    <row r="80">
      <c r="A80" s="9"/>
      <c r="D80" s="23"/>
    </row>
    <row r="81">
      <c r="A81" s="9"/>
      <c r="D81" s="23"/>
    </row>
    <row r="82">
      <c r="A82" s="9"/>
      <c r="D82" s="23"/>
    </row>
    <row r="83">
      <c r="A83" s="9"/>
      <c r="D83" s="23"/>
    </row>
    <row r="84">
      <c r="A84" s="9"/>
      <c r="D84" s="23"/>
    </row>
    <row r="85">
      <c r="A85" s="9"/>
      <c r="D85" s="23"/>
    </row>
    <row r="86">
      <c r="A86" s="9"/>
      <c r="D86" s="23"/>
    </row>
    <row r="87">
      <c r="A87" s="9"/>
      <c r="D87" s="23"/>
    </row>
    <row r="88">
      <c r="A88" s="9"/>
      <c r="D88" s="23"/>
    </row>
    <row r="89">
      <c r="A89" s="9"/>
      <c r="D89" s="23"/>
    </row>
    <row r="90">
      <c r="A90" s="9"/>
      <c r="D90" s="23"/>
    </row>
    <row r="91">
      <c r="A91" s="9"/>
      <c r="D91" s="23"/>
    </row>
    <row r="92">
      <c r="A92" s="9"/>
      <c r="D92" s="23"/>
    </row>
    <row r="93">
      <c r="A93" s="9"/>
      <c r="D93" s="23"/>
    </row>
    <row r="94">
      <c r="A94" s="9"/>
      <c r="D94" s="23"/>
    </row>
    <row r="95">
      <c r="A95" s="9"/>
      <c r="D95" s="23"/>
    </row>
    <row r="96">
      <c r="A96" s="9"/>
      <c r="D96" s="23"/>
    </row>
    <row r="97">
      <c r="A97" s="9"/>
      <c r="D97" s="23"/>
    </row>
    <row r="98">
      <c r="A98" s="9"/>
      <c r="D98" s="23"/>
    </row>
    <row r="99">
      <c r="A99" s="9"/>
      <c r="D99" s="23"/>
    </row>
    <row r="100">
      <c r="A100" s="9"/>
      <c r="D100" s="23"/>
    </row>
    <row r="101">
      <c r="A101" s="9"/>
      <c r="D101" s="23"/>
    </row>
    <row r="102">
      <c r="A102" s="9"/>
      <c r="D102" s="23"/>
    </row>
    <row r="103">
      <c r="A103" s="9"/>
      <c r="D103" s="23"/>
    </row>
    <row r="104">
      <c r="A104" s="9"/>
      <c r="D104" s="23"/>
    </row>
    <row r="105">
      <c r="A105" s="9"/>
      <c r="D105" s="23"/>
    </row>
    <row r="106">
      <c r="A106" s="9"/>
      <c r="D106" s="23"/>
    </row>
    <row r="107">
      <c r="A107" s="9"/>
      <c r="D107" s="23"/>
    </row>
    <row r="108">
      <c r="A108" s="9"/>
      <c r="D108" s="23"/>
    </row>
    <row r="109">
      <c r="A109" s="9"/>
      <c r="D109" s="23"/>
    </row>
    <row r="110">
      <c r="A110" s="9"/>
      <c r="D110" s="23"/>
    </row>
    <row r="111">
      <c r="A111" s="9"/>
      <c r="D111" s="23"/>
    </row>
    <row r="112">
      <c r="A112" s="9"/>
      <c r="D112" s="23"/>
    </row>
    <row r="113">
      <c r="A113" s="9"/>
      <c r="D113" s="23"/>
    </row>
    <row r="114">
      <c r="A114" s="9"/>
      <c r="D114" s="23"/>
    </row>
    <row r="115">
      <c r="A115" s="9"/>
      <c r="D115" s="23"/>
    </row>
    <row r="116">
      <c r="A116" s="9"/>
      <c r="D116" s="23"/>
    </row>
    <row r="117">
      <c r="A117" s="9"/>
      <c r="D117" s="23"/>
    </row>
    <row r="118">
      <c r="A118" s="9"/>
      <c r="D118" s="23"/>
    </row>
    <row r="119">
      <c r="A119" s="9"/>
      <c r="D119" s="23"/>
    </row>
    <row r="120">
      <c r="A120" s="9"/>
      <c r="D120" s="23"/>
    </row>
    <row r="121">
      <c r="A121" s="9"/>
      <c r="D121" s="23"/>
    </row>
    <row r="122">
      <c r="A122" s="9"/>
      <c r="D122" s="23"/>
    </row>
    <row r="123">
      <c r="A123" s="9"/>
      <c r="D123" s="23"/>
    </row>
    <row r="124">
      <c r="A124" s="9"/>
      <c r="D124" s="23"/>
    </row>
    <row r="125">
      <c r="A125" s="9"/>
      <c r="D125" s="23"/>
    </row>
    <row r="126">
      <c r="A126" s="9"/>
      <c r="D126" s="23"/>
    </row>
    <row r="127">
      <c r="A127" s="9"/>
      <c r="D127" s="23"/>
    </row>
    <row r="128">
      <c r="A128" s="9"/>
      <c r="D128" s="23"/>
    </row>
    <row r="129">
      <c r="A129" s="9"/>
      <c r="D129" s="23"/>
    </row>
    <row r="130">
      <c r="A130" s="9"/>
      <c r="D130" s="23"/>
    </row>
    <row r="131">
      <c r="A131" s="9"/>
      <c r="D131" s="23"/>
    </row>
    <row r="132">
      <c r="A132" s="9"/>
      <c r="D132" s="23"/>
    </row>
    <row r="133">
      <c r="A133" s="9"/>
      <c r="D133" s="23"/>
    </row>
    <row r="134">
      <c r="A134" s="9"/>
      <c r="D134" s="23"/>
    </row>
    <row r="135">
      <c r="A135" s="9"/>
      <c r="D135" s="23"/>
    </row>
    <row r="136">
      <c r="A136" s="9"/>
      <c r="D136" s="23"/>
    </row>
    <row r="137">
      <c r="A137" s="9"/>
      <c r="D137" s="23"/>
    </row>
    <row r="138">
      <c r="A138" s="9"/>
      <c r="D138" s="23"/>
    </row>
    <row r="139">
      <c r="A139" s="9"/>
      <c r="D139" s="23"/>
    </row>
    <row r="140">
      <c r="A140" s="9"/>
      <c r="D140" s="23"/>
    </row>
    <row r="141">
      <c r="A141" s="9"/>
      <c r="D141" s="23"/>
    </row>
    <row r="142">
      <c r="A142" s="9"/>
      <c r="D142" s="23"/>
    </row>
    <row r="143">
      <c r="A143" s="9"/>
      <c r="D143" s="23"/>
    </row>
    <row r="144">
      <c r="A144" s="9"/>
      <c r="D144" s="23"/>
    </row>
    <row r="145">
      <c r="A145" s="9"/>
      <c r="D145" s="23"/>
    </row>
    <row r="146">
      <c r="A146" s="9"/>
      <c r="D146" s="23"/>
    </row>
    <row r="147">
      <c r="A147" s="9"/>
      <c r="D147" s="23"/>
    </row>
    <row r="148">
      <c r="A148" s="9"/>
      <c r="D148" s="23"/>
    </row>
    <row r="149">
      <c r="A149" s="9"/>
      <c r="D149" s="23"/>
    </row>
    <row r="150">
      <c r="A150" s="9"/>
      <c r="D150" s="23"/>
    </row>
    <row r="151">
      <c r="A151" s="9"/>
      <c r="D151" s="23"/>
    </row>
    <row r="152">
      <c r="A152" s="9"/>
      <c r="D152" s="23"/>
    </row>
    <row r="153">
      <c r="A153" s="9"/>
      <c r="D153" s="23"/>
    </row>
    <row r="154">
      <c r="A154" s="9"/>
      <c r="D154" s="23"/>
    </row>
    <row r="155">
      <c r="A155" s="9"/>
      <c r="D155" s="23"/>
    </row>
    <row r="156">
      <c r="A156" s="9"/>
      <c r="D156" s="23"/>
    </row>
    <row r="157">
      <c r="A157" s="9"/>
      <c r="D157" s="23"/>
    </row>
    <row r="158">
      <c r="A158" s="9"/>
      <c r="D158" s="23"/>
    </row>
    <row r="159">
      <c r="A159" s="9"/>
      <c r="D159" s="23"/>
    </row>
    <row r="160">
      <c r="A160" s="9"/>
      <c r="D160" s="23"/>
    </row>
    <row r="161">
      <c r="A161" s="9"/>
      <c r="D161" s="23"/>
    </row>
    <row r="162">
      <c r="A162" s="9"/>
      <c r="D162" s="23"/>
    </row>
    <row r="163">
      <c r="A163" s="9"/>
      <c r="D163" s="23"/>
    </row>
    <row r="164">
      <c r="A164" s="9"/>
      <c r="D164" s="23"/>
    </row>
    <row r="165">
      <c r="A165" s="9"/>
      <c r="D165" s="23"/>
    </row>
    <row r="166">
      <c r="A166" s="9"/>
      <c r="D166" s="23"/>
    </row>
    <row r="167">
      <c r="A167" s="9"/>
      <c r="D167" s="23"/>
    </row>
    <row r="168">
      <c r="A168" s="9"/>
      <c r="D168" s="23"/>
    </row>
    <row r="169">
      <c r="A169" s="9"/>
      <c r="D169" s="23"/>
    </row>
    <row r="170">
      <c r="A170" s="9"/>
      <c r="D170" s="23"/>
    </row>
    <row r="171">
      <c r="A171" s="9"/>
      <c r="D171" s="23"/>
    </row>
    <row r="172">
      <c r="A172" s="9"/>
      <c r="D172" s="23"/>
    </row>
    <row r="173">
      <c r="A173" s="9"/>
      <c r="D173" s="23"/>
    </row>
    <row r="174">
      <c r="A174" s="9"/>
      <c r="D174" s="23"/>
    </row>
    <row r="175">
      <c r="A175" s="9"/>
      <c r="D175" s="23"/>
    </row>
    <row r="176">
      <c r="A176" s="9"/>
      <c r="D176" s="23"/>
    </row>
    <row r="177">
      <c r="A177" s="9"/>
      <c r="D177" s="23"/>
    </row>
    <row r="178">
      <c r="A178" s="9"/>
      <c r="D178" s="23"/>
    </row>
    <row r="179">
      <c r="A179" s="9"/>
      <c r="D179" s="23"/>
    </row>
    <row r="180">
      <c r="A180" s="9"/>
      <c r="D180" s="23"/>
    </row>
    <row r="181">
      <c r="A181" s="9"/>
      <c r="D181" s="23"/>
    </row>
    <row r="182">
      <c r="A182" s="9"/>
      <c r="D182" s="23"/>
    </row>
    <row r="183">
      <c r="A183" s="9"/>
      <c r="D183" s="23"/>
    </row>
    <row r="184">
      <c r="A184" s="9"/>
      <c r="D184" s="23"/>
    </row>
    <row r="185">
      <c r="A185" s="9"/>
      <c r="D185" s="23"/>
    </row>
    <row r="186">
      <c r="A186" s="9"/>
      <c r="D186" s="23"/>
    </row>
    <row r="187">
      <c r="A187" s="9"/>
      <c r="D187" s="23"/>
    </row>
    <row r="188">
      <c r="A188" s="9"/>
      <c r="D188" s="23"/>
    </row>
    <row r="189">
      <c r="A189" s="9"/>
      <c r="D189" s="23"/>
    </row>
    <row r="190">
      <c r="A190" s="9"/>
      <c r="D190" s="23"/>
    </row>
    <row r="191">
      <c r="A191" s="9"/>
      <c r="D191" s="23"/>
    </row>
    <row r="192">
      <c r="A192" s="9"/>
      <c r="D192" s="23"/>
    </row>
    <row r="193">
      <c r="A193" s="9"/>
      <c r="D193" s="23"/>
    </row>
    <row r="194">
      <c r="A194" s="9"/>
      <c r="D194" s="23"/>
    </row>
    <row r="195">
      <c r="A195" s="9"/>
      <c r="D195" s="23"/>
    </row>
    <row r="196">
      <c r="A196" s="9"/>
      <c r="D196" s="23"/>
    </row>
    <row r="197">
      <c r="A197" s="9"/>
      <c r="D197" s="23"/>
    </row>
    <row r="198">
      <c r="A198" s="9"/>
      <c r="D198" s="23"/>
    </row>
    <row r="199">
      <c r="A199" s="9"/>
      <c r="D199" s="23"/>
    </row>
    <row r="200">
      <c r="A200" s="9"/>
      <c r="D200" s="23"/>
    </row>
    <row r="201">
      <c r="A201" s="9"/>
      <c r="D201" s="23"/>
    </row>
    <row r="202">
      <c r="A202" s="9"/>
      <c r="D202" s="23"/>
    </row>
    <row r="203">
      <c r="A203" s="9"/>
      <c r="D203" s="23"/>
    </row>
    <row r="204">
      <c r="A204" s="9"/>
      <c r="D204" s="23"/>
    </row>
    <row r="205">
      <c r="A205" s="9"/>
      <c r="D205" s="23"/>
    </row>
    <row r="206">
      <c r="A206" s="9"/>
      <c r="D206" s="23"/>
    </row>
    <row r="207">
      <c r="A207" s="9"/>
      <c r="D207" s="23"/>
    </row>
    <row r="208">
      <c r="A208" s="9"/>
      <c r="D208" s="23"/>
    </row>
    <row r="209">
      <c r="A209" s="9"/>
      <c r="D209" s="23"/>
    </row>
    <row r="210">
      <c r="A210" s="9"/>
      <c r="D210" s="23"/>
    </row>
    <row r="211">
      <c r="A211" s="9"/>
      <c r="D211" s="23"/>
    </row>
    <row r="212">
      <c r="A212" s="9"/>
      <c r="D212" s="23"/>
    </row>
    <row r="213">
      <c r="A213" s="9"/>
      <c r="D213" s="23"/>
    </row>
    <row r="214">
      <c r="A214" s="9"/>
      <c r="D214" s="23"/>
    </row>
    <row r="215">
      <c r="A215" s="9"/>
      <c r="D215" s="23"/>
    </row>
    <row r="216">
      <c r="A216" s="9"/>
      <c r="D216" s="23"/>
    </row>
    <row r="217">
      <c r="A217" s="9"/>
      <c r="D217" s="23"/>
    </row>
    <row r="218">
      <c r="A218" s="9"/>
      <c r="D218" s="23"/>
    </row>
    <row r="219">
      <c r="A219" s="9"/>
      <c r="D219" s="23"/>
    </row>
    <row r="220">
      <c r="A220" s="9"/>
      <c r="D220" s="23"/>
    </row>
    <row r="221">
      <c r="A221" s="9"/>
      <c r="D221" s="23"/>
    </row>
    <row r="222">
      <c r="A222" s="9"/>
      <c r="D222" s="23"/>
    </row>
    <row r="223">
      <c r="A223" s="9"/>
      <c r="D223" s="23"/>
    </row>
    <row r="224">
      <c r="A224" s="9"/>
      <c r="D224" s="23"/>
    </row>
    <row r="225">
      <c r="A225" s="9"/>
      <c r="D225" s="23"/>
    </row>
    <row r="226">
      <c r="A226" s="9"/>
      <c r="D226" s="23"/>
    </row>
    <row r="227">
      <c r="A227" s="9"/>
      <c r="D227" s="23"/>
    </row>
    <row r="228">
      <c r="A228" s="9"/>
      <c r="D228" s="23"/>
    </row>
    <row r="229">
      <c r="A229" s="9"/>
      <c r="D229" s="23"/>
    </row>
    <row r="230">
      <c r="A230" s="9"/>
      <c r="D230" s="23"/>
    </row>
    <row r="231">
      <c r="A231" s="9"/>
      <c r="D231" s="23"/>
    </row>
    <row r="232">
      <c r="A232" s="9"/>
      <c r="D232" s="23"/>
    </row>
    <row r="233">
      <c r="A233" s="9"/>
      <c r="D233" s="23"/>
    </row>
    <row r="234">
      <c r="A234" s="9"/>
      <c r="D234" s="23"/>
    </row>
    <row r="235">
      <c r="A235" s="9"/>
      <c r="D235" s="23"/>
    </row>
    <row r="236">
      <c r="A236" s="9"/>
      <c r="D236" s="23"/>
    </row>
    <row r="237">
      <c r="A237" s="9"/>
      <c r="D237" s="23"/>
    </row>
    <row r="238">
      <c r="A238" s="9"/>
      <c r="D238" s="23"/>
    </row>
    <row r="239">
      <c r="A239" s="9"/>
      <c r="D239" s="23"/>
    </row>
    <row r="240">
      <c r="A240" s="9"/>
      <c r="D240" s="23"/>
    </row>
    <row r="241">
      <c r="A241" s="9"/>
      <c r="D241" s="23"/>
    </row>
    <row r="242">
      <c r="A242" s="9"/>
      <c r="D242" s="23"/>
    </row>
    <row r="243">
      <c r="A243" s="9"/>
      <c r="D243" s="23"/>
    </row>
    <row r="244">
      <c r="A244" s="9"/>
      <c r="D244" s="23"/>
    </row>
    <row r="245">
      <c r="A245" s="9"/>
      <c r="D245" s="23"/>
    </row>
    <row r="246">
      <c r="A246" s="9"/>
      <c r="D246" s="23"/>
    </row>
    <row r="247">
      <c r="A247" s="9"/>
      <c r="D247" s="23"/>
    </row>
    <row r="248">
      <c r="A248" s="9"/>
      <c r="D248" s="23"/>
    </row>
    <row r="249">
      <c r="A249" s="9"/>
      <c r="D249" s="23"/>
    </row>
    <row r="250">
      <c r="A250" s="9"/>
      <c r="D250" s="23"/>
    </row>
    <row r="251">
      <c r="A251" s="9"/>
      <c r="D251" s="23"/>
    </row>
    <row r="252">
      <c r="A252" s="9"/>
      <c r="D252" s="23"/>
    </row>
    <row r="253">
      <c r="A253" s="9"/>
      <c r="D253" s="23"/>
    </row>
    <row r="254">
      <c r="A254" s="9"/>
      <c r="D254" s="23"/>
    </row>
    <row r="255">
      <c r="A255" s="9"/>
      <c r="D255" s="23"/>
    </row>
    <row r="256">
      <c r="A256" s="9"/>
      <c r="D256" s="23"/>
    </row>
    <row r="257">
      <c r="A257" s="9"/>
      <c r="D257" s="23"/>
    </row>
    <row r="258">
      <c r="A258" s="9"/>
      <c r="D258" s="23"/>
    </row>
    <row r="259">
      <c r="A259" s="9"/>
      <c r="D259" s="23"/>
    </row>
    <row r="260">
      <c r="A260" s="9"/>
      <c r="D260" s="23"/>
    </row>
    <row r="261">
      <c r="A261" s="9"/>
      <c r="D261" s="23"/>
    </row>
    <row r="262">
      <c r="A262" s="9"/>
      <c r="D262" s="23"/>
    </row>
    <row r="263">
      <c r="A263" s="9"/>
      <c r="D263" s="23"/>
    </row>
    <row r="264">
      <c r="A264" s="9"/>
      <c r="D264" s="23"/>
    </row>
    <row r="265">
      <c r="A265" s="9"/>
      <c r="D265" s="23"/>
    </row>
    <row r="266">
      <c r="A266" s="9"/>
      <c r="D266" s="23"/>
    </row>
    <row r="267">
      <c r="A267" s="9"/>
      <c r="D267" s="23"/>
    </row>
    <row r="268">
      <c r="A268" s="9"/>
      <c r="D268" s="23"/>
    </row>
    <row r="269">
      <c r="A269" s="9"/>
      <c r="D269" s="23"/>
    </row>
    <row r="270">
      <c r="A270" s="9"/>
      <c r="D270" s="23"/>
    </row>
    <row r="271">
      <c r="A271" s="9"/>
      <c r="D271" s="23"/>
    </row>
    <row r="272">
      <c r="A272" s="9"/>
      <c r="D272" s="23"/>
    </row>
    <row r="273">
      <c r="A273" s="9"/>
      <c r="D273" s="23"/>
    </row>
    <row r="274">
      <c r="A274" s="9"/>
      <c r="D274" s="23"/>
    </row>
    <row r="275">
      <c r="A275" s="9"/>
      <c r="D275" s="23"/>
    </row>
    <row r="276">
      <c r="A276" s="9"/>
      <c r="D276" s="23"/>
    </row>
    <row r="277">
      <c r="A277" s="9"/>
      <c r="D277" s="23"/>
    </row>
    <row r="278">
      <c r="A278" s="9"/>
      <c r="D278" s="23"/>
    </row>
    <row r="279">
      <c r="A279" s="9"/>
      <c r="D279" s="23"/>
    </row>
    <row r="280">
      <c r="A280" s="9"/>
      <c r="D280" s="23"/>
    </row>
    <row r="281">
      <c r="A281" s="9"/>
      <c r="D281" s="23"/>
    </row>
    <row r="282">
      <c r="A282" s="9"/>
      <c r="D282" s="23"/>
    </row>
    <row r="283">
      <c r="A283" s="9"/>
      <c r="D283" s="23"/>
    </row>
    <row r="284">
      <c r="A284" s="9"/>
      <c r="D284" s="23"/>
    </row>
    <row r="285">
      <c r="A285" s="9"/>
      <c r="D285" s="23"/>
    </row>
    <row r="286">
      <c r="A286" s="9"/>
      <c r="D286" s="23"/>
    </row>
    <row r="287">
      <c r="A287" s="9"/>
      <c r="D287" s="23"/>
    </row>
    <row r="288">
      <c r="A288" s="9"/>
      <c r="D288" s="23"/>
    </row>
    <row r="289">
      <c r="A289" s="9"/>
      <c r="D289" s="23"/>
    </row>
    <row r="290">
      <c r="A290" s="9"/>
      <c r="D290" s="23"/>
    </row>
    <row r="291">
      <c r="A291" s="9"/>
      <c r="D291" s="23"/>
    </row>
    <row r="292">
      <c r="A292" s="9"/>
      <c r="D292" s="23"/>
    </row>
    <row r="293">
      <c r="A293" s="9"/>
      <c r="D293" s="23"/>
    </row>
    <row r="294">
      <c r="A294" s="9"/>
      <c r="D294" s="23"/>
    </row>
    <row r="295">
      <c r="A295" s="9"/>
      <c r="D295" s="23"/>
    </row>
    <row r="296">
      <c r="A296" s="9"/>
      <c r="D296" s="23"/>
    </row>
    <row r="297">
      <c r="A297" s="9"/>
      <c r="D297" s="23"/>
    </row>
    <row r="298">
      <c r="A298" s="9"/>
      <c r="D298" s="23"/>
    </row>
    <row r="299">
      <c r="A299" s="9"/>
      <c r="D299" s="23"/>
    </row>
    <row r="300">
      <c r="A300" s="9"/>
      <c r="D300" s="23"/>
    </row>
    <row r="301">
      <c r="A301" s="9"/>
      <c r="D301" s="23"/>
    </row>
    <row r="302">
      <c r="A302" s="9"/>
      <c r="D302" s="23"/>
    </row>
    <row r="303">
      <c r="A303" s="9"/>
      <c r="D303" s="23"/>
    </row>
    <row r="304">
      <c r="A304" s="9"/>
      <c r="D304" s="23"/>
    </row>
    <row r="305">
      <c r="A305" s="9"/>
      <c r="D305" s="23"/>
    </row>
    <row r="306">
      <c r="A306" s="9"/>
      <c r="D306" s="23"/>
    </row>
    <row r="307">
      <c r="A307" s="9"/>
      <c r="D307" s="23"/>
    </row>
    <row r="308">
      <c r="A308" s="9"/>
      <c r="D308" s="23"/>
    </row>
    <row r="309">
      <c r="A309" s="9"/>
      <c r="D309" s="23"/>
    </row>
    <row r="310">
      <c r="A310" s="9"/>
      <c r="D310" s="23"/>
    </row>
    <row r="311">
      <c r="A311" s="9"/>
      <c r="D311" s="23"/>
    </row>
    <row r="312">
      <c r="A312" s="9"/>
      <c r="D312" s="23"/>
    </row>
    <row r="313">
      <c r="A313" s="9"/>
      <c r="D313" s="23"/>
    </row>
    <row r="314">
      <c r="A314" s="9"/>
      <c r="D314" s="23"/>
    </row>
    <row r="315">
      <c r="A315" s="9"/>
      <c r="D315" s="23"/>
    </row>
    <row r="316">
      <c r="A316" s="9"/>
      <c r="D316" s="23"/>
    </row>
    <row r="317">
      <c r="A317" s="9"/>
      <c r="D317" s="23"/>
    </row>
    <row r="318">
      <c r="A318" s="9"/>
      <c r="D318" s="23"/>
    </row>
    <row r="319">
      <c r="A319" s="9"/>
      <c r="D319" s="23"/>
    </row>
    <row r="320">
      <c r="A320" s="9"/>
      <c r="D320" s="23"/>
    </row>
    <row r="321">
      <c r="A321" s="9"/>
      <c r="D321" s="23"/>
    </row>
    <row r="322">
      <c r="A322" s="9"/>
      <c r="D322" s="23"/>
    </row>
    <row r="323">
      <c r="A323" s="9"/>
      <c r="D323" s="23"/>
    </row>
    <row r="324">
      <c r="A324" s="9"/>
      <c r="D324" s="23"/>
    </row>
    <row r="325">
      <c r="A325" s="9"/>
      <c r="D325" s="23"/>
    </row>
    <row r="326">
      <c r="A326" s="9"/>
      <c r="D326" s="23"/>
    </row>
    <row r="327">
      <c r="A327" s="9"/>
      <c r="D327" s="23"/>
    </row>
    <row r="328">
      <c r="A328" s="9"/>
      <c r="D328" s="23"/>
    </row>
    <row r="329">
      <c r="A329" s="9"/>
      <c r="D329" s="23"/>
    </row>
    <row r="330">
      <c r="A330" s="9"/>
      <c r="D330" s="23"/>
    </row>
    <row r="331">
      <c r="A331" s="9"/>
      <c r="D331" s="23"/>
    </row>
    <row r="332">
      <c r="A332" s="9"/>
      <c r="D332" s="23"/>
    </row>
    <row r="333">
      <c r="A333" s="9"/>
      <c r="D333" s="23"/>
    </row>
    <row r="334">
      <c r="A334" s="9"/>
      <c r="D334" s="23"/>
    </row>
    <row r="335">
      <c r="A335" s="9"/>
      <c r="D335" s="23"/>
    </row>
    <row r="336">
      <c r="A336" s="9"/>
      <c r="D336" s="23"/>
    </row>
    <row r="337">
      <c r="A337" s="9"/>
      <c r="D337" s="23"/>
    </row>
    <row r="338">
      <c r="A338" s="9"/>
      <c r="D338" s="23"/>
    </row>
    <row r="339">
      <c r="A339" s="9"/>
      <c r="D339" s="23"/>
    </row>
    <row r="340">
      <c r="A340" s="9"/>
      <c r="D340" s="23"/>
    </row>
    <row r="341">
      <c r="A341" s="9"/>
      <c r="D341" s="23"/>
    </row>
    <row r="342">
      <c r="A342" s="9"/>
      <c r="D342" s="23"/>
    </row>
    <row r="343">
      <c r="A343" s="9"/>
      <c r="D343" s="23"/>
    </row>
    <row r="344">
      <c r="A344" s="9"/>
      <c r="D344" s="23"/>
    </row>
    <row r="345">
      <c r="A345" s="9"/>
      <c r="D345" s="23"/>
    </row>
    <row r="346">
      <c r="A346" s="9"/>
      <c r="D346" s="23"/>
    </row>
    <row r="347">
      <c r="A347" s="9"/>
      <c r="D347" s="23"/>
    </row>
    <row r="348">
      <c r="A348" s="9"/>
      <c r="D348" s="23"/>
    </row>
    <row r="349">
      <c r="A349" s="9"/>
      <c r="D349" s="23"/>
    </row>
    <row r="350">
      <c r="A350" s="9"/>
      <c r="D350" s="23"/>
    </row>
    <row r="351">
      <c r="A351" s="9"/>
      <c r="D351" s="23"/>
    </row>
    <row r="352">
      <c r="A352" s="9"/>
      <c r="D352" s="23"/>
    </row>
    <row r="353">
      <c r="A353" s="9"/>
      <c r="D353" s="23"/>
    </row>
    <row r="354">
      <c r="A354" s="9"/>
      <c r="D354" s="23"/>
    </row>
    <row r="355">
      <c r="A355" s="9"/>
      <c r="D355" s="23"/>
    </row>
    <row r="356">
      <c r="A356" s="9"/>
      <c r="D356" s="23"/>
    </row>
    <row r="357">
      <c r="A357" s="9"/>
      <c r="D357" s="23"/>
    </row>
    <row r="358">
      <c r="A358" s="9"/>
      <c r="D358" s="23"/>
    </row>
    <row r="359">
      <c r="A359" s="9"/>
      <c r="D359" s="23"/>
    </row>
    <row r="360">
      <c r="A360" s="9"/>
      <c r="D360" s="23"/>
    </row>
    <row r="361">
      <c r="A361" s="9"/>
      <c r="D361" s="23"/>
    </row>
    <row r="362">
      <c r="A362" s="9"/>
      <c r="D362" s="23"/>
    </row>
    <row r="363">
      <c r="A363" s="9"/>
      <c r="D363" s="23"/>
    </row>
    <row r="364">
      <c r="A364" s="9"/>
      <c r="D364" s="23"/>
    </row>
    <row r="365">
      <c r="A365" s="9"/>
      <c r="D365" s="23"/>
    </row>
    <row r="366">
      <c r="A366" s="9"/>
      <c r="D366" s="23"/>
    </row>
    <row r="367">
      <c r="A367" s="9"/>
      <c r="D367" s="23"/>
    </row>
    <row r="368">
      <c r="A368" s="9"/>
      <c r="D368" s="23"/>
    </row>
    <row r="369">
      <c r="A369" s="9"/>
      <c r="D369" s="23"/>
    </row>
    <row r="370">
      <c r="A370" s="9"/>
      <c r="D370" s="23"/>
    </row>
    <row r="371">
      <c r="A371" s="9"/>
      <c r="D371" s="23"/>
    </row>
    <row r="372">
      <c r="A372" s="9"/>
      <c r="D372" s="23"/>
    </row>
    <row r="373">
      <c r="A373" s="9"/>
      <c r="D373" s="23"/>
    </row>
    <row r="374">
      <c r="A374" s="9"/>
      <c r="D374" s="23"/>
    </row>
    <row r="375">
      <c r="A375" s="9"/>
      <c r="D375" s="23"/>
    </row>
    <row r="376">
      <c r="A376" s="9"/>
      <c r="D376" s="23"/>
    </row>
    <row r="377">
      <c r="A377" s="9"/>
      <c r="D377" s="23"/>
    </row>
    <row r="378">
      <c r="A378" s="9"/>
      <c r="D378" s="23"/>
    </row>
    <row r="379">
      <c r="A379" s="9"/>
      <c r="D379" s="23"/>
    </row>
    <row r="380">
      <c r="A380" s="9"/>
      <c r="D380" s="23"/>
    </row>
    <row r="381">
      <c r="A381" s="9"/>
      <c r="D381" s="23"/>
    </row>
    <row r="382">
      <c r="A382" s="9"/>
      <c r="D382" s="23"/>
    </row>
    <row r="383">
      <c r="A383" s="9"/>
      <c r="D383" s="23"/>
    </row>
    <row r="384">
      <c r="A384" s="9"/>
      <c r="D384" s="23"/>
    </row>
    <row r="385">
      <c r="A385" s="9"/>
      <c r="D385" s="23"/>
    </row>
    <row r="386">
      <c r="A386" s="9"/>
      <c r="D386" s="23"/>
    </row>
    <row r="387">
      <c r="A387" s="9"/>
      <c r="D387" s="23"/>
    </row>
    <row r="388">
      <c r="A388" s="9"/>
      <c r="D388" s="23"/>
    </row>
    <row r="389">
      <c r="A389" s="9"/>
      <c r="D389" s="23"/>
    </row>
    <row r="390">
      <c r="A390" s="9"/>
      <c r="D390" s="23"/>
    </row>
    <row r="391">
      <c r="A391" s="9"/>
      <c r="D391" s="23"/>
    </row>
    <row r="392">
      <c r="A392" s="9"/>
      <c r="D392" s="23"/>
    </row>
    <row r="393">
      <c r="A393" s="9"/>
      <c r="D393" s="23"/>
    </row>
    <row r="394">
      <c r="A394" s="9"/>
      <c r="D394" s="23"/>
    </row>
    <row r="395">
      <c r="A395" s="9"/>
      <c r="D395" s="23"/>
    </row>
    <row r="396">
      <c r="A396" s="9"/>
      <c r="D396" s="23"/>
    </row>
    <row r="397">
      <c r="A397" s="9"/>
      <c r="D397" s="23"/>
    </row>
    <row r="398">
      <c r="A398" s="9"/>
      <c r="D398" s="23"/>
    </row>
    <row r="399">
      <c r="A399" s="9"/>
      <c r="D399" s="23"/>
    </row>
    <row r="400">
      <c r="A400" s="9"/>
      <c r="D400" s="23"/>
    </row>
    <row r="401">
      <c r="A401" s="9"/>
      <c r="D401" s="23"/>
    </row>
    <row r="402">
      <c r="A402" s="9"/>
      <c r="D402" s="23"/>
    </row>
    <row r="403">
      <c r="A403" s="9"/>
      <c r="D403" s="23"/>
    </row>
    <row r="404">
      <c r="A404" s="9"/>
      <c r="D404" s="23"/>
    </row>
    <row r="405">
      <c r="A405" s="9"/>
      <c r="D405" s="23"/>
    </row>
    <row r="406">
      <c r="A406" s="9"/>
      <c r="D406" s="23"/>
    </row>
    <row r="407">
      <c r="A407" s="9"/>
      <c r="D407" s="23"/>
    </row>
    <row r="408">
      <c r="A408" s="9"/>
      <c r="D408" s="23"/>
    </row>
    <row r="409">
      <c r="A409" s="9"/>
      <c r="D409" s="23"/>
    </row>
    <row r="410">
      <c r="A410" s="9"/>
      <c r="D410" s="23"/>
    </row>
    <row r="411">
      <c r="A411" s="9"/>
      <c r="D411" s="23"/>
    </row>
    <row r="412">
      <c r="A412" s="9"/>
      <c r="D412" s="23"/>
    </row>
    <row r="413">
      <c r="A413" s="9"/>
      <c r="D413" s="23"/>
    </row>
    <row r="414">
      <c r="A414" s="9"/>
      <c r="D414" s="23"/>
    </row>
    <row r="415">
      <c r="A415" s="9"/>
      <c r="D415" s="23"/>
    </row>
    <row r="416">
      <c r="A416" s="9"/>
      <c r="D416" s="23"/>
    </row>
    <row r="417">
      <c r="A417" s="9"/>
      <c r="D417" s="23"/>
    </row>
    <row r="418">
      <c r="A418" s="9"/>
      <c r="D418" s="23"/>
    </row>
    <row r="419">
      <c r="A419" s="9"/>
      <c r="D419" s="23"/>
    </row>
    <row r="420">
      <c r="A420" s="9"/>
      <c r="D420" s="23"/>
    </row>
    <row r="421">
      <c r="A421" s="9"/>
      <c r="D421" s="23"/>
    </row>
    <row r="422">
      <c r="A422" s="9"/>
      <c r="D422" s="23"/>
    </row>
    <row r="423">
      <c r="A423" s="9"/>
      <c r="D423" s="23"/>
    </row>
    <row r="424">
      <c r="A424" s="9"/>
      <c r="D424" s="23"/>
    </row>
    <row r="425">
      <c r="A425" s="9"/>
      <c r="D425" s="23"/>
    </row>
    <row r="426">
      <c r="A426" s="9"/>
      <c r="D426" s="23"/>
    </row>
    <row r="427">
      <c r="A427" s="9"/>
      <c r="D427" s="23"/>
    </row>
    <row r="428">
      <c r="A428" s="9"/>
      <c r="D428" s="23"/>
    </row>
    <row r="429">
      <c r="A429" s="9"/>
      <c r="D429" s="23"/>
    </row>
    <row r="430">
      <c r="A430" s="9"/>
      <c r="D430" s="23"/>
    </row>
    <row r="431">
      <c r="A431" s="9"/>
      <c r="D431" s="23"/>
    </row>
    <row r="432">
      <c r="A432" s="9"/>
      <c r="D432" s="23"/>
    </row>
    <row r="433">
      <c r="A433" s="9"/>
      <c r="D433" s="23"/>
    </row>
    <row r="434">
      <c r="A434" s="9"/>
      <c r="D434" s="23"/>
    </row>
    <row r="435">
      <c r="A435" s="9"/>
      <c r="D435" s="23"/>
    </row>
    <row r="436">
      <c r="A436" s="9"/>
      <c r="D436" s="23"/>
    </row>
    <row r="437">
      <c r="A437" s="9"/>
      <c r="D437" s="23"/>
    </row>
    <row r="438">
      <c r="A438" s="9"/>
      <c r="D438" s="23"/>
    </row>
    <row r="439">
      <c r="A439" s="9"/>
      <c r="D439" s="23"/>
    </row>
    <row r="440">
      <c r="A440" s="9"/>
      <c r="D440" s="23"/>
    </row>
    <row r="441">
      <c r="A441" s="9"/>
      <c r="D441" s="23"/>
    </row>
    <row r="442">
      <c r="A442" s="9"/>
      <c r="D442" s="23"/>
    </row>
    <row r="443">
      <c r="A443" s="9"/>
      <c r="D443" s="23"/>
    </row>
    <row r="444">
      <c r="A444" s="9"/>
      <c r="D444" s="23"/>
    </row>
    <row r="445">
      <c r="A445" s="9"/>
      <c r="D445" s="23"/>
    </row>
    <row r="446">
      <c r="A446" s="9"/>
      <c r="D446" s="23"/>
    </row>
    <row r="447">
      <c r="A447" s="9"/>
      <c r="D447" s="23"/>
    </row>
    <row r="448">
      <c r="A448" s="9"/>
      <c r="D448" s="23"/>
    </row>
    <row r="449">
      <c r="A449" s="9"/>
      <c r="D449" s="23"/>
    </row>
    <row r="450">
      <c r="A450" s="9"/>
      <c r="D450" s="23"/>
    </row>
    <row r="451">
      <c r="A451" s="9"/>
      <c r="D451" s="23"/>
    </row>
    <row r="452">
      <c r="A452" s="9"/>
      <c r="D452" s="23"/>
    </row>
    <row r="453">
      <c r="A453" s="9"/>
      <c r="D453" s="23"/>
    </row>
    <row r="454">
      <c r="A454" s="9"/>
      <c r="D454" s="23"/>
    </row>
    <row r="455">
      <c r="A455" s="9"/>
      <c r="D455" s="23"/>
    </row>
    <row r="456">
      <c r="A456" s="9"/>
      <c r="D456" s="23"/>
    </row>
    <row r="457">
      <c r="A457" s="9"/>
      <c r="D457" s="23"/>
    </row>
    <row r="458">
      <c r="A458" s="9"/>
      <c r="D458" s="23"/>
    </row>
    <row r="459">
      <c r="A459" s="9"/>
      <c r="D459" s="23"/>
    </row>
    <row r="460">
      <c r="A460" s="9"/>
      <c r="D460" s="23"/>
    </row>
    <row r="461">
      <c r="A461" s="9"/>
      <c r="D461" s="23"/>
    </row>
    <row r="462">
      <c r="A462" s="9"/>
      <c r="D462" s="23"/>
    </row>
    <row r="463">
      <c r="A463" s="9"/>
      <c r="D463" s="23"/>
    </row>
    <row r="464">
      <c r="A464" s="9"/>
      <c r="D464" s="23"/>
    </row>
    <row r="465">
      <c r="A465" s="9"/>
      <c r="D465" s="23"/>
    </row>
    <row r="466">
      <c r="A466" s="9"/>
      <c r="D466" s="23"/>
    </row>
    <row r="467">
      <c r="A467" s="9"/>
      <c r="D467" s="23"/>
    </row>
    <row r="468">
      <c r="A468" s="9"/>
      <c r="D468" s="23"/>
    </row>
    <row r="469">
      <c r="A469" s="9"/>
      <c r="D469" s="23"/>
    </row>
    <row r="470">
      <c r="A470" s="9"/>
      <c r="D470" s="23"/>
    </row>
    <row r="471">
      <c r="A471" s="9"/>
      <c r="D471" s="23"/>
    </row>
    <row r="472">
      <c r="A472" s="9"/>
      <c r="D472" s="23"/>
    </row>
    <row r="473">
      <c r="A473" s="9"/>
      <c r="D473" s="23"/>
    </row>
    <row r="474">
      <c r="A474" s="9"/>
      <c r="D474" s="23"/>
    </row>
    <row r="475">
      <c r="A475" s="9"/>
      <c r="D475" s="23"/>
    </row>
    <row r="476">
      <c r="A476" s="9"/>
      <c r="D476" s="23"/>
    </row>
    <row r="477">
      <c r="A477" s="9"/>
      <c r="D477" s="23"/>
    </row>
    <row r="478">
      <c r="A478" s="9"/>
      <c r="D478" s="23"/>
    </row>
    <row r="479">
      <c r="A479" s="9"/>
      <c r="D479" s="23"/>
    </row>
    <row r="480">
      <c r="A480" s="9"/>
      <c r="D480" s="23"/>
    </row>
    <row r="481">
      <c r="A481" s="9"/>
      <c r="D481" s="23"/>
    </row>
    <row r="482">
      <c r="A482" s="9"/>
      <c r="D482" s="23"/>
    </row>
    <row r="483">
      <c r="A483" s="9"/>
      <c r="D483" s="23"/>
    </row>
    <row r="484">
      <c r="A484" s="9"/>
      <c r="D484" s="23"/>
    </row>
    <row r="485">
      <c r="A485" s="9"/>
      <c r="D485" s="23"/>
    </row>
    <row r="486">
      <c r="A486" s="9"/>
      <c r="D486" s="23"/>
    </row>
    <row r="487">
      <c r="A487" s="9"/>
      <c r="D487" s="23"/>
    </row>
    <row r="488">
      <c r="A488" s="9"/>
      <c r="D488" s="23"/>
    </row>
    <row r="489">
      <c r="A489" s="9"/>
      <c r="D489" s="23"/>
    </row>
    <row r="490">
      <c r="A490" s="9"/>
      <c r="D490" s="23"/>
    </row>
    <row r="491">
      <c r="A491" s="9"/>
      <c r="D491" s="23"/>
    </row>
    <row r="492">
      <c r="A492" s="9"/>
      <c r="D492" s="23"/>
    </row>
    <row r="493">
      <c r="A493" s="9"/>
      <c r="D493" s="23"/>
    </row>
    <row r="494">
      <c r="A494" s="9"/>
      <c r="D494" s="23"/>
    </row>
    <row r="495">
      <c r="A495" s="9"/>
      <c r="D495" s="23"/>
    </row>
    <row r="496">
      <c r="A496" s="9"/>
      <c r="D496" s="23"/>
    </row>
    <row r="497">
      <c r="A497" s="9"/>
      <c r="D497" s="23"/>
    </row>
    <row r="498">
      <c r="A498" s="9"/>
      <c r="D498" s="23"/>
    </row>
    <row r="499">
      <c r="A499" s="9"/>
      <c r="D499" s="23"/>
    </row>
    <row r="500">
      <c r="A500" s="9"/>
      <c r="D500" s="23"/>
    </row>
    <row r="501">
      <c r="A501" s="9"/>
      <c r="D501" s="23"/>
    </row>
    <row r="502">
      <c r="A502" s="9"/>
      <c r="D502" s="23"/>
    </row>
    <row r="503">
      <c r="A503" s="9"/>
      <c r="D503" s="23"/>
    </row>
    <row r="504">
      <c r="A504" s="9"/>
      <c r="D504" s="23"/>
    </row>
    <row r="505">
      <c r="A505" s="9"/>
      <c r="D505" s="23"/>
    </row>
    <row r="506">
      <c r="A506" s="9"/>
      <c r="D506" s="23"/>
    </row>
    <row r="507">
      <c r="A507" s="9"/>
      <c r="D507" s="23"/>
    </row>
    <row r="508">
      <c r="A508" s="9"/>
      <c r="D508" s="23"/>
    </row>
    <row r="509">
      <c r="A509" s="9"/>
      <c r="D509" s="23"/>
    </row>
    <row r="510">
      <c r="A510" s="9"/>
      <c r="D510" s="23"/>
    </row>
    <row r="511">
      <c r="A511" s="9"/>
      <c r="D511" s="23"/>
    </row>
    <row r="512">
      <c r="A512" s="9"/>
      <c r="D512" s="23"/>
    </row>
    <row r="513">
      <c r="A513" s="9"/>
      <c r="D513" s="23"/>
    </row>
    <row r="514">
      <c r="A514" s="9"/>
      <c r="D514" s="23"/>
    </row>
    <row r="515">
      <c r="A515" s="9"/>
      <c r="D515" s="23"/>
    </row>
    <row r="516">
      <c r="A516" s="9"/>
      <c r="D516" s="23"/>
    </row>
    <row r="517">
      <c r="A517" s="9"/>
      <c r="D517" s="23"/>
    </row>
    <row r="518">
      <c r="A518" s="9"/>
      <c r="D518" s="23"/>
    </row>
    <row r="519">
      <c r="A519" s="9"/>
      <c r="D519" s="23"/>
    </row>
    <row r="520">
      <c r="A520" s="9"/>
      <c r="D520" s="23"/>
    </row>
    <row r="521">
      <c r="A521" s="9"/>
      <c r="D521" s="23"/>
    </row>
    <row r="522">
      <c r="A522" s="9"/>
      <c r="D522" s="23"/>
    </row>
    <row r="523">
      <c r="A523" s="9"/>
      <c r="D523" s="23"/>
    </row>
    <row r="524">
      <c r="A524" s="9"/>
      <c r="D524" s="23"/>
    </row>
    <row r="525">
      <c r="A525" s="9"/>
      <c r="D525" s="23"/>
    </row>
    <row r="526">
      <c r="A526" s="9"/>
      <c r="D526" s="23"/>
    </row>
    <row r="527">
      <c r="A527" s="9"/>
      <c r="D527" s="23"/>
    </row>
    <row r="528">
      <c r="A528" s="9"/>
      <c r="D528" s="23"/>
    </row>
    <row r="529">
      <c r="A529" s="9"/>
      <c r="D529" s="23"/>
    </row>
    <row r="530">
      <c r="A530" s="9"/>
      <c r="D530" s="23"/>
    </row>
    <row r="531">
      <c r="A531" s="9"/>
      <c r="D531" s="23"/>
    </row>
    <row r="532">
      <c r="A532" s="9"/>
      <c r="D532" s="23"/>
    </row>
    <row r="533">
      <c r="A533" s="9"/>
      <c r="D533" s="23"/>
    </row>
    <row r="534">
      <c r="A534" s="9"/>
      <c r="D534" s="23"/>
    </row>
    <row r="535">
      <c r="A535" s="9"/>
      <c r="D535" s="23"/>
    </row>
    <row r="536">
      <c r="A536" s="9"/>
      <c r="D536" s="23"/>
    </row>
    <row r="537">
      <c r="A537" s="9"/>
      <c r="D537" s="23"/>
    </row>
    <row r="538">
      <c r="A538" s="9"/>
      <c r="D538" s="23"/>
    </row>
    <row r="539">
      <c r="A539" s="9"/>
      <c r="D539" s="23"/>
    </row>
    <row r="540">
      <c r="A540" s="9"/>
      <c r="D540" s="23"/>
    </row>
    <row r="541">
      <c r="A541" s="9"/>
      <c r="D541" s="23"/>
    </row>
    <row r="542">
      <c r="A542" s="9"/>
      <c r="D542" s="23"/>
    </row>
    <row r="543">
      <c r="A543" s="9"/>
      <c r="D543" s="23"/>
    </row>
    <row r="544">
      <c r="A544" s="9"/>
      <c r="D544" s="23"/>
    </row>
    <row r="545">
      <c r="A545" s="9"/>
      <c r="D545" s="23"/>
    </row>
    <row r="546">
      <c r="A546" s="9"/>
      <c r="D546" s="23"/>
    </row>
    <row r="547">
      <c r="A547" s="9"/>
      <c r="D547" s="23"/>
    </row>
    <row r="548">
      <c r="A548" s="9"/>
      <c r="D548" s="23"/>
    </row>
    <row r="549">
      <c r="A549" s="9"/>
      <c r="D549" s="23"/>
    </row>
    <row r="550">
      <c r="A550" s="9"/>
      <c r="D550" s="23"/>
    </row>
    <row r="551">
      <c r="A551" s="9"/>
      <c r="D551" s="23"/>
    </row>
    <row r="552">
      <c r="A552" s="9"/>
      <c r="D552" s="23"/>
    </row>
    <row r="553">
      <c r="A553" s="9"/>
      <c r="D553" s="23"/>
    </row>
    <row r="554">
      <c r="A554" s="9"/>
      <c r="D554" s="23"/>
    </row>
    <row r="555">
      <c r="A555" s="9"/>
      <c r="D555" s="23"/>
    </row>
    <row r="556">
      <c r="A556" s="9"/>
      <c r="D556" s="23"/>
    </row>
    <row r="557">
      <c r="A557" s="9"/>
      <c r="D557" s="23"/>
    </row>
    <row r="558">
      <c r="A558" s="9"/>
      <c r="D558" s="23"/>
    </row>
    <row r="559">
      <c r="A559" s="9"/>
      <c r="D559" s="23"/>
    </row>
    <row r="560">
      <c r="A560" s="9"/>
      <c r="D560" s="23"/>
    </row>
    <row r="561">
      <c r="A561" s="9"/>
      <c r="D561" s="23"/>
    </row>
    <row r="562">
      <c r="A562" s="9"/>
      <c r="D562" s="23"/>
    </row>
    <row r="563">
      <c r="A563" s="9"/>
      <c r="D563" s="23"/>
    </row>
    <row r="564">
      <c r="A564" s="9"/>
      <c r="D564" s="23"/>
    </row>
    <row r="565">
      <c r="A565" s="9"/>
      <c r="D565" s="23"/>
    </row>
    <row r="566">
      <c r="A566" s="9"/>
      <c r="D566" s="23"/>
    </row>
    <row r="567">
      <c r="A567" s="9"/>
      <c r="D567" s="23"/>
    </row>
    <row r="568">
      <c r="A568" s="9"/>
      <c r="D568" s="23"/>
    </row>
    <row r="569">
      <c r="A569" s="9"/>
      <c r="D569" s="23"/>
    </row>
    <row r="570">
      <c r="A570" s="9"/>
      <c r="D570" s="23"/>
    </row>
    <row r="571">
      <c r="A571" s="9"/>
      <c r="D571" s="23"/>
    </row>
    <row r="572">
      <c r="A572" s="9"/>
      <c r="D572" s="23"/>
    </row>
    <row r="573">
      <c r="A573" s="9"/>
      <c r="D573" s="23"/>
    </row>
    <row r="574">
      <c r="A574" s="9"/>
      <c r="D574" s="23"/>
    </row>
    <row r="575">
      <c r="A575" s="9"/>
      <c r="D575" s="23"/>
    </row>
    <row r="576">
      <c r="A576" s="9"/>
      <c r="D576" s="23"/>
    </row>
    <row r="577">
      <c r="A577" s="9"/>
      <c r="D577" s="23"/>
    </row>
    <row r="578">
      <c r="A578" s="9"/>
      <c r="D578" s="23"/>
    </row>
    <row r="579">
      <c r="A579" s="9"/>
      <c r="D579" s="23"/>
    </row>
    <row r="580">
      <c r="A580" s="9"/>
      <c r="D580" s="23"/>
    </row>
    <row r="581">
      <c r="A581" s="9"/>
      <c r="D581" s="23"/>
    </row>
    <row r="582">
      <c r="A582" s="9"/>
      <c r="D582" s="23"/>
    </row>
    <row r="583">
      <c r="A583" s="9"/>
      <c r="D583" s="23"/>
    </row>
    <row r="584">
      <c r="A584" s="9"/>
      <c r="D584" s="23"/>
    </row>
    <row r="585">
      <c r="A585" s="9"/>
      <c r="D585" s="23"/>
    </row>
    <row r="586">
      <c r="A586" s="9"/>
      <c r="D586" s="23"/>
    </row>
    <row r="587">
      <c r="A587" s="9"/>
      <c r="D587" s="23"/>
    </row>
    <row r="588">
      <c r="A588" s="9"/>
      <c r="D588" s="23"/>
    </row>
    <row r="589">
      <c r="A589" s="9"/>
      <c r="D589" s="23"/>
    </row>
    <row r="590">
      <c r="A590" s="9"/>
      <c r="D590" s="23"/>
    </row>
    <row r="591">
      <c r="A591" s="9"/>
      <c r="D591" s="23"/>
    </row>
    <row r="592">
      <c r="A592" s="9"/>
      <c r="D592" s="23"/>
    </row>
    <row r="593">
      <c r="A593" s="9"/>
      <c r="D593" s="23"/>
    </row>
    <row r="594">
      <c r="A594" s="9"/>
      <c r="D594" s="23"/>
    </row>
    <row r="595">
      <c r="A595" s="9"/>
      <c r="D595" s="23"/>
    </row>
    <row r="596">
      <c r="A596" s="9"/>
      <c r="D596" s="23"/>
    </row>
    <row r="597">
      <c r="A597" s="9"/>
      <c r="D597" s="23"/>
    </row>
    <row r="598">
      <c r="A598" s="9"/>
      <c r="D598" s="23"/>
    </row>
    <row r="599">
      <c r="A599" s="9"/>
      <c r="D599" s="23"/>
    </row>
    <row r="600">
      <c r="A600" s="9"/>
      <c r="D600" s="23"/>
    </row>
    <row r="601">
      <c r="A601" s="9"/>
      <c r="D601" s="23"/>
    </row>
    <row r="602">
      <c r="A602" s="9"/>
      <c r="D602" s="23"/>
    </row>
    <row r="603">
      <c r="A603" s="9"/>
      <c r="D603" s="23"/>
    </row>
    <row r="604">
      <c r="A604" s="9"/>
      <c r="D604" s="23"/>
    </row>
    <row r="605">
      <c r="A605" s="9"/>
      <c r="D605" s="23"/>
    </row>
    <row r="606">
      <c r="A606" s="9"/>
      <c r="D606" s="23"/>
    </row>
    <row r="607">
      <c r="A607" s="9"/>
      <c r="D607" s="23"/>
    </row>
    <row r="608">
      <c r="A608" s="9"/>
      <c r="D608" s="23"/>
    </row>
    <row r="609">
      <c r="A609" s="9"/>
      <c r="D609" s="23"/>
    </row>
    <row r="610">
      <c r="A610" s="9"/>
      <c r="D610" s="23"/>
    </row>
    <row r="611">
      <c r="A611" s="9"/>
      <c r="D611" s="23"/>
    </row>
    <row r="612">
      <c r="A612" s="9"/>
      <c r="D612" s="23"/>
    </row>
    <row r="613">
      <c r="A613" s="9"/>
      <c r="D613" s="23"/>
    </row>
    <row r="614">
      <c r="A614" s="9"/>
      <c r="D614" s="23"/>
    </row>
    <row r="615">
      <c r="A615" s="9"/>
      <c r="D615" s="23"/>
    </row>
    <row r="616">
      <c r="A616" s="9"/>
      <c r="D616" s="23"/>
    </row>
    <row r="617">
      <c r="A617" s="9"/>
      <c r="D617" s="23"/>
    </row>
    <row r="618">
      <c r="A618" s="9"/>
      <c r="D618" s="23"/>
    </row>
    <row r="619">
      <c r="A619" s="9"/>
      <c r="D619" s="23"/>
    </row>
    <row r="620">
      <c r="A620" s="9"/>
      <c r="D620" s="23"/>
    </row>
    <row r="621">
      <c r="A621" s="9"/>
      <c r="D621" s="23"/>
    </row>
    <row r="622">
      <c r="A622" s="9"/>
      <c r="D622" s="23"/>
    </row>
    <row r="623">
      <c r="A623" s="9"/>
      <c r="D623" s="23"/>
    </row>
    <row r="624">
      <c r="A624" s="9"/>
      <c r="D624" s="23"/>
    </row>
    <row r="625">
      <c r="A625" s="9"/>
      <c r="D625" s="23"/>
    </row>
    <row r="626">
      <c r="A626" s="9"/>
      <c r="D626" s="23"/>
    </row>
    <row r="627">
      <c r="A627" s="9"/>
      <c r="D627" s="23"/>
    </row>
    <row r="628">
      <c r="A628" s="9"/>
      <c r="D628" s="23"/>
    </row>
    <row r="629">
      <c r="A629" s="9"/>
      <c r="D629" s="23"/>
    </row>
    <row r="630">
      <c r="A630" s="9"/>
      <c r="D630" s="23"/>
    </row>
    <row r="631">
      <c r="A631" s="9"/>
      <c r="D631" s="23"/>
    </row>
    <row r="632">
      <c r="A632" s="9"/>
      <c r="D632" s="23"/>
    </row>
    <row r="633">
      <c r="A633" s="9"/>
      <c r="D633" s="23"/>
    </row>
    <row r="634">
      <c r="A634" s="9"/>
      <c r="D634" s="23"/>
    </row>
    <row r="635">
      <c r="A635" s="9"/>
      <c r="D635" s="23"/>
    </row>
    <row r="636">
      <c r="A636" s="9"/>
      <c r="D636" s="23"/>
    </row>
    <row r="637">
      <c r="A637" s="9"/>
      <c r="D637" s="23"/>
    </row>
    <row r="638">
      <c r="A638" s="9"/>
      <c r="D638" s="23"/>
    </row>
    <row r="639">
      <c r="A639" s="9"/>
      <c r="D639" s="23"/>
    </row>
    <row r="640">
      <c r="A640" s="9"/>
      <c r="D640" s="23"/>
    </row>
    <row r="641">
      <c r="A641" s="9"/>
      <c r="D641" s="23"/>
    </row>
    <row r="642">
      <c r="A642" s="9"/>
      <c r="D642" s="23"/>
    </row>
    <row r="643">
      <c r="A643" s="9"/>
      <c r="D643" s="23"/>
    </row>
    <row r="644">
      <c r="A644" s="9"/>
      <c r="D644" s="23"/>
    </row>
    <row r="645">
      <c r="A645" s="9"/>
      <c r="D645" s="23"/>
    </row>
    <row r="646">
      <c r="A646" s="9"/>
      <c r="D646" s="23"/>
    </row>
    <row r="647">
      <c r="A647" s="9"/>
      <c r="D647" s="23"/>
    </row>
    <row r="648">
      <c r="A648" s="9"/>
      <c r="D648" s="23"/>
    </row>
    <row r="649">
      <c r="A649" s="9"/>
      <c r="D649" s="23"/>
    </row>
    <row r="650">
      <c r="A650" s="9"/>
      <c r="D650" s="23"/>
    </row>
    <row r="651">
      <c r="A651" s="9"/>
      <c r="D651" s="23"/>
    </row>
    <row r="652">
      <c r="A652" s="9"/>
      <c r="D652" s="23"/>
    </row>
    <row r="653">
      <c r="A653" s="9"/>
      <c r="D653" s="23"/>
    </row>
    <row r="654">
      <c r="A654" s="9"/>
      <c r="D654" s="23"/>
    </row>
    <row r="655">
      <c r="A655" s="9"/>
      <c r="D655" s="23"/>
    </row>
    <row r="656">
      <c r="A656" s="9"/>
      <c r="D656" s="23"/>
    </row>
    <row r="657">
      <c r="A657" s="9"/>
      <c r="D657" s="23"/>
    </row>
    <row r="658">
      <c r="A658" s="9"/>
      <c r="D658" s="23"/>
    </row>
    <row r="659">
      <c r="A659" s="9"/>
      <c r="D659" s="23"/>
    </row>
    <row r="660">
      <c r="A660" s="9"/>
      <c r="D660" s="23"/>
    </row>
    <row r="661">
      <c r="A661" s="9"/>
      <c r="D661" s="23"/>
    </row>
    <row r="662">
      <c r="A662" s="9"/>
      <c r="D662" s="23"/>
    </row>
    <row r="663">
      <c r="A663" s="9"/>
      <c r="D663" s="23"/>
    </row>
    <row r="664">
      <c r="A664" s="9"/>
      <c r="D664" s="23"/>
    </row>
    <row r="665">
      <c r="A665" s="9"/>
      <c r="D665" s="23"/>
    </row>
    <row r="666">
      <c r="A666" s="9"/>
      <c r="D666" s="23"/>
    </row>
    <row r="667">
      <c r="A667" s="9"/>
      <c r="D667" s="23"/>
    </row>
    <row r="668">
      <c r="A668" s="9"/>
      <c r="D668" s="23"/>
    </row>
    <row r="669">
      <c r="A669" s="9"/>
      <c r="D669" s="23"/>
    </row>
    <row r="670">
      <c r="A670" s="9"/>
      <c r="D670" s="23"/>
    </row>
    <row r="671">
      <c r="A671" s="9"/>
      <c r="D671" s="23"/>
    </row>
    <row r="672">
      <c r="A672" s="9"/>
      <c r="D672" s="23"/>
    </row>
    <row r="673">
      <c r="A673" s="9"/>
      <c r="D673" s="23"/>
    </row>
    <row r="674">
      <c r="A674" s="9"/>
      <c r="D674" s="23"/>
    </row>
    <row r="675">
      <c r="A675" s="9"/>
      <c r="D675" s="23"/>
    </row>
    <row r="676">
      <c r="A676" s="9"/>
      <c r="D676" s="23"/>
    </row>
    <row r="677">
      <c r="A677" s="9"/>
      <c r="D677" s="23"/>
    </row>
    <row r="678">
      <c r="A678" s="9"/>
      <c r="D678" s="23"/>
    </row>
    <row r="679">
      <c r="A679" s="9"/>
      <c r="D679" s="23"/>
    </row>
    <row r="680">
      <c r="A680" s="9"/>
      <c r="D680" s="23"/>
    </row>
    <row r="681">
      <c r="A681" s="9"/>
      <c r="D681" s="23"/>
    </row>
    <row r="682">
      <c r="A682" s="9"/>
      <c r="D682" s="23"/>
    </row>
    <row r="683">
      <c r="A683" s="9"/>
      <c r="D683" s="23"/>
    </row>
    <row r="684">
      <c r="A684" s="9"/>
      <c r="D684" s="23"/>
    </row>
    <row r="685">
      <c r="A685" s="9"/>
      <c r="D685" s="23"/>
    </row>
    <row r="686">
      <c r="A686" s="9"/>
      <c r="D686" s="23"/>
    </row>
    <row r="687">
      <c r="A687" s="9"/>
      <c r="D687" s="23"/>
    </row>
    <row r="688">
      <c r="A688" s="9"/>
      <c r="D688" s="23"/>
    </row>
    <row r="689">
      <c r="A689" s="9"/>
      <c r="D689" s="23"/>
    </row>
    <row r="690">
      <c r="A690" s="9"/>
      <c r="D690" s="23"/>
    </row>
    <row r="691">
      <c r="A691" s="9"/>
      <c r="D691" s="23"/>
    </row>
    <row r="692">
      <c r="A692" s="9"/>
      <c r="D692" s="23"/>
    </row>
    <row r="693">
      <c r="A693" s="9"/>
      <c r="D693" s="23"/>
    </row>
    <row r="694">
      <c r="A694" s="9"/>
      <c r="D694" s="23"/>
    </row>
    <row r="695">
      <c r="A695" s="9"/>
      <c r="D695" s="23"/>
    </row>
    <row r="696">
      <c r="A696" s="9"/>
      <c r="D696" s="23"/>
    </row>
    <row r="697">
      <c r="A697" s="9"/>
      <c r="D697" s="23"/>
    </row>
    <row r="698">
      <c r="A698" s="9"/>
      <c r="D698" s="23"/>
    </row>
    <row r="699">
      <c r="A699" s="9"/>
      <c r="D699" s="23"/>
    </row>
    <row r="700">
      <c r="A700" s="9"/>
      <c r="D700" s="23"/>
    </row>
    <row r="701">
      <c r="A701" s="9"/>
      <c r="D701" s="23"/>
    </row>
    <row r="702">
      <c r="A702" s="9"/>
      <c r="D702" s="23"/>
    </row>
    <row r="703">
      <c r="A703" s="9"/>
      <c r="D703" s="23"/>
    </row>
    <row r="704">
      <c r="A704" s="9"/>
      <c r="D704" s="23"/>
    </row>
    <row r="705">
      <c r="A705" s="9"/>
      <c r="D705" s="23"/>
    </row>
    <row r="706">
      <c r="A706" s="9"/>
      <c r="D706" s="23"/>
    </row>
    <row r="707">
      <c r="A707" s="9"/>
      <c r="D707" s="23"/>
    </row>
    <row r="708">
      <c r="A708" s="9"/>
      <c r="D708" s="23"/>
    </row>
    <row r="709">
      <c r="A709" s="9"/>
      <c r="D709" s="23"/>
    </row>
    <row r="710">
      <c r="A710" s="9"/>
      <c r="D710" s="23"/>
    </row>
    <row r="711">
      <c r="A711" s="9"/>
      <c r="D711" s="23"/>
    </row>
    <row r="712">
      <c r="A712" s="9"/>
      <c r="D712" s="23"/>
    </row>
    <row r="713">
      <c r="A713" s="9"/>
      <c r="D713" s="23"/>
    </row>
    <row r="714">
      <c r="A714" s="9"/>
      <c r="D714" s="23"/>
    </row>
    <row r="715">
      <c r="A715" s="9"/>
      <c r="D715" s="23"/>
    </row>
    <row r="716">
      <c r="A716" s="9"/>
      <c r="D716" s="23"/>
    </row>
    <row r="717">
      <c r="A717" s="9"/>
      <c r="D717" s="23"/>
    </row>
    <row r="718">
      <c r="A718" s="9"/>
      <c r="D718" s="23"/>
    </row>
    <row r="719">
      <c r="A719" s="9"/>
      <c r="D719" s="23"/>
    </row>
    <row r="720">
      <c r="A720" s="9"/>
      <c r="D720" s="23"/>
    </row>
    <row r="721">
      <c r="A721" s="9"/>
      <c r="D721" s="23"/>
    </row>
    <row r="722">
      <c r="A722" s="9"/>
      <c r="D722" s="23"/>
    </row>
    <row r="723">
      <c r="A723" s="9"/>
      <c r="D723" s="23"/>
    </row>
    <row r="724">
      <c r="A724" s="9"/>
      <c r="D724" s="23"/>
    </row>
    <row r="725">
      <c r="A725" s="9"/>
      <c r="D725" s="23"/>
    </row>
    <row r="726">
      <c r="A726" s="9"/>
      <c r="D726" s="23"/>
    </row>
    <row r="727">
      <c r="A727" s="9"/>
      <c r="D727" s="23"/>
    </row>
    <row r="728">
      <c r="A728" s="9"/>
      <c r="D728" s="23"/>
    </row>
    <row r="729">
      <c r="A729" s="9"/>
      <c r="D729" s="23"/>
    </row>
    <row r="730">
      <c r="A730" s="9"/>
      <c r="D730" s="23"/>
    </row>
    <row r="731">
      <c r="A731" s="9"/>
      <c r="D731" s="23"/>
    </row>
    <row r="732">
      <c r="A732" s="9"/>
      <c r="D732" s="23"/>
    </row>
    <row r="733">
      <c r="A733" s="9"/>
      <c r="D733" s="23"/>
    </row>
    <row r="734">
      <c r="A734" s="9"/>
      <c r="D734" s="23"/>
    </row>
    <row r="735">
      <c r="A735" s="9"/>
      <c r="D735" s="23"/>
    </row>
    <row r="736">
      <c r="A736" s="9"/>
      <c r="D736" s="23"/>
    </row>
    <row r="737">
      <c r="A737" s="9"/>
      <c r="D737" s="23"/>
    </row>
    <row r="738">
      <c r="A738" s="9"/>
      <c r="D738" s="23"/>
    </row>
    <row r="739">
      <c r="A739" s="9"/>
      <c r="D739" s="23"/>
    </row>
    <row r="740">
      <c r="A740" s="9"/>
      <c r="D740" s="23"/>
    </row>
    <row r="741">
      <c r="A741" s="9"/>
      <c r="D741" s="23"/>
    </row>
    <row r="742">
      <c r="A742" s="9"/>
      <c r="D742" s="23"/>
    </row>
    <row r="743">
      <c r="A743" s="9"/>
      <c r="D743" s="23"/>
    </row>
    <row r="744">
      <c r="A744" s="9"/>
      <c r="D744" s="23"/>
    </row>
    <row r="745">
      <c r="A745" s="9"/>
      <c r="D745" s="23"/>
    </row>
    <row r="746">
      <c r="A746" s="9"/>
      <c r="D746" s="23"/>
    </row>
    <row r="747">
      <c r="A747" s="9"/>
      <c r="D747" s="23"/>
    </row>
    <row r="748">
      <c r="A748" s="9"/>
      <c r="D748" s="23"/>
    </row>
    <row r="749">
      <c r="A749" s="9"/>
      <c r="D749" s="23"/>
    </row>
    <row r="750">
      <c r="A750" s="9"/>
      <c r="D750" s="23"/>
    </row>
    <row r="751">
      <c r="A751" s="9"/>
      <c r="D751" s="23"/>
    </row>
    <row r="752">
      <c r="A752" s="9"/>
      <c r="D752" s="23"/>
    </row>
    <row r="753">
      <c r="A753" s="9"/>
      <c r="D753" s="23"/>
    </row>
    <row r="754">
      <c r="A754" s="9"/>
      <c r="D754" s="23"/>
    </row>
    <row r="755">
      <c r="A755" s="9"/>
      <c r="D755" s="23"/>
    </row>
    <row r="756">
      <c r="A756" s="9"/>
      <c r="D756" s="23"/>
    </row>
    <row r="757">
      <c r="A757" s="9"/>
      <c r="D757" s="23"/>
    </row>
    <row r="758">
      <c r="A758" s="9"/>
      <c r="D758" s="23"/>
    </row>
    <row r="759">
      <c r="A759" s="9"/>
      <c r="D759" s="23"/>
    </row>
    <row r="760">
      <c r="A760" s="9"/>
      <c r="D760" s="23"/>
    </row>
    <row r="761">
      <c r="A761" s="9"/>
      <c r="D761" s="23"/>
    </row>
    <row r="762">
      <c r="A762" s="9"/>
      <c r="D762" s="23"/>
    </row>
    <row r="763">
      <c r="A763" s="9"/>
      <c r="D763" s="23"/>
    </row>
    <row r="764">
      <c r="A764" s="9"/>
      <c r="D764" s="23"/>
    </row>
    <row r="765">
      <c r="A765" s="9"/>
      <c r="D765" s="23"/>
    </row>
    <row r="766">
      <c r="A766" s="9"/>
      <c r="D766" s="23"/>
    </row>
    <row r="767">
      <c r="A767" s="9"/>
      <c r="D767" s="23"/>
    </row>
    <row r="768">
      <c r="A768" s="9"/>
      <c r="D768" s="23"/>
    </row>
    <row r="769">
      <c r="A769" s="9"/>
      <c r="D769" s="23"/>
    </row>
    <row r="770">
      <c r="A770" s="9"/>
      <c r="D770" s="23"/>
    </row>
    <row r="771">
      <c r="A771" s="9"/>
      <c r="D771" s="23"/>
    </row>
    <row r="772">
      <c r="A772" s="9"/>
      <c r="D772" s="23"/>
    </row>
    <row r="773">
      <c r="A773" s="9"/>
      <c r="D773" s="23"/>
    </row>
    <row r="774">
      <c r="A774" s="9"/>
      <c r="D774" s="23"/>
    </row>
    <row r="775">
      <c r="A775" s="9"/>
      <c r="D775" s="23"/>
    </row>
    <row r="776">
      <c r="A776" s="9"/>
      <c r="D776" s="23"/>
    </row>
    <row r="777">
      <c r="A777" s="9"/>
      <c r="D777" s="23"/>
    </row>
    <row r="778">
      <c r="A778" s="9"/>
      <c r="D778" s="23"/>
    </row>
    <row r="779">
      <c r="A779" s="9"/>
      <c r="D779" s="23"/>
    </row>
    <row r="780">
      <c r="A780" s="9"/>
      <c r="D780" s="23"/>
    </row>
    <row r="781">
      <c r="A781" s="9"/>
      <c r="D781" s="23"/>
    </row>
    <row r="782">
      <c r="A782" s="9"/>
      <c r="D782" s="23"/>
    </row>
    <row r="783">
      <c r="A783" s="9"/>
      <c r="D783" s="23"/>
    </row>
    <row r="784">
      <c r="A784" s="9"/>
      <c r="D784" s="23"/>
    </row>
    <row r="785">
      <c r="A785" s="9"/>
      <c r="D785" s="23"/>
    </row>
    <row r="786">
      <c r="A786" s="9"/>
      <c r="D786" s="23"/>
    </row>
    <row r="787">
      <c r="A787" s="9"/>
      <c r="D787" s="23"/>
    </row>
    <row r="788">
      <c r="A788" s="9"/>
      <c r="D788" s="23"/>
    </row>
    <row r="789">
      <c r="A789" s="9"/>
      <c r="D789" s="23"/>
    </row>
    <row r="790">
      <c r="A790" s="9"/>
      <c r="D790" s="23"/>
    </row>
    <row r="791">
      <c r="A791" s="9"/>
      <c r="D791" s="23"/>
    </row>
    <row r="792">
      <c r="A792" s="9"/>
      <c r="D792" s="23"/>
    </row>
    <row r="793">
      <c r="A793" s="9"/>
      <c r="D793" s="23"/>
    </row>
    <row r="794">
      <c r="A794" s="9"/>
      <c r="D794" s="23"/>
    </row>
    <row r="795">
      <c r="A795" s="9"/>
      <c r="D795" s="23"/>
    </row>
    <row r="796">
      <c r="A796" s="9"/>
      <c r="D796" s="23"/>
    </row>
    <row r="797">
      <c r="A797" s="9"/>
      <c r="D797" s="23"/>
    </row>
    <row r="798">
      <c r="A798" s="9"/>
      <c r="D798" s="23"/>
    </row>
    <row r="799">
      <c r="A799" s="9"/>
      <c r="D799" s="23"/>
    </row>
    <row r="800">
      <c r="A800" s="9"/>
      <c r="D800" s="23"/>
    </row>
    <row r="801">
      <c r="A801" s="9"/>
      <c r="D801" s="23"/>
    </row>
    <row r="802">
      <c r="A802" s="9"/>
      <c r="D802" s="23"/>
    </row>
    <row r="803">
      <c r="A803" s="9"/>
      <c r="D803" s="23"/>
    </row>
    <row r="804">
      <c r="A804" s="9"/>
      <c r="D804" s="23"/>
    </row>
    <row r="805">
      <c r="A805" s="9"/>
      <c r="D805" s="23"/>
    </row>
    <row r="806">
      <c r="A806" s="9"/>
      <c r="D806" s="23"/>
    </row>
    <row r="807">
      <c r="A807" s="9"/>
      <c r="D807" s="23"/>
    </row>
    <row r="808">
      <c r="A808" s="9"/>
      <c r="D808" s="23"/>
    </row>
    <row r="809">
      <c r="A809" s="9"/>
      <c r="D809" s="23"/>
    </row>
    <row r="810">
      <c r="A810" s="9"/>
      <c r="D810" s="23"/>
    </row>
    <row r="811">
      <c r="A811" s="9"/>
      <c r="D811" s="23"/>
    </row>
    <row r="812">
      <c r="A812" s="9"/>
      <c r="D812" s="23"/>
    </row>
    <row r="813">
      <c r="A813" s="9"/>
      <c r="D813" s="23"/>
    </row>
    <row r="814">
      <c r="A814" s="9"/>
      <c r="D814" s="23"/>
    </row>
    <row r="815">
      <c r="A815" s="9"/>
      <c r="D815" s="23"/>
    </row>
    <row r="816">
      <c r="A816" s="9"/>
      <c r="D816" s="23"/>
    </row>
    <row r="817">
      <c r="A817" s="9"/>
      <c r="D817" s="23"/>
    </row>
    <row r="818">
      <c r="A818" s="9"/>
      <c r="D818" s="23"/>
    </row>
    <row r="819">
      <c r="A819" s="9"/>
      <c r="D819" s="23"/>
    </row>
    <row r="820">
      <c r="A820" s="9"/>
      <c r="D820" s="23"/>
    </row>
    <row r="821">
      <c r="A821" s="9"/>
      <c r="D821" s="23"/>
    </row>
    <row r="822">
      <c r="A822" s="9"/>
      <c r="D822" s="23"/>
    </row>
    <row r="823">
      <c r="A823" s="9"/>
      <c r="D823" s="23"/>
    </row>
    <row r="824">
      <c r="A824" s="9"/>
      <c r="D824" s="23"/>
    </row>
    <row r="825">
      <c r="A825" s="9"/>
      <c r="D825" s="23"/>
    </row>
    <row r="826">
      <c r="A826" s="9"/>
      <c r="D826" s="23"/>
    </row>
    <row r="827">
      <c r="A827" s="9"/>
      <c r="D827" s="23"/>
    </row>
    <row r="828">
      <c r="A828" s="9"/>
      <c r="D828" s="23"/>
    </row>
    <row r="829">
      <c r="A829" s="9"/>
      <c r="D829" s="23"/>
    </row>
    <row r="830">
      <c r="A830" s="9"/>
      <c r="D830" s="23"/>
    </row>
    <row r="831">
      <c r="A831" s="9"/>
      <c r="D831" s="23"/>
    </row>
    <row r="832">
      <c r="A832" s="9"/>
      <c r="D832" s="23"/>
    </row>
    <row r="833">
      <c r="A833" s="9"/>
      <c r="D833" s="23"/>
    </row>
    <row r="834">
      <c r="A834" s="9"/>
      <c r="D834" s="23"/>
    </row>
    <row r="835">
      <c r="A835" s="9"/>
      <c r="D835" s="23"/>
    </row>
    <row r="836">
      <c r="A836" s="9"/>
      <c r="D836" s="23"/>
    </row>
    <row r="837">
      <c r="A837" s="9"/>
      <c r="D837" s="23"/>
    </row>
    <row r="838">
      <c r="A838" s="9"/>
      <c r="D838" s="23"/>
    </row>
    <row r="839">
      <c r="A839" s="9"/>
      <c r="D839" s="23"/>
    </row>
    <row r="840">
      <c r="A840" s="9"/>
      <c r="D840" s="23"/>
    </row>
    <row r="841">
      <c r="A841" s="9"/>
      <c r="D841" s="23"/>
    </row>
    <row r="842">
      <c r="A842" s="9"/>
      <c r="D842" s="23"/>
    </row>
    <row r="843">
      <c r="A843" s="9"/>
      <c r="D843" s="23"/>
    </row>
    <row r="844">
      <c r="A844" s="9"/>
      <c r="D844" s="23"/>
    </row>
    <row r="845">
      <c r="A845" s="9"/>
      <c r="D845" s="23"/>
    </row>
    <row r="846">
      <c r="A846" s="9"/>
      <c r="D846" s="23"/>
    </row>
    <row r="847">
      <c r="A847" s="9"/>
      <c r="D847" s="23"/>
    </row>
    <row r="848">
      <c r="A848" s="9"/>
      <c r="D848" s="23"/>
    </row>
    <row r="849">
      <c r="A849" s="9"/>
      <c r="D849" s="23"/>
    </row>
    <row r="850">
      <c r="A850" s="9"/>
      <c r="D850" s="23"/>
    </row>
    <row r="851">
      <c r="A851" s="9"/>
      <c r="D851" s="23"/>
    </row>
    <row r="852">
      <c r="A852" s="9"/>
      <c r="D852" s="23"/>
    </row>
    <row r="853">
      <c r="A853" s="9"/>
      <c r="D853" s="23"/>
    </row>
    <row r="854">
      <c r="A854" s="9"/>
      <c r="D854" s="23"/>
    </row>
    <row r="855">
      <c r="A855" s="9"/>
      <c r="D855" s="23"/>
    </row>
    <row r="856">
      <c r="A856" s="9"/>
      <c r="D856" s="23"/>
    </row>
    <row r="857">
      <c r="A857" s="9"/>
      <c r="D857" s="23"/>
    </row>
    <row r="858">
      <c r="A858" s="9"/>
      <c r="D858" s="23"/>
    </row>
    <row r="859">
      <c r="A859" s="9"/>
      <c r="D859" s="23"/>
    </row>
    <row r="860">
      <c r="A860" s="9"/>
      <c r="D860" s="23"/>
    </row>
    <row r="861">
      <c r="A861" s="9"/>
      <c r="D861" s="23"/>
    </row>
    <row r="862">
      <c r="A862" s="9"/>
      <c r="D862" s="23"/>
    </row>
    <row r="863">
      <c r="A863" s="9"/>
      <c r="D863" s="23"/>
    </row>
    <row r="864">
      <c r="A864" s="9"/>
      <c r="D864" s="23"/>
    </row>
    <row r="865">
      <c r="A865" s="9"/>
      <c r="D865" s="23"/>
    </row>
    <row r="866">
      <c r="A866" s="9"/>
      <c r="D866" s="23"/>
    </row>
    <row r="867">
      <c r="A867" s="9"/>
      <c r="D867" s="23"/>
    </row>
    <row r="868">
      <c r="A868" s="9"/>
      <c r="D868" s="23"/>
    </row>
    <row r="869">
      <c r="A869" s="9"/>
      <c r="D869" s="23"/>
    </row>
    <row r="870">
      <c r="A870" s="9"/>
      <c r="D870" s="23"/>
    </row>
    <row r="871">
      <c r="A871" s="9"/>
      <c r="D871" s="23"/>
    </row>
    <row r="872">
      <c r="A872" s="9"/>
      <c r="D872" s="23"/>
    </row>
    <row r="873">
      <c r="A873" s="9"/>
      <c r="D873" s="23"/>
    </row>
    <row r="874">
      <c r="A874" s="9"/>
      <c r="D874" s="23"/>
    </row>
    <row r="875">
      <c r="A875" s="9"/>
      <c r="D875" s="23"/>
    </row>
    <row r="876">
      <c r="A876" s="9"/>
      <c r="D876" s="23"/>
    </row>
    <row r="877">
      <c r="A877" s="9"/>
      <c r="D877" s="23"/>
    </row>
    <row r="878">
      <c r="A878" s="9"/>
      <c r="D878" s="23"/>
    </row>
    <row r="879">
      <c r="A879" s="9"/>
      <c r="D879" s="23"/>
    </row>
    <row r="880">
      <c r="A880" s="9"/>
      <c r="D880" s="23"/>
    </row>
    <row r="881">
      <c r="A881" s="9"/>
      <c r="D881" s="23"/>
    </row>
    <row r="882">
      <c r="A882" s="9"/>
      <c r="D882" s="23"/>
    </row>
    <row r="883">
      <c r="A883" s="9"/>
      <c r="D883" s="23"/>
    </row>
    <row r="884">
      <c r="A884" s="9"/>
      <c r="D884" s="23"/>
    </row>
    <row r="885">
      <c r="A885" s="9"/>
      <c r="D885" s="23"/>
    </row>
    <row r="886">
      <c r="A886" s="9"/>
      <c r="D886" s="23"/>
    </row>
    <row r="887">
      <c r="A887" s="9"/>
      <c r="D887" s="23"/>
    </row>
    <row r="888">
      <c r="A888" s="9"/>
      <c r="D888" s="23"/>
    </row>
    <row r="889">
      <c r="A889" s="9"/>
      <c r="D889" s="23"/>
    </row>
    <row r="890">
      <c r="A890" s="9"/>
      <c r="D890" s="23"/>
    </row>
    <row r="891">
      <c r="A891" s="9"/>
      <c r="D891" s="23"/>
    </row>
    <row r="892">
      <c r="A892" s="9"/>
      <c r="D892" s="23"/>
    </row>
    <row r="893">
      <c r="A893" s="9"/>
      <c r="D893" s="23"/>
    </row>
    <row r="894">
      <c r="A894" s="9"/>
      <c r="D894" s="23"/>
    </row>
    <row r="895">
      <c r="A895" s="9"/>
      <c r="D895" s="23"/>
    </row>
    <row r="896">
      <c r="A896" s="9"/>
      <c r="D896" s="23"/>
    </row>
    <row r="897">
      <c r="A897" s="9"/>
      <c r="D897" s="23"/>
    </row>
    <row r="898">
      <c r="A898" s="9"/>
      <c r="D898" s="23"/>
    </row>
    <row r="899">
      <c r="A899" s="9"/>
      <c r="D899" s="23"/>
    </row>
    <row r="900">
      <c r="A900" s="9"/>
      <c r="D900" s="23"/>
    </row>
    <row r="901">
      <c r="A901" s="9"/>
      <c r="D901" s="23"/>
    </row>
    <row r="902">
      <c r="A902" s="9"/>
      <c r="D902" s="23"/>
    </row>
    <row r="903">
      <c r="A903" s="9"/>
      <c r="D903" s="23"/>
    </row>
    <row r="904">
      <c r="A904" s="9"/>
      <c r="D904" s="23"/>
    </row>
    <row r="905">
      <c r="A905" s="9"/>
      <c r="D905" s="23"/>
    </row>
    <row r="906">
      <c r="A906" s="9"/>
      <c r="D906" s="23"/>
    </row>
    <row r="907">
      <c r="A907" s="9"/>
      <c r="D907" s="23"/>
    </row>
    <row r="908">
      <c r="A908" s="9"/>
      <c r="D908" s="23"/>
    </row>
    <row r="909">
      <c r="A909" s="9"/>
      <c r="D909" s="23"/>
    </row>
    <row r="910">
      <c r="A910" s="9"/>
      <c r="D910" s="23"/>
    </row>
    <row r="911">
      <c r="A911" s="9"/>
      <c r="D911" s="23"/>
    </row>
    <row r="912">
      <c r="A912" s="9"/>
      <c r="D912" s="23"/>
    </row>
    <row r="913">
      <c r="A913" s="9"/>
      <c r="D913" s="23"/>
    </row>
    <row r="914">
      <c r="A914" s="9"/>
      <c r="D914" s="23"/>
    </row>
    <row r="915">
      <c r="A915" s="9"/>
      <c r="D915" s="23"/>
    </row>
    <row r="916">
      <c r="A916" s="9"/>
      <c r="D916" s="23"/>
    </row>
    <row r="917">
      <c r="A917" s="9"/>
      <c r="D917" s="23"/>
    </row>
    <row r="918">
      <c r="A918" s="9"/>
      <c r="D918" s="23"/>
    </row>
    <row r="919">
      <c r="A919" s="9"/>
      <c r="D919" s="23"/>
    </row>
    <row r="920">
      <c r="A920" s="9"/>
      <c r="D920" s="23"/>
    </row>
    <row r="921">
      <c r="A921" s="9"/>
      <c r="D921" s="23"/>
    </row>
    <row r="922">
      <c r="A922" s="9"/>
      <c r="D922" s="23"/>
    </row>
    <row r="923">
      <c r="A923" s="9"/>
      <c r="D923" s="23"/>
    </row>
    <row r="924">
      <c r="A924" s="9"/>
      <c r="D924" s="23"/>
    </row>
    <row r="925">
      <c r="A925" s="9"/>
      <c r="D925" s="23"/>
    </row>
    <row r="926">
      <c r="A926" s="9"/>
      <c r="D926" s="23"/>
    </row>
    <row r="927">
      <c r="A927" s="9"/>
      <c r="D927" s="23"/>
    </row>
    <row r="928">
      <c r="A928" s="9"/>
      <c r="D928" s="23"/>
    </row>
    <row r="929">
      <c r="A929" s="9"/>
      <c r="D929" s="23"/>
    </row>
    <row r="930">
      <c r="A930" s="9"/>
      <c r="D930" s="23"/>
    </row>
    <row r="931">
      <c r="A931" s="9"/>
      <c r="D931" s="23"/>
    </row>
    <row r="932">
      <c r="A932" s="9"/>
      <c r="D932" s="23"/>
    </row>
    <row r="933">
      <c r="A933" s="9"/>
      <c r="D933" s="23"/>
    </row>
    <row r="934">
      <c r="A934" s="9"/>
      <c r="D934" s="23"/>
    </row>
    <row r="935">
      <c r="A935" s="9"/>
      <c r="D935" s="23"/>
    </row>
    <row r="936">
      <c r="A936" s="9"/>
      <c r="D936" s="23"/>
    </row>
    <row r="937">
      <c r="A937" s="9"/>
      <c r="D937" s="23"/>
    </row>
    <row r="938">
      <c r="A938" s="9"/>
      <c r="D938" s="23"/>
    </row>
    <row r="939">
      <c r="A939" s="9"/>
      <c r="D939" s="23"/>
    </row>
    <row r="940">
      <c r="A940" s="9"/>
      <c r="D940" s="23"/>
    </row>
    <row r="941">
      <c r="A941" s="9"/>
      <c r="D941" s="23"/>
    </row>
    <row r="942">
      <c r="A942" s="9"/>
      <c r="D942" s="23"/>
    </row>
    <row r="943">
      <c r="A943" s="9"/>
      <c r="D943" s="23"/>
    </row>
    <row r="944">
      <c r="A944" s="9"/>
      <c r="D944" s="23"/>
    </row>
    <row r="945">
      <c r="A945" s="9"/>
      <c r="D945" s="23"/>
    </row>
    <row r="946">
      <c r="A946" s="9"/>
      <c r="D946" s="23"/>
    </row>
    <row r="947">
      <c r="A947" s="9"/>
      <c r="D947" s="23"/>
    </row>
    <row r="948">
      <c r="A948" s="9"/>
      <c r="D948" s="23"/>
    </row>
    <row r="949">
      <c r="A949" s="9"/>
      <c r="D949" s="23"/>
    </row>
    <row r="950">
      <c r="A950" s="9"/>
      <c r="D950" s="23"/>
    </row>
    <row r="951">
      <c r="A951" s="9"/>
      <c r="D951" s="23"/>
    </row>
    <row r="952">
      <c r="A952" s="9"/>
      <c r="D952" s="23"/>
    </row>
    <row r="953">
      <c r="A953" s="9"/>
      <c r="D953" s="23"/>
    </row>
    <row r="954">
      <c r="A954" s="9"/>
      <c r="D954" s="23"/>
    </row>
    <row r="955">
      <c r="A955" s="9"/>
      <c r="D955" s="23"/>
    </row>
    <row r="956">
      <c r="A956" s="9"/>
      <c r="D956" s="23"/>
    </row>
    <row r="957">
      <c r="A957" s="9"/>
      <c r="D957" s="23"/>
    </row>
    <row r="958">
      <c r="A958" s="9"/>
      <c r="D958" s="23"/>
    </row>
    <row r="959">
      <c r="A959" s="9"/>
      <c r="D959" s="23"/>
    </row>
    <row r="960">
      <c r="A960" s="9"/>
      <c r="D960" s="23"/>
    </row>
    <row r="961">
      <c r="A961" s="9"/>
      <c r="D961" s="23"/>
    </row>
    <row r="962">
      <c r="A962" s="9"/>
      <c r="D962" s="23"/>
    </row>
    <row r="963">
      <c r="A963" s="9"/>
      <c r="D963" s="23"/>
    </row>
    <row r="964">
      <c r="A964" s="9"/>
      <c r="D964" s="23"/>
    </row>
    <row r="965">
      <c r="A965" s="9"/>
      <c r="D965" s="23"/>
    </row>
    <row r="966">
      <c r="A966" s="9"/>
      <c r="D966" s="23"/>
    </row>
    <row r="967">
      <c r="A967" s="9"/>
      <c r="D967" s="23"/>
    </row>
    <row r="968">
      <c r="A968" s="9"/>
      <c r="D968" s="23"/>
    </row>
    <row r="969">
      <c r="A969" s="9"/>
      <c r="D969" s="23"/>
    </row>
    <row r="970">
      <c r="A970" s="9"/>
      <c r="D970" s="23"/>
    </row>
    <row r="971">
      <c r="A971" s="9"/>
      <c r="D971" s="23"/>
    </row>
    <row r="972">
      <c r="A972" s="9"/>
      <c r="D972" s="23"/>
    </row>
    <row r="973">
      <c r="A973" s="9"/>
      <c r="D973" s="23"/>
    </row>
    <row r="974">
      <c r="A974" s="9"/>
      <c r="D974" s="23"/>
    </row>
    <row r="975">
      <c r="A975" s="9"/>
      <c r="D975" s="23"/>
    </row>
    <row r="976">
      <c r="A976" s="9"/>
      <c r="D976" s="23"/>
    </row>
    <row r="977">
      <c r="A977" s="9"/>
      <c r="D977" s="23"/>
    </row>
    <row r="978">
      <c r="A978" s="9"/>
      <c r="D978" s="23"/>
    </row>
    <row r="979">
      <c r="A979" s="9"/>
      <c r="D979" s="23"/>
    </row>
    <row r="980">
      <c r="A980" s="9"/>
      <c r="D980" s="23"/>
    </row>
    <row r="981">
      <c r="A981" s="9"/>
      <c r="D981" s="23"/>
    </row>
    <row r="982">
      <c r="A982" s="9"/>
      <c r="D982" s="23"/>
    </row>
    <row r="983">
      <c r="A983" s="9"/>
      <c r="D983" s="23"/>
    </row>
    <row r="984">
      <c r="A984" s="9"/>
      <c r="D984" s="23"/>
    </row>
    <row r="985">
      <c r="A985" s="9"/>
      <c r="D985" s="23"/>
    </row>
    <row r="986">
      <c r="A986" s="9"/>
      <c r="D986" s="23"/>
    </row>
    <row r="987">
      <c r="A987" s="9"/>
      <c r="D987" s="23"/>
    </row>
    <row r="988">
      <c r="A988" s="9"/>
      <c r="D988" s="23"/>
    </row>
    <row r="989">
      <c r="A989" s="9"/>
      <c r="D989" s="23"/>
    </row>
    <row r="990">
      <c r="A990" s="9"/>
      <c r="D990" s="23"/>
    </row>
    <row r="991">
      <c r="A991" s="9"/>
      <c r="D991" s="23"/>
    </row>
    <row r="992">
      <c r="A992" s="9"/>
      <c r="D992" s="23"/>
    </row>
    <row r="993">
      <c r="A993" s="9"/>
      <c r="D993" s="23"/>
    </row>
    <row r="994">
      <c r="A994" s="9"/>
      <c r="D994" s="23"/>
    </row>
    <row r="995">
      <c r="A995" s="9"/>
      <c r="D995" s="23"/>
    </row>
    <row r="996">
      <c r="A996" s="9"/>
      <c r="D996" s="23"/>
    </row>
    <row r="997">
      <c r="A997" s="9"/>
      <c r="D997" s="23"/>
    </row>
    <row r="998">
      <c r="A998" s="9"/>
      <c r="D998" s="23"/>
    </row>
    <row r="999">
      <c r="A999" s="9"/>
      <c r="D999" s="23"/>
    </row>
    <row r="1000">
      <c r="A1000" s="9"/>
      <c r="D1000" s="23"/>
    </row>
    <row r="1001">
      <c r="A1001" s="9"/>
      <c r="D1001" s="2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15.63"/>
  </cols>
  <sheetData>
    <row r="1">
      <c r="A1" s="15">
        <v>0.0</v>
      </c>
      <c r="B1" s="2" t="s">
        <v>0</v>
      </c>
      <c r="C1" s="2" t="s">
        <v>3</v>
      </c>
      <c r="D1" s="29" t="s">
        <v>8</v>
      </c>
    </row>
    <row r="2">
      <c r="A2" s="5">
        <v>1.0</v>
      </c>
      <c r="B2" s="12">
        <v>69000.0</v>
      </c>
      <c r="C2" s="12">
        <v>377000.0</v>
      </c>
      <c r="D2" s="18">
        <v>0.0</v>
      </c>
    </row>
    <row r="3">
      <c r="A3" s="5">
        <v>2.0</v>
      </c>
      <c r="B3" s="12">
        <v>0.0</v>
      </c>
      <c r="C3" s="12">
        <v>337000.0</v>
      </c>
      <c r="D3" s="18">
        <v>0.0</v>
      </c>
    </row>
    <row r="4">
      <c r="A4" s="5">
        <v>3.0</v>
      </c>
      <c r="B4" s="12">
        <v>135500.0</v>
      </c>
      <c r="C4" s="12">
        <v>341000.0</v>
      </c>
      <c r="D4" s="18">
        <v>242063.0</v>
      </c>
      <c r="E4" s="30"/>
    </row>
    <row r="5">
      <c r="A5" s="5">
        <v>4.0</v>
      </c>
      <c r="B5" s="12">
        <v>176300.0</v>
      </c>
      <c r="C5" s="12">
        <v>412000.0</v>
      </c>
      <c r="D5" s="18">
        <v>0.0</v>
      </c>
    </row>
    <row r="6">
      <c r="A6" s="5">
        <v>5.0</v>
      </c>
      <c r="B6" s="12">
        <v>265300.0</v>
      </c>
      <c r="C6" s="12">
        <v>374000.0</v>
      </c>
      <c r="D6" s="18">
        <v>250000.0</v>
      </c>
    </row>
    <row r="7">
      <c r="A7" s="3">
        <v>6.0</v>
      </c>
      <c r="B7" s="8"/>
      <c r="C7" s="8"/>
      <c r="D7" s="31"/>
    </row>
    <row r="8">
      <c r="A8" s="3">
        <v>7.0</v>
      </c>
      <c r="B8" s="8"/>
      <c r="C8" s="8"/>
      <c r="D8" s="31"/>
    </row>
    <row r="9">
      <c r="A9" s="5">
        <v>8.0</v>
      </c>
      <c r="B9" s="12">
        <v>46100.0</v>
      </c>
      <c r="C9" s="12">
        <v>342000.0</v>
      </c>
      <c r="D9" s="18">
        <v>120000.0</v>
      </c>
    </row>
    <row r="10">
      <c r="A10" s="5">
        <v>9.0</v>
      </c>
      <c r="B10" s="12">
        <v>181300.0</v>
      </c>
      <c r="C10" s="12">
        <v>197000.0</v>
      </c>
      <c r="D10" s="18">
        <v>38000.0</v>
      </c>
    </row>
    <row r="11">
      <c r="A11" s="5">
        <v>10.0</v>
      </c>
      <c r="B11" s="12">
        <v>29300.0</v>
      </c>
      <c r="C11" s="12">
        <v>245000.0</v>
      </c>
      <c r="D11" s="18">
        <v>82000.0</v>
      </c>
    </row>
    <row r="12">
      <c r="A12" s="5">
        <v>11.0</v>
      </c>
      <c r="B12" s="12">
        <v>95800.0</v>
      </c>
      <c r="C12" s="12">
        <v>133000.0</v>
      </c>
      <c r="D12" s="18">
        <v>145900.0</v>
      </c>
    </row>
    <row r="13">
      <c r="A13" s="5">
        <v>12.0</v>
      </c>
      <c r="B13" s="12">
        <v>69800.0</v>
      </c>
      <c r="C13" s="12">
        <v>536000.0</v>
      </c>
      <c r="D13" s="18">
        <v>385639.0</v>
      </c>
    </row>
    <row r="14">
      <c r="A14" s="3">
        <v>13.0</v>
      </c>
      <c r="B14" s="8"/>
      <c r="C14" s="8"/>
      <c r="D14" s="31"/>
    </row>
    <row r="15">
      <c r="A15" s="5">
        <v>14.0</v>
      </c>
      <c r="B15" s="12">
        <v>178800.0</v>
      </c>
      <c r="C15" s="18">
        <v>117000.0</v>
      </c>
      <c r="D15" s="18">
        <v>157913.0</v>
      </c>
    </row>
    <row r="16">
      <c r="A16" s="5">
        <v>15.0</v>
      </c>
      <c r="B16" s="12">
        <v>142000.0</v>
      </c>
      <c r="C16" s="12">
        <v>262000.0</v>
      </c>
      <c r="D16" s="18">
        <v>94000.0</v>
      </c>
    </row>
    <row r="17">
      <c r="A17" s="5">
        <v>16.0</v>
      </c>
      <c r="B17" s="19">
        <v>209100.0</v>
      </c>
      <c r="C17" s="12">
        <v>348000.0</v>
      </c>
      <c r="D17" s="18">
        <v>99900.0</v>
      </c>
    </row>
    <row r="18">
      <c r="A18" s="5">
        <v>17.0</v>
      </c>
      <c r="B18" s="12">
        <v>31500.0</v>
      </c>
      <c r="C18" s="12">
        <v>312000.0</v>
      </c>
      <c r="D18" s="32"/>
    </row>
    <row r="19">
      <c r="A19" s="5">
        <v>18.0</v>
      </c>
      <c r="B19" s="16">
        <v>198000.0</v>
      </c>
      <c r="C19" s="12">
        <v>342000.0</v>
      </c>
      <c r="D19" s="18">
        <v>117000.0</v>
      </c>
    </row>
    <row r="20">
      <c r="A20" s="5">
        <v>19.0</v>
      </c>
      <c r="B20" s="12">
        <v>0.0</v>
      </c>
      <c r="C20" s="12">
        <v>168000.0</v>
      </c>
      <c r="D20" s="18">
        <v>60000.0</v>
      </c>
    </row>
    <row r="21">
      <c r="A21" s="3">
        <v>20.0</v>
      </c>
      <c r="B21" s="8"/>
      <c r="C21" s="8"/>
      <c r="D21" s="31"/>
    </row>
    <row r="22">
      <c r="A22" s="3">
        <v>21.0</v>
      </c>
      <c r="B22" s="8"/>
      <c r="C22" s="8"/>
      <c r="D22" s="31"/>
    </row>
    <row r="23">
      <c r="A23" s="5">
        <v>22.0</v>
      </c>
      <c r="B23" s="12">
        <v>57000.0</v>
      </c>
      <c r="C23" s="12">
        <v>235000.0</v>
      </c>
      <c r="D23" s="18">
        <v>39000.0</v>
      </c>
    </row>
    <row r="24">
      <c r="A24" s="5">
        <v>23.0</v>
      </c>
      <c r="B24" s="12">
        <v>61400.0</v>
      </c>
      <c r="C24" s="12">
        <v>215000.0</v>
      </c>
      <c r="D24" s="18">
        <v>285369.0</v>
      </c>
    </row>
    <row r="25">
      <c r="A25" s="5">
        <v>24.0</v>
      </c>
      <c r="B25" s="12">
        <v>44000.0</v>
      </c>
      <c r="C25" s="12">
        <v>318000.0</v>
      </c>
      <c r="D25" s="18">
        <v>0.0</v>
      </c>
    </row>
    <row r="26">
      <c r="A26" s="5">
        <v>25.0</v>
      </c>
      <c r="B26" s="12">
        <v>232500.0</v>
      </c>
      <c r="C26" s="12">
        <v>316000.0</v>
      </c>
      <c r="D26" s="18">
        <v>294200.0</v>
      </c>
    </row>
    <row r="27">
      <c r="A27" s="5">
        <v>26.0</v>
      </c>
      <c r="B27" s="12">
        <v>26000.0</v>
      </c>
      <c r="C27" s="12">
        <v>342000.0</v>
      </c>
      <c r="D27" s="18"/>
    </row>
    <row r="28">
      <c r="A28" s="3">
        <v>27.0</v>
      </c>
      <c r="B28" s="8"/>
      <c r="C28" s="8"/>
      <c r="D28" s="33"/>
    </row>
    <row r="29">
      <c r="A29" s="5">
        <v>28.0</v>
      </c>
      <c r="B29" s="12">
        <v>33000.0</v>
      </c>
      <c r="C29" s="12">
        <v>488000.0</v>
      </c>
      <c r="D29" s="18"/>
    </row>
    <row r="30">
      <c r="A30" s="5">
        <v>29.0</v>
      </c>
      <c r="B30" s="12">
        <v>39700.0</v>
      </c>
      <c r="C30" s="12">
        <v>273000.0</v>
      </c>
      <c r="D30" s="18">
        <v>276000.0</v>
      </c>
    </row>
    <row r="31">
      <c r="A31" s="5">
        <v>30.0</v>
      </c>
      <c r="B31" s="12">
        <v>111700.0</v>
      </c>
      <c r="C31" s="12">
        <v>393000.0</v>
      </c>
      <c r="D31" s="18">
        <v>130834.0</v>
      </c>
    </row>
    <row r="32">
      <c r="A32" s="5">
        <v>31.0</v>
      </c>
      <c r="B32" s="12">
        <v>134500.0</v>
      </c>
      <c r="C32" s="12">
        <v>545000.0</v>
      </c>
      <c r="D32" s="34">
        <v>37000.0</v>
      </c>
    </row>
    <row r="33">
      <c r="A33" s="5" t="s">
        <v>6</v>
      </c>
      <c r="B33" s="6">
        <f t="shared" ref="B33:C33" si="1">SUM(B2:B32)</f>
        <v>2567600</v>
      </c>
      <c r="C33" s="6">
        <f t="shared" si="1"/>
        <v>7968000</v>
      </c>
      <c r="D33" s="35"/>
    </row>
    <row r="34">
      <c r="A34" s="20"/>
      <c r="B34" s="21"/>
      <c r="C34" s="21"/>
      <c r="D34" s="36"/>
    </row>
    <row r="35">
      <c r="A35" s="9"/>
      <c r="D35" s="36"/>
    </row>
    <row r="36">
      <c r="A36" s="9"/>
      <c r="D36" s="36"/>
    </row>
    <row r="37">
      <c r="A37" s="9"/>
      <c r="D37" s="36"/>
    </row>
    <row r="38">
      <c r="A38" s="9"/>
      <c r="D38" s="36"/>
    </row>
    <row r="39">
      <c r="A39" s="9"/>
      <c r="D39" s="36"/>
    </row>
    <row r="40">
      <c r="A40" s="9"/>
      <c r="D40" s="36"/>
    </row>
    <row r="41">
      <c r="A41" s="9"/>
      <c r="D41" s="36"/>
    </row>
    <row r="42">
      <c r="A42" s="9"/>
      <c r="D42" s="36"/>
    </row>
    <row r="43">
      <c r="A43" s="9"/>
      <c r="D43" s="36"/>
    </row>
    <row r="44">
      <c r="A44" s="9"/>
      <c r="D44" s="36"/>
    </row>
    <row r="45">
      <c r="A45" s="9"/>
      <c r="D45" s="36"/>
    </row>
    <row r="46">
      <c r="A46" s="9"/>
      <c r="D46" s="36"/>
    </row>
    <row r="47">
      <c r="A47" s="9"/>
      <c r="D47" s="36"/>
    </row>
    <row r="48">
      <c r="A48" s="9"/>
      <c r="D48" s="36"/>
    </row>
    <row r="49">
      <c r="A49" s="9"/>
      <c r="D49" s="36"/>
    </row>
    <row r="50">
      <c r="A50" s="9"/>
      <c r="D50" s="36"/>
    </row>
    <row r="51">
      <c r="A51" s="9"/>
      <c r="D51" s="36"/>
    </row>
    <row r="52">
      <c r="A52" s="9"/>
      <c r="D52" s="36"/>
    </row>
    <row r="53">
      <c r="A53" s="9"/>
      <c r="D53" s="36"/>
    </row>
    <row r="54">
      <c r="A54" s="9"/>
      <c r="D54" s="36"/>
    </row>
    <row r="55">
      <c r="A55" s="9"/>
      <c r="D55" s="36"/>
    </row>
    <row r="56">
      <c r="A56" s="9"/>
      <c r="D56" s="36"/>
    </row>
    <row r="57">
      <c r="A57" s="9"/>
      <c r="D57" s="36"/>
    </row>
    <row r="58">
      <c r="A58" s="9"/>
      <c r="D58" s="36"/>
    </row>
    <row r="59">
      <c r="A59" s="9"/>
      <c r="D59" s="36"/>
    </row>
    <row r="60">
      <c r="A60" s="9"/>
      <c r="D60" s="36"/>
    </row>
    <row r="61">
      <c r="A61" s="9"/>
      <c r="D61" s="36"/>
    </row>
    <row r="62">
      <c r="A62" s="9"/>
      <c r="D62" s="36"/>
    </row>
    <row r="63">
      <c r="A63" s="9"/>
      <c r="D63" s="36"/>
    </row>
    <row r="64">
      <c r="A64" s="9"/>
      <c r="D64" s="36"/>
    </row>
    <row r="65">
      <c r="A65" s="9"/>
      <c r="D65" s="36"/>
    </row>
    <row r="66">
      <c r="A66" s="9"/>
      <c r="D66" s="36"/>
    </row>
    <row r="67">
      <c r="A67" s="9"/>
      <c r="D67" s="36"/>
    </row>
    <row r="68">
      <c r="A68" s="9"/>
      <c r="D68" s="36"/>
    </row>
    <row r="69">
      <c r="A69" s="9"/>
      <c r="D69" s="36"/>
    </row>
    <row r="70">
      <c r="A70" s="9"/>
      <c r="D70" s="36"/>
    </row>
    <row r="71">
      <c r="A71" s="9"/>
      <c r="D71" s="36"/>
    </row>
    <row r="72">
      <c r="A72" s="9"/>
      <c r="D72" s="36"/>
    </row>
    <row r="73">
      <c r="A73" s="9"/>
      <c r="D73" s="36"/>
    </row>
    <row r="74">
      <c r="A74" s="9"/>
      <c r="D74" s="36"/>
    </row>
    <row r="75">
      <c r="A75" s="9"/>
      <c r="D75" s="36"/>
    </row>
    <row r="76">
      <c r="A76" s="9"/>
      <c r="D76" s="36"/>
    </row>
    <row r="77">
      <c r="A77" s="9"/>
      <c r="D77" s="36"/>
    </row>
    <row r="78">
      <c r="A78" s="9"/>
      <c r="D78" s="36"/>
    </row>
    <row r="79">
      <c r="A79" s="9"/>
      <c r="D79" s="36"/>
    </row>
    <row r="80">
      <c r="A80" s="9"/>
      <c r="D80" s="36"/>
    </row>
    <row r="81">
      <c r="A81" s="9"/>
      <c r="D81" s="36"/>
    </row>
    <row r="82">
      <c r="A82" s="9"/>
      <c r="D82" s="36"/>
    </row>
    <row r="83">
      <c r="A83" s="9"/>
      <c r="D83" s="36"/>
    </row>
    <row r="84">
      <c r="A84" s="9"/>
      <c r="D84" s="36"/>
    </row>
    <row r="85">
      <c r="A85" s="9"/>
      <c r="D85" s="36"/>
    </row>
    <row r="86">
      <c r="A86" s="9"/>
      <c r="D86" s="36"/>
    </row>
    <row r="87">
      <c r="A87" s="9"/>
      <c r="D87" s="36"/>
    </row>
    <row r="88">
      <c r="A88" s="9"/>
      <c r="D88" s="36"/>
    </row>
    <row r="89">
      <c r="A89" s="9"/>
      <c r="D89" s="36"/>
    </row>
    <row r="90">
      <c r="A90" s="9"/>
      <c r="D90" s="36"/>
    </row>
    <row r="91">
      <c r="A91" s="9"/>
      <c r="D91" s="36"/>
    </row>
    <row r="92">
      <c r="A92" s="9"/>
      <c r="D92" s="36"/>
    </row>
    <row r="93">
      <c r="A93" s="9"/>
      <c r="D93" s="36"/>
    </row>
    <row r="94">
      <c r="A94" s="9"/>
      <c r="D94" s="36"/>
    </row>
    <row r="95">
      <c r="A95" s="9"/>
      <c r="D95" s="36"/>
    </row>
    <row r="96">
      <c r="A96" s="9"/>
      <c r="D96" s="36"/>
    </row>
    <row r="97">
      <c r="A97" s="9"/>
      <c r="D97" s="36"/>
    </row>
    <row r="98">
      <c r="A98" s="9"/>
      <c r="D98" s="36"/>
    </row>
    <row r="99">
      <c r="A99" s="9"/>
      <c r="D99" s="36"/>
    </row>
    <row r="100">
      <c r="A100" s="9"/>
      <c r="D100" s="36"/>
    </row>
    <row r="101">
      <c r="A101" s="9"/>
      <c r="D101" s="36"/>
    </row>
    <row r="102">
      <c r="A102" s="9"/>
      <c r="D102" s="36"/>
    </row>
    <row r="103">
      <c r="A103" s="9"/>
      <c r="D103" s="36"/>
    </row>
    <row r="104">
      <c r="A104" s="9"/>
      <c r="D104" s="36"/>
    </row>
    <row r="105">
      <c r="A105" s="9"/>
      <c r="D105" s="36"/>
    </row>
    <row r="106">
      <c r="A106" s="9"/>
      <c r="D106" s="36"/>
    </row>
    <row r="107">
      <c r="A107" s="9"/>
      <c r="D107" s="36"/>
    </row>
    <row r="108">
      <c r="A108" s="9"/>
      <c r="D108" s="36"/>
    </row>
    <row r="109">
      <c r="A109" s="9"/>
      <c r="D109" s="36"/>
    </row>
    <row r="110">
      <c r="A110" s="9"/>
      <c r="D110" s="36"/>
    </row>
    <row r="111">
      <c r="A111" s="9"/>
      <c r="D111" s="36"/>
    </row>
    <row r="112">
      <c r="A112" s="9"/>
      <c r="D112" s="36"/>
    </row>
    <row r="113">
      <c r="A113" s="9"/>
      <c r="D113" s="36"/>
    </row>
    <row r="114">
      <c r="A114" s="9"/>
      <c r="D114" s="36"/>
    </row>
    <row r="115">
      <c r="A115" s="9"/>
      <c r="D115" s="36"/>
    </row>
    <row r="116">
      <c r="A116" s="9"/>
      <c r="D116" s="36"/>
    </row>
    <row r="117">
      <c r="A117" s="9"/>
      <c r="D117" s="36"/>
    </row>
    <row r="118">
      <c r="A118" s="9"/>
      <c r="D118" s="36"/>
    </row>
    <row r="119">
      <c r="A119" s="9"/>
      <c r="D119" s="36"/>
    </row>
    <row r="120">
      <c r="A120" s="9"/>
      <c r="D120" s="36"/>
    </row>
    <row r="121">
      <c r="A121" s="9"/>
      <c r="D121" s="36"/>
    </row>
    <row r="122">
      <c r="A122" s="9"/>
      <c r="D122" s="36"/>
    </row>
    <row r="123">
      <c r="A123" s="9"/>
      <c r="D123" s="36"/>
    </row>
    <row r="124">
      <c r="A124" s="9"/>
      <c r="D124" s="36"/>
    </row>
    <row r="125">
      <c r="A125" s="9"/>
      <c r="D125" s="36"/>
    </row>
    <row r="126">
      <c r="A126" s="9"/>
      <c r="D126" s="36"/>
    </row>
    <row r="127">
      <c r="A127" s="9"/>
      <c r="D127" s="36"/>
    </row>
    <row r="128">
      <c r="A128" s="9"/>
      <c r="D128" s="36"/>
    </row>
    <row r="129">
      <c r="A129" s="9"/>
      <c r="D129" s="36"/>
    </row>
    <row r="130">
      <c r="A130" s="9"/>
      <c r="D130" s="36"/>
    </row>
    <row r="131">
      <c r="A131" s="9"/>
      <c r="D131" s="36"/>
    </row>
    <row r="132">
      <c r="A132" s="9"/>
      <c r="D132" s="36"/>
    </row>
    <row r="133">
      <c r="A133" s="9"/>
      <c r="D133" s="36"/>
    </row>
    <row r="134">
      <c r="A134" s="9"/>
      <c r="D134" s="36"/>
    </row>
    <row r="135">
      <c r="A135" s="9"/>
      <c r="D135" s="36"/>
    </row>
    <row r="136">
      <c r="A136" s="9"/>
      <c r="D136" s="36"/>
    </row>
    <row r="137">
      <c r="A137" s="9"/>
      <c r="D137" s="36"/>
    </row>
    <row r="138">
      <c r="A138" s="9"/>
      <c r="D138" s="36"/>
    </row>
    <row r="139">
      <c r="A139" s="9"/>
      <c r="D139" s="36"/>
    </row>
    <row r="140">
      <c r="A140" s="9"/>
      <c r="D140" s="36"/>
    </row>
    <row r="141">
      <c r="A141" s="9"/>
      <c r="D141" s="36"/>
    </row>
    <row r="142">
      <c r="A142" s="9"/>
      <c r="D142" s="36"/>
    </row>
    <row r="143">
      <c r="A143" s="9"/>
      <c r="D143" s="36"/>
    </row>
    <row r="144">
      <c r="A144" s="9"/>
      <c r="D144" s="36"/>
    </row>
    <row r="145">
      <c r="A145" s="9"/>
      <c r="D145" s="36"/>
    </row>
    <row r="146">
      <c r="A146" s="9"/>
      <c r="D146" s="36"/>
    </row>
    <row r="147">
      <c r="A147" s="9"/>
      <c r="D147" s="36"/>
    </row>
    <row r="148">
      <c r="A148" s="9"/>
      <c r="D148" s="36"/>
    </row>
    <row r="149">
      <c r="A149" s="9"/>
      <c r="D149" s="36"/>
    </row>
    <row r="150">
      <c r="A150" s="9"/>
      <c r="D150" s="36"/>
    </row>
    <row r="151">
      <c r="A151" s="9"/>
      <c r="D151" s="36"/>
    </row>
    <row r="152">
      <c r="A152" s="9"/>
      <c r="D152" s="36"/>
    </row>
    <row r="153">
      <c r="A153" s="9"/>
      <c r="D153" s="36"/>
    </row>
    <row r="154">
      <c r="A154" s="9"/>
      <c r="D154" s="36"/>
    </row>
    <row r="155">
      <c r="A155" s="9"/>
      <c r="D155" s="36"/>
    </row>
    <row r="156">
      <c r="A156" s="9"/>
      <c r="D156" s="36"/>
    </row>
    <row r="157">
      <c r="A157" s="9"/>
      <c r="D157" s="36"/>
    </row>
    <row r="158">
      <c r="A158" s="9"/>
      <c r="D158" s="36"/>
    </row>
    <row r="159">
      <c r="A159" s="9"/>
      <c r="D159" s="36"/>
    </row>
    <row r="160">
      <c r="A160" s="9"/>
      <c r="D160" s="36"/>
    </row>
    <row r="161">
      <c r="A161" s="9"/>
      <c r="D161" s="36"/>
    </row>
    <row r="162">
      <c r="A162" s="9"/>
      <c r="D162" s="36"/>
    </row>
    <row r="163">
      <c r="A163" s="9"/>
      <c r="D163" s="36"/>
    </row>
    <row r="164">
      <c r="A164" s="9"/>
      <c r="D164" s="36"/>
    </row>
    <row r="165">
      <c r="A165" s="9"/>
      <c r="D165" s="36"/>
    </row>
    <row r="166">
      <c r="A166" s="9"/>
      <c r="D166" s="36"/>
    </row>
    <row r="167">
      <c r="A167" s="9"/>
      <c r="D167" s="36"/>
    </row>
    <row r="168">
      <c r="A168" s="9"/>
      <c r="D168" s="36"/>
    </row>
    <row r="169">
      <c r="A169" s="9"/>
      <c r="D169" s="36"/>
    </row>
    <row r="170">
      <c r="A170" s="9"/>
      <c r="D170" s="36"/>
    </row>
    <row r="171">
      <c r="A171" s="9"/>
      <c r="D171" s="36"/>
    </row>
    <row r="172">
      <c r="A172" s="9"/>
      <c r="D172" s="36"/>
    </row>
    <row r="173">
      <c r="A173" s="9"/>
      <c r="D173" s="36"/>
    </row>
    <row r="174">
      <c r="A174" s="9"/>
      <c r="D174" s="36"/>
    </row>
    <row r="175">
      <c r="A175" s="9"/>
      <c r="D175" s="36"/>
    </row>
    <row r="176">
      <c r="A176" s="9"/>
      <c r="D176" s="36"/>
    </row>
    <row r="177">
      <c r="A177" s="9"/>
      <c r="D177" s="36"/>
    </row>
    <row r="178">
      <c r="A178" s="9"/>
      <c r="D178" s="36"/>
    </row>
    <row r="179">
      <c r="A179" s="9"/>
      <c r="D179" s="36"/>
    </row>
    <row r="180">
      <c r="A180" s="9"/>
      <c r="D180" s="36"/>
    </row>
    <row r="181">
      <c r="A181" s="9"/>
      <c r="D181" s="36"/>
    </row>
    <row r="182">
      <c r="A182" s="9"/>
      <c r="D182" s="36"/>
    </row>
    <row r="183">
      <c r="A183" s="9"/>
      <c r="D183" s="36"/>
    </row>
    <row r="184">
      <c r="A184" s="9"/>
      <c r="D184" s="36"/>
    </row>
    <row r="185">
      <c r="A185" s="9"/>
      <c r="D185" s="36"/>
    </row>
    <row r="186">
      <c r="A186" s="9"/>
      <c r="D186" s="36"/>
    </row>
    <row r="187">
      <c r="A187" s="9"/>
      <c r="D187" s="36"/>
    </row>
    <row r="188">
      <c r="A188" s="9"/>
      <c r="D188" s="36"/>
    </row>
    <row r="189">
      <c r="A189" s="9"/>
      <c r="D189" s="36"/>
    </row>
    <row r="190">
      <c r="A190" s="9"/>
      <c r="D190" s="36"/>
    </row>
    <row r="191">
      <c r="A191" s="9"/>
      <c r="D191" s="36"/>
    </row>
    <row r="192">
      <c r="A192" s="9"/>
      <c r="D192" s="36"/>
    </row>
    <row r="193">
      <c r="A193" s="9"/>
      <c r="D193" s="36"/>
    </row>
    <row r="194">
      <c r="A194" s="9"/>
      <c r="D194" s="36"/>
    </row>
    <row r="195">
      <c r="A195" s="9"/>
      <c r="D195" s="36"/>
    </row>
    <row r="196">
      <c r="A196" s="9"/>
      <c r="D196" s="36"/>
    </row>
    <row r="197">
      <c r="A197" s="9"/>
      <c r="D197" s="36"/>
    </row>
    <row r="198">
      <c r="A198" s="9"/>
      <c r="D198" s="36"/>
    </row>
    <row r="199">
      <c r="A199" s="9"/>
      <c r="D199" s="36"/>
    </row>
    <row r="200">
      <c r="A200" s="9"/>
      <c r="D200" s="36"/>
    </row>
    <row r="201">
      <c r="A201" s="9"/>
      <c r="D201" s="36"/>
    </row>
    <row r="202">
      <c r="A202" s="9"/>
      <c r="D202" s="36"/>
    </row>
    <row r="203">
      <c r="A203" s="9"/>
      <c r="D203" s="36"/>
    </row>
    <row r="204">
      <c r="A204" s="9"/>
      <c r="D204" s="36"/>
    </row>
    <row r="205">
      <c r="A205" s="9"/>
      <c r="D205" s="36"/>
    </row>
    <row r="206">
      <c r="A206" s="9"/>
      <c r="D206" s="36"/>
    </row>
    <row r="207">
      <c r="A207" s="9"/>
      <c r="D207" s="36"/>
    </row>
    <row r="208">
      <c r="A208" s="9"/>
      <c r="D208" s="36"/>
    </row>
    <row r="209">
      <c r="A209" s="9"/>
      <c r="D209" s="36"/>
    </row>
    <row r="210">
      <c r="A210" s="9"/>
      <c r="D210" s="36"/>
    </row>
    <row r="211">
      <c r="A211" s="9"/>
      <c r="D211" s="36"/>
    </row>
    <row r="212">
      <c r="A212" s="9"/>
      <c r="D212" s="36"/>
    </row>
    <row r="213">
      <c r="A213" s="9"/>
      <c r="D213" s="36"/>
    </row>
    <row r="214">
      <c r="A214" s="9"/>
      <c r="D214" s="36"/>
    </row>
    <row r="215">
      <c r="A215" s="9"/>
      <c r="D215" s="36"/>
    </row>
    <row r="216">
      <c r="A216" s="9"/>
      <c r="D216" s="36"/>
    </row>
    <row r="217">
      <c r="A217" s="9"/>
      <c r="D217" s="36"/>
    </row>
    <row r="218">
      <c r="A218" s="9"/>
      <c r="D218" s="36"/>
    </row>
    <row r="219">
      <c r="A219" s="9"/>
      <c r="D219" s="36"/>
    </row>
    <row r="220">
      <c r="A220" s="9"/>
      <c r="D220" s="36"/>
    </row>
    <row r="221">
      <c r="A221" s="9"/>
      <c r="D221" s="36"/>
    </row>
    <row r="222">
      <c r="A222" s="9"/>
      <c r="D222" s="36"/>
    </row>
    <row r="223">
      <c r="A223" s="9"/>
      <c r="D223" s="36"/>
    </row>
    <row r="224">
      <c r="A224" s="9"/>
      <c r="D224" s="36"/>
    </row>
    <row r="225">
      <c r="A225" s="9"/>
      <c r="D225" s="36"/>
    </row>
    <row r="226">
      <c r="A226" s="9"/>
      <c r="D226" s="36"/>
    </row>
    <row r="227">
      <c r="A227" s="9"/>
      <c r="D227" s="36"/>
    </row>
    <row r="228">
      <c r="A228" s="9"/>
      <c r="D228" s="36"/>
    </row>
    <row r="229">
      <c r="A229" s="9"/>
      <c r="D229" s="36"/>
    </row>
    <row r="230">
      <c r="A230" s="9"/>
      <c r="D230" s="36"/>
    </row>
    <row r="231">
      <c r="A231" s="9"/>
      <c r="D231" s="36"/>
    </row>
    <row r="232">
      <c r="A232" s="9"/>
      <c r="D232" s="36"/>
    </row>
    <row r="233">
      <c r="A233" s="9"/>
      <c r="D233" s="36"/>
    </row>
    <row r="234">
      <c r="A234" s="9"/>
      <c r="D234" s="36"/>
    </row>
    <row r="235">
      <c r="A235" s="9"/>
      <c r="D235" s="36"/>
    </row>
    <row r="236">
      <c r="A236" s="9"/>
      <c r="D236" s="36"/>
    </row>
    <row r="237">
      <c r="A237" s="9"/>
      <c r="D237" s="36"/>
    </row>
    <row r="238">
      <c r="A238" s="9"/>
      <c r="D238" s="36"/>
    </row>
    <row r="239">
      <c r="A239" s="9"/>
      <c r="D239" s="36"/>
    </row>
    <row r="240">
      <c r="A240" s="9"/>
      <c r="D240" s="36"/>
    </row>
    <row r="241">
      <c r="A241" s="9"/>
      <c r="D241" s="36"/>
    </row>
    <row r="242">
      <c r="A242" s="9"/>
      <c r="D242" s="36"/>
    </row>
    <row r="243">
      <c r="A243" s="9"/>
      <c r="D243" s="36"/>
    </row>
    <row r="244">
      <c r="A244" s="9"/>
      <c r="D244" s="36"/>
    </row>
    <row r="245">
      <c r="A245" s="9"/>
      <c r="D245" s="36"/>
    </row>
    <row r="246">
      <c r="A246" s="9"/>
      <c r="D246" s="36"/>
    </row>
    <row r="247">
      <c r="A247" s="9"/>
      <c r="D247" s="36"/>
    </row>
    <row r="248">
      <c r="A248" s="9"/>
      <c r="D248" s="36"/>
    </row>
    <row r="249">
      <c r="A249" s="9"/>
      <c r="D249" s="36"/>
    </row>
    <row r="250">
      <c r="A250" s="9"/>
      <c r="D250" s="36"/>
    </row>
    <row r="251">
      <c r="A251" s="9"/>
      <c r="D251" s="36"/>
    </row>
    <row r="252">
      <c r="A252" s="9"/>
      <c r="D252" s="36"/>
    </row>
    <row r="253">
      <c r="A253" s="9"/>
      <c r="D253" s="36"/>
    </row>
    <row r="254">
      <c r="A254" s="9"/>
      <c r="D254" s="36"/>
    </row>
    <row r="255">
      <c r="A255" s="9"/>
      <c r="D255" s="36"/>
    </row>
    <row r="256">
      <c r="A256" s="9"/>
      <c r="D256" s="36"/>
    </row>
    <row r="257">
      <c r="A257" s="9"/>
      <c r="D257" s="36"/>
    </row>
    <row r="258">
      <c r="A258" s="9"/>
      <c r="D258" s="36"/>
    </row>
    <row r="259">
      <c r="A259" s="9"/>
      <c r="D259" s="36"/>
    </row>
    <row r="260">
      <c r="A260" s="9"/>
      <c r="D260" s="36"/>
    </row>
    <row r="261">
      <c r="A261" s="9"/>
      <c r="D261" s="36"/>
    </row>
    <row r="262">
      <c r="A262" s="9"/>
      <c r="D262" s="36"/>
    </row>
    <row r="263">
      <c r="A263" s="9"/>
      <c r="D263" s="36"/>
    </row>
    <row r="264">
      <c r="A264" s="9"/>
      <c r="D264" s="36"/>
    </row>
    <row r="265">
      <c r="A265" s="9"/>
      <c r="D265" s="36"/>
    </row>
    <row r="266">
      <c r="A266" s="9"/>
      <c r="D266" s="36"/>
    </row>
    <row r="267">
      <c r="A267" s="9"/>
      <c r="D267" s="36"/>
    </row>
    <row r="268">
      <c r="A268" s="9"/>
      <c r="D268" s="36"/>
    </row>
    <row r="269">
      <c r="A269" s="9"/>
      <c r="D269" s="36"/>
    </row>
    <row r="270">
      <c r="A270" s="9"/>
      <c r="D270" s="36"/>
    </row>
    <row r="271">
      <c r="A271" s="9"/>
      <c r="D271" s="36"/>
    </row>
    <row r="272">
      <c r="A272" s="9"/>
      <c r="D272" s="36"/>
    </row>
    <row r="273">
      <c r="A273" s="9"/>
      <c r="D273" s="36"/>
    </row>
    <row r="274">
      <c r="A274" s="9"/>
      <c r="D274" s="36"/>
    </row>
    <row r="275">
      <c r="A275" s="9"/>
      <c r="D275" s="36"/>
    </row>
    <row r="276">
      <c r="A276" s="9"/>
      <c r="D276" s="36"/>
    </row>
    <row r="277">
      <c r="A277" s="9"/>
      <c r="D277" s="36"/>
    </row>
    <row r="278">
      <c r="A278" s="9"/>
      <c r="D278" s="36"/>
    </row>
    <row r="279">
      <c r="A279" s="9"/>
      <c r="D279" s="36"/>
    </row>
    <row r="280">
      <c r="A280" s="9"/>
      <c r="D280" s="36"/>
    </row>
    <row r="281">
      <c r="A281" s="9"/>
      <c r="D281" s="36"/>
    </row>
    <row r="282">
      <c r="A282" s="9"/>
      <c r="D282" s="36"/>
    </row>
    <row r="283">
      <c r="A283" s="9"/>
      <c r="D283" s="36"/>
    </row>
    <row r="284">
      <c r="A284" s="9"/>
      <c r="D284" s="36"/>
    </row>
    <row r="285">
      <c r="A285" s="9"/>
      <c r="D285" s="36"/>
    </row>
    <row r="286">
      <c r="A286" s="9"/>
      <c r="D286" s="36"/>
    </row>
    <row r="287">
      <c r="A287" s="9"/>
      <c r="D287" s="36"/>
    </row>
    <row r="288">
      <c r="A288" s="9"/>
      <c r="D288" s="36"/>
    </row>
    <row r="289">
      <c r="A289" s="9"/>
      <c r="D289" s="36"/>
    </row>
    <row r="290">
      <c r="A290" s="9"/>
      <c r="D290" s="36"/>
    </row>
    <row r="291">
      <c r="A291" s="9"/>
      <c r="D291" s="36"/>
    </row>
    <row r="292">
      <c r="A292" s="9"/>
      <c r="D292" s="36"/>
    </row>
    <row r="293">
      <c r="A293" s="9"/>
      <c r="D293" s="36"/>
    </row>
    <row r="294">
      <c r="A294" s="9"/>
      <c r="D294" s="36"/>
    </row>
    <row r="295">
      <c r="A295" s="9"/>
      <c r="D295" s="36"/>
    </row>
    <row r="296">
      <c r="A296" s="9"/>
      <c r="D296" s="36"/>
    </row>
    <row r="297">
      <c r="A297" s="9"/>
      <c r="D297" s="36"/>
    </row>
    <row r="298">
      <c r="A298" s="9"/>
      <c r="D298" s="36"/>
    </row>
    <row r="299">
      <c r="A299" s="9"/>
      <c r="D299" s="36"/>
    </row>
    <row r="300">
      <c r="A300" s="9"/>
      <c r="D300" s="36"/>
    </row>
    <row r="301">
      <c r="A301" s="9"/>
      <c r="D301" s="36"/>
    </row>
    <row r="302">
      <c r="A302" s="9"/>
      <c r="D302" s="36"/>
    </row>
    <row r="303">
      <c r="A303" s="9"/>
      <c r="D303" s="36"/>
    </row>
    <row r="304">
      <c r="A304" s="9"/>
      <c r="D304" s="36"/>
    </row>
    <row r="305">
      <c r="A305" s="9"/>
      <c r="D305" s="36"/>
    </row>
    <row r="306">
      <c r="A306" s="9"/>
      <c r="D306" s="36"/>
    </row>
    <row r="307">
      <c r="A307" s="9"/>
      <c r="D307" s="36"/>
    </row>
    <row r="308">
      <c r="A308" s="9"/>
      <c r="D308" s="36"/>
    </row>
    <row r="309">
      <c r="A309" s="9"/>
      <c r="D309" s="36"/>
    </row>
    <row r="310">
      <c r="A310" s="9"/>
      <c r="D310" s="36"/>
    </row>
    <row r="311">
      <c r="A311" s="9"/>
      <c r="D311" s="36"/>
    </row>
    <row r="312">
      <c r="A312" s="9"/>
      <c r="D312" s="36"/>
    </row>
    <row r="313">
      <c r="A313" s="9"/>
      <c r="D313" s="36"/>
    </row>
    <row r="314">
      <c r="A314" s="9"/>
      <c r="D314" s="36"/>
    </row>
    <row r="315">
      <c r="A315" s="9"/>
      <c r="D315" s="36"/>
    </row>
    <row r="316">
      <c r="A316" s="9"/>
      <c r="D316" s="36"/>
    </row>
    <row r="317">
      <c r="A317" s="9"/>
      <c r="D317" s="36"/>
    </row>
    <row r="318">
      <c r="A318" s="9"/>
      <c r="D318" s="36"/>
    </row>
    <row r="319">
      <c r="A319" s="9"/>
      <c r="D319" s="36"/>
    </row>
    <row r="320">
      <c r="A320" s="9"/>
      <c r="D320" s="36"/>
    </row>
    <row r="321">
      <c r="A321" s="9"/>
      <c r="D321" s="36"/>
    </row>
    <row r="322">
      <c r="A322" s="9"/>
      <c r="D322" s="36"/>
    </row>
    <row r="323">
      <c r="A323" s="9"/>
      <c r="D323" s="36"/>
    </row>
    <row r="324">
      <c r="A324" s="9"/>
      <c r="D324" s="36"/>
    </row>
    <row r="325">
      <c r="A325" s="9"/>
      <c r="D325" s="36"/>
    </row>
    <row r="326">
      <c r="A326" s="9"/>
      <c r="D326" s="36"/>
    </row>
    <row r="327">
      <c r="A327" s="9"/>
      <c r="D327" s="36"/>
    </row>
    <row r="328">
      <c r="A328" s="9"/>
      <c r="D328" s="36"/>
    </row>
    <row r="329">
      <c r="A329" s="9"/>
      <c r="D329" s="36"/>
    </row>
    <row r="330">
      <c r="A330" s="9"/>
      <c r="D330" s="36"/>
    </row>
    <row r="331">
      <c r="A331" s="9"/>
      <c r="D331" s="36"/>
    </row>
    <row r="332">
      <c r="A332" s="9"/>
      <c r="D332" s="36"/>
    </row>
    <row r="333">
      <c r="A333" s="9"/>
      <c r="D333" s="36"/>
    </row>
    <row r="334">
      <c r="A334" s="9"/>
      <c r="D334" s="36"/>
    </row>
    <row r="335">
      <c r="A335" s="9"/>
      <c r="D335" s="36"/>
    </row>
    <row r="336">
      <c r="A336" s="9"/>
      <c r="D336" s="36"/>
    </row>
    <row r="337">
      <c r="A337" s="9"/>
      <c r="D337" s="36"/>
    </row>
    <row r="338">
      <c r="A338" s="9"/>
      <c r="D338" s="36"/>
    </row>
    <row r="339">
      <c r="A339" s="9"/>
      <c r="D339" s="36"/>
    </row>
    <row r="340">
      <c r="A340" s="9"/>
      <c r="D340" s="36"/>
    </row>
    <row r="341">
      <c r="A341" s="9"/>
      <c r="D341" s="36"/>
    </row>
    <row r="342">
      <c r="A342" s="9"/>
      <c r="D342" s="36"/>
    </row>
    <row r="343">
      <c r="A343" s="9"/>
      <c r="D343" s="36"/>
    </row>
    <row r="344">
      <c r="A344" s="9"/>
      <c r="D344" s="36"/>
    </row>
    <row r="345">
      <c r="A345" s="9"/>
      <c r="D345" s="36"/>
    </row>
    <row r="346">
      <c r="A346" s="9"/>
      <c r="D346" s="36"/>
    </row>
    <row r="347">
      <c r="A347" s="9"/>
      <c r="D347" s="36"/>
    </row>
    <row r="348">
      <c r="A348" s="9"/>
      <c r="D348" s="36"/>
    </row>
    <row r="349">
      <c r="A349" s="9"/>
      <c r="D349" s="36"/>
    </row>
    <row r="350">
      <c r="A350" s="9"/>
      <c r="D350" s="36"/>
    </row>
    <row r="351">
      <c r="A351" s="9"/>
      <c r="D351" s="36"/>
    </row>
    <row r="352">
      <c r="A352" s="9"/>
      <c r="D352" s="36"/>
    </row>
    <row r="353">
      <c r="A353" s="9"/>
      <c r="D353" s="36"/>
    </row>
    <row r="354">
      <c r="A354" s="9"/>
      <c r="D354" s="36"/>
    </row>
    <row r="355">
      <c r="A355" s="9"/>
      <c r="D355" s="37"/>
    </row>
    <row r="356">
      <c r="A356" s="9"/>
      <c r="D356" s="35"/>
    </row>
    <row r="357">
      <c r="A357" s="9"/>
      <c r="D357" s="35"/>
    </row>
    <row r="358">
      <c r="A358" s="9"/>
      <c r="D358" s="35"/>
    </row>
    <row r="359">
      <c r="A359" s="9"/>
      <c r="D359" s="35"/>
    </row>
    <row r="360">
      <c r="A360" s="9"/>
      <c r="D360" s="35"/>
    </row>
    <row r="361">
      <c r="A361" s="9"/>
      <c r="D361" s="35"/>
    </row>
    <row r="362">
      <c r="A362" s="9"/>
      <c r="D362" s="35"/>
    </row>
    <row r="363">
      <c r="A363" s="9"/>
      <c r="D363" s="35"/>
    </row>
    <row r="364">
      <c r="A364" s="9"/>
      <c r="D364" s="35"/>
    </row>
    <row r="365">
      <c r="A365" s="9"/>
      <c r="D365" s="35"/>
    </row>
    <row r="366">
      <c r="A366" s="9"/>
      <c r="D366" s="35"/>
    </row>
    <row r="367">
      <c r="A367" s="9"/>
      <c r="D367" s="35"/>
    </row>
    <row r="368">
      <c r="A368" s="9"/>
      <c r="D368" s="35"/>
    </row>
    <row r="369">
      <c r="A369" s="9"/>
      <c r="D369" s="35"/>
    </row>
    <row r="370">
      <c r="A370" s="9"/>
      <c r="D370" s="35"/>
    </row>
    <row r="371">
      <c r="A371" s="9"/>
      <c r="D371" s="35"/>
    </row>
    <row r="372">
      <c r="A372" s="9"/>
      <c r="D372" s="35"/>
    </row>
    <row r="373">
      <c r="A373" s="9"/>
      <c r="D373" s="35"/>
    </row>
    <row r="374">
      <c r="A374" s="9"/>
      <c r="D374" s="35"/>
    </row>
    <row r="375">
      <c r="A375" s="9"/>
      <c r="D375" s="35"/>
    </row>
    <row r="376">
      <c r="A376" s="9"/>
      <c r="D376" s="35"/>
    </row>
    <row r="377">
      <c r="A377" s="9"/>
      <c r="D377" s="35"/>
    </row>
    <row r="378">
      <c r="A378" s="9"/>
      <c r="D378" s="35"/>
    </row>
    <row r="379">
      <c r="A379" s="9"/>
      <c r="D379" s="35"/>
    </row>
    <row r="380">
      <c r="A380" s="9"/>
      <c r="D380" s="35"/>
    </row>
    <row r="381">
      <c r="A381" s="9"/>
      <c r="D381" s="35"/>
    </row>
    <row r="382">
      <c r="A382" s="9"/>
      <c r="D382" s="35"/>
    </row>
    <row r="383">
      <c r="A383" s="9"/>
      <c r="D383" s="35"/>
    </row>
    <row r="384">
      <c r="A384" s="9"/>
      <c r="D384" s="35"/>
    </row>
    <row r="385">
      <c r="A385" s="9"/>
      <c r="D385" s="35"/>
    </row>
    <row r="386">
      <c r="A386" s="9"/>
      <c r="D386" s="35"/>
    </row>
    <row r="387">
      <c r="A387" s="9"/>
      <c r="D387" s="35"/>
    </row>
    <row r="388">
      <c r="A388" s="9"/>
      <c r="D388" s="35"/>
    </row>
    <row r="389">
      <c r="A389" s="9"/>
      <c r="D389" s="35"/>
    </row>
    <row r="390">
      <c r="A390" s="9"/>
      <c r="D390" s="35"/>
    </row>
    <row r="391">
      <c r="A391" s="9"/>
      <c r="D391" s="35"/>
    </row>
    <row r="392">
      <c r="A392" s="9"/>
      <c r="D392" s="35"/>
    </row>
    <row r="393">
      <c r="A393" s="9"/>
      <c r="D393" s="35"/>
    </row>
    <row r="394">
      <c r="A394" s="9"/>
      <c r="D394" s="35"/>
    </row>
    <row r="395">
      <c r="A395" s="9"/>
      <c r="D395" s="35"/>
    </row>
    <row r="396">
      <c r="A396" s="9"/>
      <c r="D396" s="35"/>
    </row>
    <row r="397">
      <c r="A397" s="9"/>
      <c r="D397" s="35"/>
    </row>
    <row r="398">
      <c r="A398" s="9"/>
      <c r="D398" s="35"/>
    </row>
    <row r="399">
      <c r="A399" s="9"/>
      <c r="D399" s="35"/>
    </row>
    <row r="400">
      <c r="A400" s="9"/>
      <c r="D400" s="35"/>
    </row>
    <row r="401">
      <c r="A401" s="9"/>
      <c r="D401" s="35"/>
    </row>
    <row r="402">
      <c r="A402" s="9"/>
      <c r="D402" s="35"/>
    </row>
    <row r="403">
      <c r="A403" s="9"/>
      <c r="D403" s="35"/>
    </row>
    <row r="404">
      <c r="A404" s="9"/>
      <c r="D404" s="35"/>
    </row>
    <row r="405">
      <c r="A405" s="9"/>
      <c r="D405" s="35"/>
    </row>
    <row r="406">
      <c r="A406" s="9"/>
      <c r="D406" s="35"/>
    </row>
    <row r="407">
      <c r="A407" s="9"/>
      <c r="D407" s="35"/>
    </row>
    <row r="408">
      <c r="A408" s="9"/>
      <c r="D408" s="35"/>
    </row>
    <row r="409">
      <c r="A409" s="9"/>
      <c r="D409" s="35"/>
    </row>
    <row r="410">
      <c r="A410" s="9"/>
      <c r="D410" s="35"/>
    </row>
    <row r="411">
      <c r="A411" s="9"/>
      <c r="D411" s="35"/>
    </row>
    <row r="412">
      <c r="A412" s="9"/>
      <c r="D412" s="35"/>
    </row>
    <row r="413">
      <c r="A413" s="9"/>
      <c r="D413" s="35"/>
    </row>
    <row r="414">
      <c r="A414" s="9"/>
      <c r="D414" s="35"/>
    </row>
    <row r="415">
      <c r="A415" s="9"/>
      <c r="D415" s="35"/>
    </row>
    <row r="416">
      <c r="A416" s="9"/>
      <c r="D416" s="35"/>
    </row>
    <row r="417">
      <c r="A417" s="9"/>
      <c r="D417" s="35"/>
    </row>
    <row r="418">
      <c r="A418" s="9"/>
      <c r="D418" s="35"/>
    </row>
    <row r="419">
      <c r="A419" s="9"/>
      <c r="D419" s="35"/>
    </row>
    <row r="420">
      <c r="A420" s="9"/>
      <c r="D420" s="35"/>
    </row>
    <row r="421">
      <c r="A421" s="9"/>
      <c r="D421" s="35"/>
    </row>
    <row r="422">
      <c r="A422" s="9"/>
      <c r="D422" s="35"/>
    </row>
    <row r="423">
      <c r="A423" s="9"/>
      <c r="D423" s="35"/>
    </row>
    <row r="424">
      <c r="A424" s="9"/>
      <c r="D424" s="35"/>
    </row>
    <row r="425">
      <c r="A425" s="9"/>
      <c r="D425" s="35"/>
    </row>
    <row r="426">
      <c r="A426" s="9"/>
      <c r="D426" s="35"/>
    </row>
    <row r="427">
      <c r="A427" s="9"/>
      <c r="D427" s="35"/>
    </row>
    <row r="428">
      <c r="A428" s="9"/>
      <c r="D428" s="35"/>
    </row>
    <row r="429">
      <c r="A429" s="9"/>
      <c r="D429" s="35"/>
    </row>
    <row r="430">
      <c r="A430" s="9"/>
      <c r="D430" s="35"/>
    </row>
    <row r="431">
      <c r="A431" s="9"/>
      <c r="D431" s="35"/>
    </row>
    <row r="432">
      <c r="A432" s="9"/>
      <c r="D432" s="35"/>
    </row>
    <row r="433">
      <c r="A433" s="9"/>
      <c r="D433" s="35"/>
    </row>
    <row r="434">
      <c r="A434" s="9"/>
      <c r="D434" s="35"/>
    </row>
    <row r="435">
      <c r="A435" s="9"/>
      <c r="D435" s="35"/>
    </row>
    <row r="436">
      <c r="A436" s="9"/>
      <c r="D436" s="35"/>
    </row>
    <row r="437">
      <c r="A437" s="9"/>
      <c r="D437" s="35"/>
    </row>
    <row r="438">
      <c r="A438" s="9"/>
      <c r="D438" s="35"/>
    </row>
    <row r="439">
      <c r="A439" s="9"/>
      <c r="D439" s="35"/>
    </row>
    <row r="440">
      <c r="A440" s="9"/>
      <c r="D440" s="35"/>
    </row>
    <row r="441">
      <c r="A441" s="9"/>
      <c r="D441" s="35"/>
    </row>
    <row r="442">
      <c r="A442" s="9"/>
      <c r="D442" s="35"/>
    </row>
    <row r="443">
      <c r="A443" s="9"/>
      <c r="D443" s="35"/>
    </row>
    <row r="444">
      <c r="A444" s="9"/>
      <c r="D444" s="35"/>
    </row>
    <row r="445">
      <c r="A445" s="9"/>
      <c r="D445" s="35"/>
    </row>
    <row r="446">
      <c r="A446" s="9"/>
      <c r="D446" s="35"/>
    </row>
    <row r="447">
      <c r="A447" s="9"/>
      <c r="D447" s="35"/>
    </row>
    <row r="448">
      <c r="A448" s="9"/>
      <c r="D448" s="35"/>
    </row>
    <row r="449">
      <c r="A449" s="9"/>
      <c r="D449" s="35"/>
    </row>
    <row r="450">
      <c r="A450" s="9"/>
      <c r="D450" s="35"/>
    </row>
    <row r="451">
      <c r="A451" s="9"/>
      <c r="D451" s="35"/>
    </row>
    <row r="452">
      <c r="A452" s="9"/>
      <c r="D452" s="35"/>
    </row>
    <row r="453">
      <c r="A453" s="9"/>
      <c r="D453" s="35"/>
    </row>
    <row r="454">
      <c r="A454" s="9"/>
      <c r="D454" s="35"/>
    </row>
    <row r="455">
      <c r="A455" s="9"/>
      <c r="D455" s="35"/>
    </row>
    <row r="456">
      <c r="A456" s="9"/>
      <c r="D456" s="35"/>
    </row>
    <row r="457">
      <c r="A457" s="9"/>
      <c r="D457" s="35"/>
    </row>
    <row r="458">
      <c r="A458" s="9"/>
      <c r="D458" s="35"/>
    </row>
    <row r="459">
      <c r="A459" s="9"/>
      <c r="D459" s="35"/>
    </row>
    <row r="460">
      <c r="A460" s="9"/>
      <c r="D460" s="35"/>
    </row>
    <row r="461">
      <c r="A461" s="9"/>
      <c r="D461" s="35"/>
    </row>
    <row r="462">
      <c r="A462" s="9"/>
      <c r="D462" s="35"/>
    </row>
    <row r="463">
      <c r="A463" s="9"/>
      <c r="D463" s="35"/>
    </row>
    <row r="464">
      <c r="A464" s="9"/>
      <c r="D464" s="35"/>
    </row>
    <row r="465">
      <c r="A465" s="9"/>
      <c r="D465" s="35"/>
    </row>
    <row r="466">
      <c r="A466" s="9"/>
      <c r="D466" s="35"/>
    </row>
    <row r="467">
      <c r="A467" s="9"/>
      <c r="D467" s="35"/>
    </row>
    <row r="468">
      <c r="A468" s="9"/>
      <c r="D468" s="35"/>
    </row>
    <row r="469">
      <c r="A469" s="9"/>
      <c r="D469" s="35"/>
    </row>
    <row r="470">
      <c r="A470" s="9"/>
      <c r="D470" s="35"/>
    </row>
    <row r="471">
      <c r="A471" s="9"/>
      <c r="D471" s="35"/>
    </row>
    <row r="472">
      <c r="A472" s="9"/>
      <c r="D472" s="35"/>
    </row>
    <row r="473">
      <c r="A473" s="9"/>
      <c r="D473" s="35"/>
    </row>
    <row r="474">
      <c r="A474" s="9"/>
      <c r="D474" s="35"/>
    </row>
    <row r="475">
      <c r="A475" s="9"/>
      <c r="D475" s="35"/>
    </row>
    <row r="476">
      <c r="A476" s="9"/>
      <c r="D476" s="35"/>
    </row>
    <row r="477">
      <c r="A477" s="9"/>
      <c r="D477" s="35"/>
    </row>
    <row r="478">
      <c r="A478" s="9"/>
      <c r="D478" s="35"/>
    </row>
    <row r="479">
      <c r="A479" s="9"/>
      <c r="D479" s="35"/>
    </row>
    <row r="480">
      <c r="A480" s="9"/>
      <c r="D480" s="35"/>
    </row>
    <row r="481">
      <c r="A481" s="9"/>
      <c r="D481" s="35"/>
    </row>
    <row r="482">
      <c r="A482" s="9"/>
      <c r="D482" s="35"/>
    </row>
    <row r="483">
      <c r="A483" s="9"/>
      <c r="D483" s="35"/>
    </row>
    <row r="484">
      <c r="A484" s="9"/>
      <c r="D484" s="35"/>
    </row>
    <row r="485">
      <c r="A485" s="9"/>
      <c r="D485" s="35"/>
    </row>
    <row r="486">
      <c r="A486" s="9"/>
      <c r="D486" s="35"/>
    </row>
    <row r="487">
      <c r="A487" s="9"/>
      <c r="D487" s="35"/>
    </row>
    <row r="488">
      <c r="A488" s="9"/>
      <c r="D488" s="35"/>
    </row>
    <row r="489">
      <c r="A489" s="9"/>
      <c r="D489" s="35"/>
    </row>
    <row r="490">
      <c r="A490" s="9"/>
      <c r="D490" s="35"/>
    </row>
    <row r="491">
      <c r="A491" s="9"/>
      <c r="D491" s="35"/>
    </row>
    <row r="492">
      <c r="A492" s="9"/>
      <c r="D492" s="35"/>
    </row>
    <row r="493">
      <c r="A493" s="9"/>
      <c r="D493" s="35"/>
    </row>
    <row r="494">
      <c r="A494" s="9"/>
      <c r="D494" s="35"/>
    </row>
    <row r="495">
      <c r="A495" s="9"/>
      <c r="D495" s="35"/>
    </row>
    <row r="496">
      <c r="A496" s="9"/>
      <c r="D496" s="35"/>
    </row>
    <row r="497">
      <c r="A497" s="9"/>
      <c r="D497" s="35"/>
    </row>
    <row r="498">
      <c r="A498" s="9"/>
      <c r="D498" s="35"/>
    </row>
    <row r="499">
      <c r="A499" s="9"/>
      <c r="D499" s="35"/>
    </row>
    <row r="500">
      <c r="A500" s="9"/>
      <c r="D500" s="35"/>
    </row>
    <row r="501">
      <c r="A501" s="9"/>
      <c r="D501" s="35"/>
    </row>
    <row r="502">
      <c r="A502" s="9"/>
      <c r="D502" s="35"/>
    </row>
    <row r="503">
      <c r="A503" s="9"/>
      <c r="D503" s="35"/>
    </row>
    <row r="504">
      <c r="A504" s="9"/>
      <c r="D504" s="35"/>
    </row>
    <row r="505">
      <c r="A505" s="9"/>
      <c r="D505" s="35"/>
    </row>
    <row r="506">
      <c r="A506" s="9"/>
      <c r="D506" s="35"/>
    </row>
    <row r="507">
      <c r="A507" s="9"/>
      <c r="D507" s="35"/>
    </row>
    <row r="508">
      <c r="A508" s="9"/>
      <c r="D508" s="35"/>
    </row>
    <row r="509">
      <c r="A509" s="9"/>
      <c r="D509" s="35"/>
    </row>
    <row r="510">
      <c r="A510" s="9"/>
      <c r="D510" s="35"/>
    </row>
    <row r="511">
      <c r="A511" s="9"/>
      <c r="D511" s="35"/>
    </row>
    <row r="512">
      <c r="A512" s="9"/>
      <c r="D512" s="35"/>
    </row>
    <row r="513">
      <c r="A513" s="9"/>
      <c r="D513" s="35"/>
    </row>
    <row r="514">
      <c r="A514" s="9"/>
      <c r="D514" s="35"/>
    </row>
    <row r="515">
      <c r="A515" s="9"/>
      <c r="D515" s="35"/>
    </row>
    <row r="516">
      <c r="A516" s="9"/>
      <c r="D516" s="35"/>
    </row>
    <row r="517">
      <c r="A517" s="9"/>
      <c r="D517" s="35"/>
    </row>
    <row r="518">
      <c r="A518" s="9"/>
      <c r="D518" s="35"/>
    </row>
    <row r="519">
      <c r="A519" s="9"/>
      <c r="D519" s="35"/>
    </row>
    <row r="520">
      <c r="A520" s="9"/>
      <c r="D520" s="35"/>
    </row>
    <row r="521">
      <c r="A521" s="9"/>
      <c r="D521" s="35"/>
    </row>
    <row r="522">
      <c r="A522" s="9"/>
      <c r="D522" s="35"/>
    </row>
    <row r="523">
      <c r="A523" s="9"/>
      <c r="D523" s="35"/>
    </row>
    <row r="524">
      <c r="A524" s="9"/>
      <c r="D524" s="35"/>
    </row>
    <row r="525">
      <c r="A525" s="9"/>
      <c r="D525" s="35"/>
    </row>
    <row r="526">
      <c r="A526" s="9"/>
      <c r="D526" s="35"/>
    </row>
    <row r="527">
      <c r="A527" s="9"/>
      <c r="D527" s="35"/>
    </row>
    <row r="528">
      <c r="A528" s="9"/>
      <c r="D528" s="35"/>
    </row>
    <row r="529">
      <c r="A529" s="9"/>
      <c r="D529" s="35"/>
    </row>
    <row r="530">
      <c r="A530" s="9"/>
      <c r="D530" s="35"/>
    </row>
    <row r="531">
      <c r="A531" s="9"/>
      <c r="D531" s="35"/>
    </row>
    <row r="532">
      <c r="A532" s="9"/>
      <c r="D532" s="35"/>
    </row>
    <row r="533">
      <c r="A533" s="9"/>
      <c r="D533" s="35"/>
    </row>
    <row r="534">
      <c r="A534" s="9"/>
      <c r="D534" s="35"/>
    </row>
    <row r="535">
      <c r="A535" s="9"/>
      <c r="D535" s="35"/>
    </row>
    <row r="536">
      <c r="A536" s="9"/>
      <c r="D536" s="35"/>
    </row>
    <row r="537">
      <c r="A537" s="9"/>
      <c r="D537" s="35"/>
    </row>
    <row r="538">
      <c r="A538" s="9"/>
      <c r="D538" s="35"/>
    </row>
    <row r="539">
      <c r="A539" s="9"/>
      <c r="D539" s="35"/>
    </row>
    <row r="540">
      <c r="A540" s="9"/>
      <c r="D540" s="35"/>
    </row>
    <row r="541">
      <c r="A541" s="9"/>
      <c r="D541" s="35"/>
    </row>
    <row r="542">
      <c r="A542" s="9"/>
      <c r="D542" s="35"/>
    </row>
    <row r="543">
      <c r="A543" s="9"/>
      <c r="D543" s="35"/>
    </row>
    <row r="544">
      <c r="A544" s="9"/>
      <c r="D544" s="35"/>
    </row>
    <row r="545">
      <c r="A545" s="9"/>
      <c r="D545" s="35"/>
    </row>
    <row r="546">
      <c r="A546" s="9"/>
      <c r="D546" s="35"/>
    </row>
    <row r="547">
      <c r="A547" s="9"/>
      <c r="D547" s="35"/>
    </row>
    <row r="548">
      <c r="A548" s="9"/>
      <c r="D548" s="35"/>
    </row>
    <row r="549">
      <c r="A549" s="9"/>
      <c r="D549" s="35"/>
    </row>
    <row r="550">
      <c r="A550" s="9"/>
      <c r="D550" s="35"/>
    </row>
    <row r="551">
      <c r="A551" s="9"/>
      <c r="D551" s="35"/>
    </row>
    <row r="552">
      <c r="A552" s="9"/>
      <c r="D552" s="35"/>
    </row>
    <row r="553">
      <c r="A553" s="9"/>
      <c r="D553" s="35"/>
    </row>
    <row r="554">
      <c r="A554" s="9"/>
      <c r="D554" s="35"/>
    </row>
    <row r="555">
      <c r="A555" s="9"/>
      <c r="D555" s="35"/>
    </row>
    <row r="556">
      <c r="A556" s="9"/>
      <c r="D556" s="35"/>
    </row>
    <row r="557">
      <c r="A557" s="9"/>
      <c r="D557" s="35"/>
    </row>
    <row r="558">
      <c r="A558" s="9"/>
      <c r="D558" s="35"/>
    </row>
    <row r="559">
      <c r="A559" s="9"/>
      <c r="D559" s="35"/>
    </row>
    <row r="560">
      <c r="A560" s="9"/>
      <c r="D560" s="35"/>
    </row>
    <row r="561">
      <c r="A561" s="9"/>
      <c r="D561" s="35"/>
    </row>
    <row r="562">
      <c r="A562" s="9"/>
      <c r="D562" s="35"/>
    </row>
    <row r="563">
      <c r="A563" s="9"/>
      <c r="D563" s="35"/>
    </row>
    <row r="564">
      <c r="A564" s="9"/>
      <c r="D564" s="35"/>
    </row>
    <row r="565">
      <c r="A565" s="9"/>
      <c r="D565" s="35"/>
    </row>
    <row r="566">
      <c r="A566" s="9"/>
      <c r="D566" s="35"/>
    </row>
    <row r="567">
      <c r="A567" s="9"/>
      <c r="D567" s="35"/>
    </row>
    <row r="568">
      <c r="A568" s="9"/>
      <c r="D568" s="35"/>
    </row>
    <row r="569">
      <c r="A569" s="9"/>
      <c r="D569" s="35"/>
    </row>
    <row r="570">
      <c r="A570" s="9"/>
      <c r="D570" s="35"/>
    </row>
    <row r="571">
      <c r="A571" s="9"/>
      <c r="D571" s="35"/>
    </row>
    <row r="572">
      <c r="A572" s="9"/>
      <c r="D572" s="35"/>
    </row>
    <row r="573">
      <c r="A573" s="9"/>
      <c r="D573" s="35"/>
    </row>
    <row r="574">
      <c r="A574" s="9"/>
      <c r="D574" s="35"/>
    </row>
    <row r="575">
      <c r="A575" s="9"/>
      <c r="D575" s="35"/>
    </row>
    <row r="576">
      <c r="A576" s="9"/>
      <c r="D576" s="35"/>
    </row>
    <row r="577">
      <c r="A577" s="9"/>
      <c r="D577" s="35"/>
    </row>
    <row r="578">
      <c r="A578" s="9"/>
      <c r="D578" s="35"/>
    </row>
    <row r="579">
      <c r="A579" s="9"/>
      <c r="D579" s="35"/>
    </row>
    <row r="580">
      <c r="A580" s="9"/>
      <c r="D580" s="35"/>
    </row>
    <row r="581">
      <c r="A581" s="9"/>
      <c r="D581" s="35"/>
    </row>
    <row r="582">
      <c r="A582" s="9"/>
      <c r="D582" s="35"/>
    </row>
    <row r="583">
      <c r="A583" s="9"/>
      <c r="D583" s="35"/>
    </row>
    <row r="584">
      <c r="A584" s="9"/>
      <c r="D584" s="35"/>
    </row>
    <row r="585">
      <c r="A585" s="9"/>
      <c r="D585" s="35"/>
    </row>
    <row r="586">
      <c r="A586" s="9"/>
      <c r="D586" s="35"/>
    </row>
    <row r="587">
      <c r="A587" s="9"/>
      <c r="D587" s="35"/>
    </row>
    <row r="588">
      <c r="A588" s="9"/>
      <c r="D588" s="35"/>
    </row>
    <row r="589">
      <c r="A589" s="9"/>
      <c r="D589" s="35"/>
    </row>
    <row r="590">
      <c r="A590" s="9"/>
      <c r="D590" s="35"/>
    </row>
    <row r="591">
      <c r="A591" s="9"/>
      <c r="D591" s="35"/>
    </row>
    <row r="592">
      <c r="A592" s="9"/>
      <c r="D592" s="35"/>
    </row>
    <row r="593">
      <c r="A593" s="9"/>
      <c r="D593" s="35"/>
    </row>
    <row r="594">
      <c r="A594" s="9"/>
      <c r="D594" s="35"/>
    </row>
    <row r="595">
      <c r="A595" s="9"/>
      <c r="D595" s="35"/>
    </row>
    <row r="596">
      <c r="A596" s="9"/>
      <c r="D596" s="35"/>
    </row>
    <row r="597">
      <c r="A597" s="9"/>
      <c r="D597" s="35"/>
    </row>
    <row r="598">
      <c r="A598" s="9"/>
      <c r="D598" s="35"/>
    </row>
    <row r="599">
      <c r="A599" s="9"/>
      <c r="D599" s="35"/>
    </row>
    <row r="600">
      <c r="A600" s="9"/>
      <c r="D600" s="35"/>
    </row>
    <row r="601">
      <c r="A601" s="9"/>
      <c r="D601" s="35"/>
    </row>
    <row r="602">
      <c r="A602" s="9"/>
      <c r="D602" s="35"/>
    </row>
    <row r="603">
      <c r="A603" s="9"/>
      <c r="D603" s="35"/>
    </row>
    <row r="604">
      <c r="A604" s="9"/>
      <c r="D604" s="35"/>
    </row>
    <row r="605">
      <c r="A605" s="9"/>
      <c r="D605" s="35"/>
    </row>
    <row r="606">
      <c r="A606" s="9"/>
      <c r="D606" s="35"/>
    </row>
    <row r="607">
      <c r="A607" s="9"/>
      <c r="D607" s="35"/>
    </row>
    <row r="608">
      <c r="A608" s="9"/>
      <c r="D608" s="35"/>
    </row>
    <row r="609">
      <c r="A609" s="9"/>
      <c r="D609" s="35"/>
    </row>
    <row r="610">
      <c r="A610" s="9"/>
      <c r="D610" s="35"/>
    </row>
    <row r="611">
      <c r="A611" s="9"/>
      <c r="D611" s="35"/>
    </row>
    <row r="612">
      <c r="A612" s="9"/>
      <c r="D612" s="35"/>
    </row>
    <row r="613">
      <c r="A613" s="9"/>
      <c r="D613" s="35"/>
    </row>
    <row r="614">
      <c r="A614" s="9"/>
      <c r="D614" s="35"/>
    </row>
    <row r="615">
      <c r="A615" s="9"/>
      <c r="D615" s="35"/>
    </row>
    <row r="616">
      <c r="A616" s="9"/>
      <c r="D616" s="35"/>
    </row>
    <row r="617">
      <c r="A617" s="9"/>
      <c r="D617" s="35"/>
    </row>
    <row r="618">
      <c r="A618" s="9"/>
      <c r="D618" s="35"/>
    </row>
    <row r="619">
      <c r="A619" s="9"/>
      <c r="D619" s="35"/>
    </row>
    <row r="620">
      <c r="A620" s="9"/>
      <c r="D620" s="35"/>
    </row>
    <row r="621">
      <c r="A621" s="9"/>
      <c r="D621" s="35"/>
    </row>
    <row r="622">
      <c r="A622" s="9"/>
      <c r="D622" s="35"/>
    </row>
    <row r="623">
      <c r="A623" s="9"/>
      <c r="D623" s="35"/>
    </row>
    <row r="624">
      <c r="A624" s="9"/>
      <c r="D624" s="35"/>
    </row>
    <row r="625">
      <c r="A625" s="9"/>
      <c r="D625" s="35"/>
    </row>
    <row r="626">
      <c r="A626" s="9"/>
      <c r="D626" s="35"/>
    </row>
    <row r="627">
      <c r="A627" s="9"/>
      <c r="D627" s="35"/>
    </row>
    <row r="628">
      <c r="A628" s="9"/>
      <c r="D628" s="35"/>
    </row>
    <row r="629">
      <c r="A629" s="9"/>
      <c r="D629" s="35"/>
    </row>
    <row r="630">
      <c r="A630" s="9"/>
      <c r="D630" s="35"/>
    </row>
    <row r="631">
      <c r="A631" s="9"/>
      <c r="D631" s="35"/>
    </row>
    <row r="632">
      <c r="A632" s="9"/>
      <c r="D632" s="35"/>
    </row>
    <row r="633">
      <c r="A633" s="9"/>
      <c r="D633" s="35"/>
    </row>
    <row r="634">
      <c r="A634" s="9"/>
      <c r="D634" s="35"/>
    </row>
    <row r="635">
      <c r="A635" s="9"/>
      <c r="D635" s="35"/>
    </row>
    <row r="636">
      <c r="A636" s="9"/>
      <c r="D636" s="35"/>
    </row>
    <row r="637">
      <c r="A637" s="9"/>
      <c r="D637" s="35"/>
    </row>
    <row r="638">
      <c r="A638" s="9"/>
      <c r="D638" s="35"/>
    </row>
    <row r="639">
      <c r="A639" s="9"/>
      <c r="D639" s="35"/>
    </row>
    <row r="640">
      <c r="A640" s="9"/>
      <c r="D640" s="35"/>
    </row>
    <row r="641">
      <c r="A641" s="9"/>
      <c r="D641" s="35"/>
    </row>
    <row r="642">
      <c r="A642" s="9"/>
      <c r="D642" s="35"/>
    </row>
    <row r="643">
      <c r="A643" s="9"/>
      <c r="D643" s="35"/>
    </row>
    <row r="644">
      <c r="A644" s="9"/>
      <c r="D644" s="35"/>
    </row>
    <row r="645">
      <c r="A645" s="9"/>
      <c r="D645" s="35"/>
    </row>
    <row r="646">
      <c r="A646" s="9"/>
      <c r="D646" s="35"/>
    </row>
    <row r="647">
      <c r="A647" s="9"/>
      <c r="D647" s="35"/>
    </row>
    <row r="648">
      <c r="A648" s="9"/>
      <c r="D648" s="35"/>
    </row>
    <row r="649">
      <c r="A649" s="9"/>
      <c r="D649" s="35"/>
    </row>
    <row r="650">
      <c r="A650" s="9"/>
      <c r="D650" s="35"/>
    </row>
    <row r="651">
      <c r="A651" s="9"/>
      <c r="D651" s="35"/>
    </row>
    <row r="652">
      <c r="A652" s="9"/>
      <c r="D652" s="35"/>
    </row>
    <row r="653">
      <c r="A653" s="9"/>
      <c r="D653" s="35"/>
    </row>
    <row r="654">
      <c r="A654" s="9"/>
      <c r="D654" s="35"/>
    </row>
    <row r="655">
      <c r="A655" s="9"/>
      <c r="D655" s="35"/>
    </row>
    <row r="656">
      <c r="A656" s="9"/>
      <c r="D656" s="35"/>
    </row>
    <row r="657">
      <c r="A657" s="9"/>
      <c r="D657" s="35"/>
    </row>
    <row r="658">
      <c r="A658" s="9"/>
      <c r="D658" s="35"/>
    </row>
    <row r="659">
      <c r="A659" s="9"/>
      <c r="D659" s="35"/>
    </row>
    <row r="660">
      <c r="A660" s="9"/>
      <c r="D660" s="35"/>
    </row>
    <row r="661">
      <c r="A661" s="9"/>
      <c r="D661" s="35"/>
    </row>
    <row r="662">
      <c r="A662" s="9"/>
      <c r="D662" s="35"/>
    </row>
    <row r="663">
      <c r="A663" s="9"/>
      <c r="D663" s="35"/>
    </row>
    <row r="664">
      <c r="A664" s="9"/>
      <c r="D664" s="35"/>
    </row>
    <row r="665">
      <c r="A665" s="9"/>
      <c r="D665" s="35"/>
    </row>
    <row r="666">
      <c r="A666" s="9"/>
      <c r="D666" s="35"/>
    </row>
    <row r="667">
      <c r="A667" s="9"/>
      <c r="D667" s="35"/>
    </row>
    <row r="668">
      <c r="A668" s="9"/>
      <c r="D668" s="35"/>
    </row>
    <row r="669">
      <c r="A669" s="9"/>
      <c r="D669" s="35"/>
    </row>
    <row r="670">
      <c r="A670" s="9"/>
      <c r="D670" s="35"/>
    </row>
    <row r="671">
      <c r="A671" s="9"/>
      <c r="D671" s="35"/>
    </row>
    <row r="672">
      <c r="A672" s="9"/>
      <c r="D672" s="35"/>
    </row>
    <row r="673">
      <c r="A673" s="9"/>
      <c r="D673" s="35"/>
    </row>
    <row r="674">
      <c r="A674" s="9"/>
      <c r="D674" s="35"/>
    </row>
    <row r="675">
      <c r="A675" s="9"/>
      <c r="D675" s="35"/>
    </row>
    <row r="676">
      <c r="A676" s="9"/>
      <c r="D676" s="35"/>
    </row>
    <row r="677">
      <c r="A677" s="9"/>
      <c r="D677" s="35"/>
    </row>
    <row r="678">
      <c r="A678" s="9"/>
      <c r="D678" s="35"/>
    </row>
    <row r="679">
      <c r="A679" s="9"/>
      <c r="D679" s="35"/>
    </row>
    <row r="680">
      <c r="A680" s="9"/>
      <c r="D680" s="35"/>
    </row>
    <row r="681">
      <c r="A681" s="9"/>
      <c r="D681" s="35"/>
    </row>
    <row r="682">
      <c r="A682" s="9"/>
      <c r="D682" s="35"/>
    </row>
    <row r="683">
      <c r="A683" s="9"/>
      <c r="D683" s="35"/>
    </row>
    <row r="684">
      <c r="A684" s="9"/>
      <c r="D684" s="35"/>
    </row>
    <row r="685">
      <c r="A685" s="9"/>
      <c r="D685" s="35"/>
    </row>
    <row r="686">
      <c r="A686" s="9"/>
      <c r="D686" s="35"/>
    </row>
    <row r="687">
      <c r="A687" s="9"/>
      <c r="D687" s="35"/>
    </row>
    <row r="688">
      <c r="A688" s="9"/>
      <c r="D688" s="35"/>
    </row>
    <row r="689">
      <c r="A689" s="9"/>
      <c r="D689" s="35"/>
    </row>
    <row r="690">
      <c r="A690" s="9"/>
      <c r="D690" s="35"/>
    </row>
    <row r="691">
      <c r="A691" s="9"/>
      <c r="D691" s="35"/>
    </row>
    <row r="692">
      <c r="A692" s="9"/>
      <c r="D692" s="35"/>
    </row>
    <row r="693">
      <c r="A693" s="9"/>
      <c r="D693" s="35"/>
    </row>
    <row r="694">
      <c r="A694" s="9"/>
      <c r="D694" s="35"/>
    </row>
    <row r="695">
      <c r="A695" s="9"/>
      <c r="D695" s="35"/>
    </row>
    <row r="696">
      <c r="A696" s="9"/>
      <c r="D696" s="35"/>
    </row>
    <row r="697">
      <c r="A697" s="9"/>
      <c r="D697" s="35"/>
    </row>
    <row r="698">
      <c r="A698" s="9"/>
      <c r="D698" s="35"/>
    </row>
    <row r="699">
      <c r="A699" s="9"/>
      <c r="D699" s="35"/>
    </row>
    <row r="700">
      <c r="A700" s="9"/>
      <c r="D700" s="35"/>
    </row>
    <row r="701">
      <c r="A701" s="9"/>
      <c r="D701" s="35"/>
    </row>
    <row r="702">
      <c r="A702" s="9"/>
      <c r="D702" s="35"/>
    </row>
    <row r="703">
      <c r="A703" s="9"/>
      <c r="D703" s="35"/>
    </row>
    <row r="704">
      <c r="A704" s="9"/>
      <c r="D704" s="35"/>
    </row>
    <row r="705">
      <c r="A705" s="9"/>
      <c r="D705" s="35"/>
    </row>
    <row r="706">
      <c r="A706" s="9"/>
      <c r="D706" s="35"/>
    </row>
    <row r="707">
      <c r="A707" s="9"/>
      <c r="D707" s="35"/>
    </row>
    <row r="708">
      <c r="A708" s="9"/>
      <c r="D708" s="35"/>
    </row>
    <row r="709">
      <c r="A709" s="9"/>
      <c r="D709" s="35"/>
    </row>
    <row r="710">
      <c r="A710" s="9"/>
      <c r="D710" s="35"/>
    </row>
    <row r="711">
      <c r="A711" s="9"/>
      <c r="D711" s="35"/>
    </row>
    <row r="712">
      <c r="A712" s="9"/>
      <c r="D712" s="35"/>
    </row>
    <row r="713">
      <c r="A713" s="9"/>
      <c r="D713" s="35"/>
    </row>
    <row r="714">
      <c r="A714" s="9"/>
      <c r="D714" s="35"/>
    </row>
    <row r="715">
      <c r="A715" s="9"/>
      <c r="D715" s="35"/>
    </row>
    <row r="716">
      <c r="A716" s="9"/>
      <c r="D716" s="35"/>
    </row>
    <row r="717">
      <c r="A717" s="9"/>
      <c r="D717" s="35"/>
    </row>
    <row r="718">
      <c r="A718" s="9"/>
      <c r="D718" s="35"/>
    </row>
    <row r="719">
      <c r="A719" s="9"/>
      <c r="D719" s="35"/>
    </row>
    <row r="720">
      <c r="A720" s="9"/>
      <c r="D720" s="35"/>
    </row>
    <row r="721">
      <c r="A721" s="9"/>
      <c r="D721" s="35"/>
    </row>
    <row r="722">
      <c r="A722" s="9"/>
      <c r="D722" s="35"/>
    </row>
    <row r="723">
      <c r="A723" s="9"/>
      <c r="D723" s="35"/>
    </row>
    <row r="724">
      <c r="A724" s="9"/>
      <c r="D724" s="35"/>
    </row>
    <row r="725">
      <c r="A725" s="9"/>
      <c r="D725" s="35"/>
    </row>
    <row r="726">
      <c r="A726" s="9"/>
      <c r="D726" s="35"/>
    </row>
    <row r="727">
      <c r="A727" s="9"/>
      <c r="D727" s="35"/>
    </row>
    <row r="728">
      <c r="A728" s="9"/>
      <c r="D728" s="35"/>
    </row>
    <row r="729">
      <c r="A729" s="9"/>
      <c r="D729" s="35"/>
    </row>
    <row r="730">
      <c r="A730" s="9"/>
      <c r="D730" s="35"/>
    </row>
    <row r="731">
      <c r="A731" s="9"/>
      <c r="D731" s="35"/>
    </row>
    <row r="732">
      <c r="A732" s="9"/>
      <c r="D732" s="35"/>
    </row>
    <row r="733">
      <c r="A733" s="9"/>
      <c r="D733" s="35"/>
    </row>
    <row r="734">
      <c r="A734" s="9"/>
      <c r="D734" s="35"/>
    </row>
    <row r="735">
      <c r="A735" s="9"/>
      <c r="D735" s="35"/>
    </row>
    <row r="736">
      <c r="A736" s="9"/>
      <c r="D736" s="35"/>
    </row>
    <row r="737">
      <c r="A737" s="9"/>
      <c r="D737" s="35"/>
    </row>
    <row r="738">
      <c r="A738" s="9"/>
      <c r="D738" s="35"/>
    </row>
    <row r="739">
      <c r="A739" s="9"/>
      <c r="D739" s="35"/>
    </row>
    <row r="740">
      <c r="A740" s="9"/>
      <c r="D740" s="35"/>
    </row>
    <row r="741">
      <c r="A741" s="9"/>
      <c r="D741" s="35"/>
    </row>
    <row r="742">
      <c r="A742" s="9"/>
      <c r="D742" s="35"/>
    </row>
    <row r="743">
      <c r="A743" s="9"/>
      <c r="D743" s="35"/>
    </row>
    <row r="744">
      <c r="A744" s="9"/>
      <c r="D744" s="35"/>
    </row>
    <row r="745">
      <c r="A745" s="9"/>
      <c r="D745" s="35"/>
    </row>
    <row r="746">
      <c r="A746" s="9"/>
      <c r="D746" s="35"/>
    </row>
    <row r="747">
      <c r="A747" s="9"/>
      <c r="D747" s="35"/>
    </row>
    <row r="748">
      <c r="A748" s="9"/>
      <c r="D748" s="35"/>
    </row>
    <row r="749">
      <c r="A749" s="9"/>
      <c r="D749" s="35"/>
    </row>
    <row r="750">
      <c r="A750" s="9"/>
      <c r="D750" s="35"/>
    </row>
    <row r="751">
      <c r="A751" s="9"/>
      <c r="D751" s="35"/>
    </row>
    <row r="752">
      <c r="A752" s="9"/>
      <c r="D752" s="35"/>
    </row>
    <row r="753">
      <c r="A753" s="9"/>
      <c r="D753" s="35"/>
    </row>
    <row r="754">
      <c r="A754" s="9"/>
      <c r="D754" s="35"/>
    </row>
    <row r="755">
      <c r="A755" s="9"/>
      <c r="D755" s="35"/>
    </row>
    <row r="756">
      <c r="A756" s="9"/>
      <c r="D756" s="35"/>
    </row>
    <row r="757">
      <c r="A757" s="9"/>
      <c r="D757" s="35"/>
    </row>
    <row r="758">
      <c r="A758" s="9"/>
      <c r="D758" s="35"/>
    </row>
    <row r="759">
      <c r="A759" s="9"/>
      <c r="D759" s="35"/>
    </row>
    <row r="760">
      <c r="A760" s="9"/>
      <c r="D760" s="35"/>
    </row>
    <row r="761">
      <c r="A761" s="9"/>
      <c r="D761" s="35"/>
    </row>
    <row r="762">
      <c r="A762" s="9"/>
      <c r="D762" s="35"/>
    </row>
    <row r="763">
      <c r="A763" s="9"/>
      <c r="D763" s="35"/>
    </row>
    <row r="764">
      <c r="A764" s="9"/>
      <c r="D764" s="35"/>
    </row>
    <row r="765">
      <c r="A765" s="9"/>
      <c r="D765" s="35"/>
    </row>
    <row r="766">
      <c r="A766" s="9"/>
      <c r="D766" s="35"/>
    </row>
    <row r="767">
      <c r="A767" s="9"/>
      <c r="D767" s="35"/>
    </row>
    <row r="768">
      <c r="A768" s="9"/>
      <c r="D768" s="35"/>
    </row>
    <row r="769">
      <c r="A769" s="9"/>
      <c r="D769" s="35"/>
    </row>
    <row r="770">
      <c r="A770" s="9"/>
      <c r="D770" s="35"/>
    </row>
    <row r="771">
      <c r="A771" s="9"/>
      <c r="D771" s="35"/>
    </row>
    <row r="772">
      <c r="A772" s="9"/>
      <c r="D772" s="35"/>
    </row>
    <row r="773">
      <c r="A773" s="9"/>
      <c r="D773" s="35"/>
    </row>
    <row r="774">
      <c r="A774" s="9"/>
      <c r="D774" s="35"/>
    </row>
    <row r="775">
      <c r="A775" s="9"/>
      <c r="D775" s="35"/>
    </row>
    <row r="776">
      <c r="A776" s="9"/>
      <c r="D776" s="35"/>
    </row>
    <row r="777">
      <c r="A777" s="9"/>
      <c r="D777" s="35"/>
    </row>
    <row r="778">
      <c r="A778" s="9"/>
      <c r="D778" s="35"/>
    </row>
    <row r="779">
      <c r="A779" s="9"/>
      <c r="D779" s="35"/>
    </row>
    <row r="780">
      <c r="A780" s="9"/>
      <c r="D780" s="35"/>
    </row>
    <row r="781">
      <c r="A781" s="9"/>
      <c r="D781" s="35"/>
    </row>
    <row r="782">
      <c r="A782" s="9"/>
      <c r="D782" s="35"/>
    </row>
    <row r="783">
      <c r="A783" s="9"/>
      <c r="D783" s="35"/>
    </row>
    <row r="784">
      <c r="A784" s="9"/>
      <c r="D784" s="35"/>
    </row>
    <row r="785">
      <c r="A785" s="9"/>
      <c r="D785" s="35"/>
    </row>
    <row r="786">
      <c r="A786" s="9"/>
      <c r="D786" s="35"/>
    </row>
    <row r="787">
      <c r="A787" s="9"/>
      <c r="D787" s="35"/>
    </row>
    <row r="788">
      <c r="A788" s="9"/>
      <c r="D788" s="35"/>
    </row>
    <row r="789">
      <c r="A789" s="9"/>
      <c r="D789" s="35"/>
    </row>
    <row r="790">
      <c r="A790" s="9"/>
      <c r="D790" s="35"/>
    </row>
    <row r="791">
      <c r="A791" s="9"/>
      <c r="D791" s="35"/>
    </row>
    <row r="792">
      <c r="A792" s="9"/>
      <c r="D792" s="35"/>
    </row>
    <row r="793">
      <c r="A793" s="9"/>
      <c r="D793" s="35"/>
    </row>
    <row r="794">
      <c r="A794" s="9"/>
      <c r="D794" s="35"/>
    </row>
    <row r="795">
      <c r="A795" s="9"/>
      <c r="D795" s="35"/>
    </row>
    <row r="796">
      <c r="A796" s="9"/>
      <c r="D796" s="35"/>
    </row>
    <row r="797">
      <c r="A797" s="9"/>
      <c r="D797" s="35"/>
    </row>
    <row r="798">
      <c r="A798" s="9"/>
      <c r="D798" s="35"/>
    </row>
    <row r="799">
      <c r="A799" s="9"/>
      <c r="D799" s="35"/>
    </row>
    <row r="800">
      <c r="A800" s="9"/>
      <c r="D800" s="35"/>
    </row>
    <row r="801">
      <c r="A801" s="9"/>
      <c r="D801" s="35"/>
    </row>
    <row r="802">
      <c r="A802" s="9"/>
      <c r="D802" s="35"/>
    </row>
    <row r="803">
      <c r="A803" s="9"/>
      <c r="D803" s="35"/>
    </row>
    <row r="804">
      <c r="A804" s="9"/>
      <c r="D804" s="35"/>
    </row>
    <row r="805">
      <c r="A805" s="9"/>
      <c r="D805" s="35"/>
    </row>
    <row r="806">
      <c r="A806" s="9"/>
      <c r="D806" s="35"/>
    </row>
    <row r="807">
      <c r="A807" s="9"/>
      <c r="D807" s="35"/>
    </row>
    <row r="808">
      <c r="A808" s="9"/>
      <c r="D808" s="35"/>
    </row>
    <row r="809">
      <c r="A809" s="9"/>
      <c r="D809" s="35"/>
    </row>
    <row r="810">
      <c r="A810" s="9"/>
      <c r="D810" s="35"/>
    </row>
    <row r="811">
      <c r="A811" s="9"/>
      <c r="D811" s="35"/>
    </row>
    <row r="812">
      <c r="A812" s="9"/>
      <c r="D812" s="35"/>
    </row>
    <row r="813">
      <c r="A813" s="9"/>
      <c r="D813" s="35"/>
    </row>
    <row r="814">
      <c r="A814" s="9"/>
      <c r="D814" s="35"/>
    </row>
    <row r="815">
      <c r="A815" s="9"/>
      <c r="D815" s="35"/>
    </row>
    <row r="816">
      <c r="A816" s="9"/>
      <c r="D816" s="35"/>
    </row>
    <row r="817">
      <c r="A817" s="9"/>
      <c r="D817" s="35"/>
    </row>
    <row r="818">
      <c r="A818" s="9"/>
      <c r="D818" s="35"/>
    </row>
    <row r="819">
      <c r="A819" s="9"/>
      <c r="D819" s="35"/>
    </row>
    <row r="820">
      <c r="A820" s="9"/>
      <c r="D820" s="35"/>
    </row>
    <row r="821">
      <c r="A821" s="9"/>
      <c r="D821" s="35"/>
    </row>
    <row r="822">
      <c r="A822" s="9"/>
      <c r="D822" s="35"/>
    </row>
    <row r="823">
      <c r="A823" s="9"/>
      <c r="D823" s="35"/>
    </row>
    <row r="824">
      <c r="A824" s="9"/>
      <c r="D824" s="35"/>
    </row>
    <row r="825">
      <c r="A825" s="9"/>
      <c r="D825" s="35"/>
    </row>
    <row r="826">
      <c r="A826" s="9"/>
      <c r="D826" s="35"/>
    </row>
    <row r="827">
      <c r="A827" s="9"/>
      <c r="D827" s="35"/>
    </row>
    <row r="828">
      <c r="A828" s="9"/>
      <c r="D828" s="35"/>
    </row>
    <row r="829">
      <c r="A829" s="9"/>
      <c r="D829" s="35"/>
    </row>
    <row r="830">
      <c r="A830" s="9"/>
      <c r="D830" s="35"/>
    </row>
    <row r="831">
      <c r="A831" s="9"/>
      <c r="D831" s="35"/>
    </row>
    <row r="832">
      <c r="A832" s="9"/>
      <c r="D832" s="35"/>
    </row>
    <row r="833">
      <c r="A833" s="9"/>
      <c r="D833" s="35"/>
    </row>
    <row r="834">
      <c r="A834" s="9"/>
      <c r="D834" s="35"/>
    </row>
    <row r="835">
      <c r="A835" s="9"/>
      <c r="D835" s="35"/>
    </row>
    <row r="836">
      <c r="A836" s="9"/>
      <c r="D836" s="35"/>
    </row>
    <row r="837">
      <c r="A837" s="9"/>
      <c r="D837" s="35"/>
    </row>
    <row r="838">
      <c r="A838" s="9"/>
      <c r="D838" s="35"/>
    </row>
    <row r="839">
      <c r="A839" s="9"/>
      <c r="D839" s="35"/>
    </row>
    <row r="840">
      <c r="A840" s="9"/>
      <c r="D840" s="35"/>
    </row>
    <row r="841">
      <c r="A841" s="9"/>
      <c r="D841" s="35"/>
    </row>
    <row r="842">
      <c r="A842" s="9"/>
      <c r="D842" s="35"/>
    </row>
    <row r="843">
      <c r="A843" s="9"/>
      <c r="D843" s="35"/>
    </row>
    <row r="844">
      <c r="A844" s="9"/>
      <c r="D844" s="35"/>
    </row>
    <row r="845">
      <c r="A845" s="9"/>
      <c r="D845" s="35"/>
    </row>
    <row r="846">
      <c r="A846" s="9"/>
      <c r="D846" s="35"/>
    </row>
    <row r="847">
      <c r="A847" s="9"/>
      <c r="D847" s="35"/>
    </row>
    <row r="848">
      <c r="A848" s="9"/>
      <c r="D848" s="35"/>
    </row>
    <row r="849">
      <c r="A849" s="9"/>
      <c r="D849" s="35"/>
    </row>
    <row r="850">
      <c r="A850" s="9"/>
      <c r="D850" s="35"/>
    </row>
    <row r="851">
      <c r="A851" s="9"/>
      <c r="D851" s="35"/>
    </row>
    <row r="852">
      <c r="A852" s="9"/>
      <c r="D852" s="35"/>
    </row>
    <row r="853">
      <c r="A853" s="9"/>
      <c r="D853" s="35"/>
    </row>
    <row r="854">
      <c r="A854" s="9"/>
      <c r="D854" s="35"/>
    </row>
    <row r="855">
      <c r="A855" s="9"/>
      <c r="D855" s="35"/>
    </row>
    <row r="856">
      <c r="A856" s="9"/>
      <c r="D856" s="35"/>
    </row>
    <row r="857">
      <c r="A857" s="9"/>
      <c r="D857" s="35"/>
    </row>
    <row r="858">
      <c r="A858" s="9"/>
      <c r="D858" s="35"/>
    </row>
    <row r="859">
      <c r="A859" s="9"/>
      <c r="D859" s="35"/>
    </row>
    <row r="860">
      <c r="A860" s="9"/>
      <c r="D860" s="35"/>
    </row>
    <row r="861">
      <c r="A861" s="9"/>
      <c r="D861" s="35"/>
    </row>
    <row r="862">
      <c r="A862" s="9"/>
      <c r="D862" s="35"/>
    </row>
    <row r="863">
      <c r="A863" s="9"/>
      <c r="D863" s="35"/>
    </row>
    <row r="864">
      <c r="A864" s="9"/>
      <c r="D864" s="35"/>
    </row>
    <row r="865">
      <c r="A865" s="9"/>
      <c r="D865" s="35"/>
    </row>
    <row r="866">
      <c r="A866" s="9"/>
      <c r="D866" s="35"/>
    </row>
    <row r="867">
      <c r="A867" s="9"/>
      <c r="D867" s="35"/>
    </row>
    <row r="868">
      <c r="A868" s="9"/>
      <c r="D868" s="35"/>
    </row>
    <row r="869">
      <c r="A869" s="9"/>
      <c r="D869" s="35"/>
    </row>
    <row r="870">
      <c r="A870" s="9"/>
      <c r="D870" s="35"/>
    </row>
    <row r="871">
      <c r="A871" s="9"/>
      <c r="D871" s="35"/>
    </row>
    <row r="872">
      <c r="A872" s="9"/>
      <c r="D872" s="35"/>
    </row>
    <row r="873">
      <c r="A873" s="9"/>
      <c r="D873" s="35"/>
    </row>
    <row r="874">
      <c r="A874" s="9"/>
      <c r="D874" s="35"/>
    </row>
    <row r="875">
      <c r="A875" s="9"/>
      <c r="D875" s="35"/>
    </row>
    <row r="876">
      <c r="A876" s="9"/>
      <c r="D876" s="35"/>
    </row>
    <row r="877">
      <c r="A877" s="9"/>
      <c r="D877" s="35"/>
    </row>
    <row r="878">
      <c r="A878" s="9"/>
      <c r="D878" s="35"/>
    </row>
    <row r="879">
      <c r="A879" s="9"/>
      <c r="D879" s="35"/>
    </row>
    <row r="880">
      <c r="A880" s="9"/>
      <c r="D880" s="35"/>
    </row>
    <row r="881">
      <c r="A881" s="9"/>
      <c r="D881" s="35"/>
    </row>
    <row r="882">
      <c r="A882" s="9"/>
      <c r="D882" s="35"/>
    </row>
    <row r="883">
      <c r="A883" s="9"/>
      <c r="D883" s="35"/>
    </row>
    <row r="884">
      <c r="A884" s="9"/>
      <c r="D884" s="35"/>
    </row>
    <row r="885">
      <c r="A885" s="9"/>
      <c r="D885" s="35"/>
    </row>
    <row r="886">
      <c r="A886" s="9"/>
      <c r="D886" s="35"/>
    </row>
    <row r="887">
      <c r="A887" s="9"/>
      <c r="D887" s="35"/>
    </row>
    <row r="888">
      <c r="A888" s="9"/>
      <c r="D888" s="35"/>
    </row>
    <row r="889">
      <c r="A889" s="9"/>
      <c r="D889" s="35"/>
    </row>
    <row r="890">
      <c r="A890" s="9"/>
      <c r="D890" s="35"/>
    </row>
    <row r="891">
      <c r="A891" s="9"/>
      <c r="D891" s="35"/>
    </row>
    <row r="892">
      <c r="A892" s="9"/>
      <c r="D892" s="35"/>
    </row>
    <row r="893">
      <c r="A893" s="9"/>
      <c r="D893" s="35"/>
    </row>
    <row r="894">
      <c r="A894" s="9"/>
      <c r="D894" s="35"/>
    </row>
    <row r="895">
      <c r="A895" s="9"/>
      <c r="D895" s="35"/>
    </row>
    <row r="896">
      <c r="A896" s="9"/>
      <c r="D896" s="35"/>
    </row>
    <row r="897">
      <c r="A897" s="9"/>
      <c r="D897" s="35"/>
    </row>
    <row r="898">
      <c r="A898" s="9"/>
      <c r="D898" s="35"/>
    </row>
    <row r="899">
      <c r="A899" s="9"/>
      <c r="D899" s="35"/>
    </row>
    <row r="900">
      <c r="A900" s="9"/>
      <c r="D900" s="35"/>
    </row>
    <row r="901">
      <c r="A901" s="9"/>
      <c r="D901" s="35"/>
    </row>
    <row r="902">
      <c r="A902" s="9"/>
      <c r="D902" s="35"/>
    </row>
    <row r="903">
      <c r="A903" s="9"/>
      <c r="D903" s="35"/>
    </row>
    <row r="904">
      <c r="A904" s="9"/>
      <c r="D904" s="35"/>
    </row>
    <row r="905">
      <c r="A905" s="9"/>
      <c r="D905" s="35"/>
    </row>
    <row r="906">
      <c r="A906" s="9"/>
      <c r="D906" s="35"/>
    </row>
    <row r="907">
      <c r="A907" s="9"/>
      <c r="D907" s="35"/>
    </row>
    <row r="908">
      <c r="A908" s="9"/>
      <c r="D908" s="35"/>
    </row>
    <row r="909">
      <c r="A909" s="9"/>
      <c r="D909" s="35"/>
    </row>
    <row r="910">
      <c r="A910" s="9"/>
      <c r="D910" s="35"/>
    </row>
    <row r="911">
      <c r="A911" s="9"/>
      <c r="D911" s="35"/>
    </row>
    <row r="912">
      <c r="A912" s="9"/>
      <c r="D912" s="35"/>
    </row>
    <row r="913">
      <c r="A913" s="9"/>
      <c r="D913" s="35"/>
    </row>
    <row r="914">
      <c r="A914" s="9"/>
      <c r="D914" s="35"/>
    </row>
    <row r="915">
      <c r="A915" s="9"/>
      <c r="D915" s="35"/>
    </row>
    <row r="916">
      <c r="A916" s="9"/>
      <c r="D916" s="35"/>
    </row>
    <row r="917">
      <c r="A917" s="9"/>
      <c r="D917" s="35"/>
    </row>
    <row r="918">
      <c r="A918" s="9"/>
      <c r="D918" s="35"/>
    </row>
    <row r="919">
      <c r="A919" s="9"/>
      <c r="D919" s="35"/>
    </row>
    <row r="920">
      <c r="A920" s="9"/>
      <c r="D920" s="35"/>
    </row>
    <row r="921">
      <c r="A921" s="9"/>
      <c r="D921" s="35"/>
    </row>
    <row r="922">
      <c r="A922" s="9"/>
      <c r="D922" s="35"/>
    </row>
    <row r="923">
      <c r="A923" s="9"/>
      <c r="D923" s="35"/>
    </row>
    <row r="924">
      <c r="A924" s="9"/>
      <c r="D924" s="35"/>
    </row>
    <row r="925">
      <c r="A925" s="9"/>
      <c r="D925" s="35"/>
    </row>
    <row r="926">
      <c r="A926" s="9"/>
      <c r="D926" s="35"/>
    </row>
    <row r="927">
      <c r="A927" s="9"/>
      <c r="D927" s="35"/>
    </row>
    <row r="928">
      <c r="A928" s="9"/>
      <c r="D928" s="35"/>
    </row>
    <row r="929">
      <c r="A929" s="9"/>
      <c r="D929" s="35"/>
    </row>
    <row r="930">
      <c r="A930" s="9"/>
      <c r="D930" s="35"/>
    </row>
    <row r="931">
      <c r="A931" s="9"/>
      <c r="D931" s="35"/>
    </row>
    <row r="932">
      <c r="A932" s="9"/>
      <c r="D932" s="35"/>
    </row>
    <row r="933">
      <c r="A933" s="9"/>
      <c r="D933" s="35"/>
    </row>
    <row r="934">
      <c r="A934" s="9"/>
      <c r="D934" s="35"/>
    </row>
    <row r="935">
      <c r="A935" s="9"/>
      <c r="D935" s="35"/>
    </row>
    <row r="936">
      <c r="A936" s="9"/>
      <c r="D936" s="35"/>
    </row>
    <row r="937">
      <c r="A937" s="9"/>
      <c r="D937" s="35"/>
    </row>
    <row r="938">
      <c r="A938" s="9"/>
      <c r="D938" s="35"/>
    </row>
    <row r="939">
      <c r="A939" s="9"/>
      <c r="D939" s="35"/>
    </row>
    <row r="940">
      <c r="A940" s="9"/>
      <c r="D940" s="35"/>
    </row>
    <row r="941">
      <c r="A941" s="9"/>
      <c r="D941" s="35"/>
    </row>
    <row r="942">
      <c r="A942" s="9"/>
      <c r="D942" s="35"/>
    </row>
    <row r="943">
      <c r="A943" s="9"/>
      <c r="D943" s="35"/>
    </row>
    <row r="944">
      <c r="A944" s="9"/>
      <c r="D944" s="35"/>
    </row>
    <row r="945">
      <c r="A945" s="9"/>
      <c r="D945" s="35"/>
    </row>
    <row r="946">
      <c r="A946" s="9"/>
      <c r="D946" s="35"/>
    </row>
    <row r="947">
      <c r="A947" s="9"/>
      <c r="D947" s="35"/>
    </row>
    <row r="948">
      <c r="A948" s="9"/>
      <c r="D948" s="35"/>
    </row>
    <row r="949">
      <c r="A949" s="9"/>
      <c r="D949" s="35"/>
    </row>
    <row r="950">
      <c r="A950" s="9"/>
      <c r="D950" s="35"/>
    </row>
    <row r="951">
      <c r="A951" s="9"/>
      <c r="D951" s="35"/>
    </row>
    <row r="952">
      <c r="A952" s="9"/>
      <c r="D952" s="35"/>
    </row>
    <row r="953">
      <c r="A953" s="9"/>
      <c r="D953" s="35"/>
    </row>
    <row r="954">
      <c r="A954" s="9"/>
      <c r="D954" s="35"/>
    </row>
    <row r="955">
      <c r="A955" s="9"/>
      <c r="D955" s="35"/>
    </row>
    <row r="956">
      <c r="A956" s="9"/>
      <c r="D956" s="35"/>
    </row>
    <row r="957">
      <c r="A957" s="9"/>
      <c r="D957" s="35"/>
    </row>
    <row r="958">
      <c r="A958" s="9"/>
      <c r="D958" s="35"/>
    </row>
    <row r="959">
      <c r="A959" s="9"/>
      <c r="D959" s="35"/>
    </row>
    <row r="960">
      <c r="A960" s="9"/>
      <c r="D960" s="35"/>
    </row>
    <row r="961">
      <c r="A961" s="9"/>
      <c r="D961" s="35"/>
    </row>
    <row r="962">
      <c r="A962" s="9"/>
      <c r="D962" s="35"/>
    </row>
    <row r="963">
      <c r="A963" s="9"/>
      <c r="D963" s="35"/>
    </row>
    <row r="964">
      <c r="A964" s="9"/>
      <c r="D964" s="35"/>
    </row>
    <row r="965">
      <c r="A965" s="9"/>
      <c r="D965" s="35"/>
    </row>
    <row r="966">
      <c r="A966" s="9"/>
      <c r="D966" s="35"/>
    </row>
    <row r="967">
      <c r="A967" s="9"/>
      <c r="D967" s="35"/>
    </row>
    <row r="968">
      <c r="A968" s="9"/>
      <c r="D968" s="35"/>
    </row>
    <row r="969">
      <c r="A969" s="9"/>
      <c r="D969" s="35"/>
    </row>
    <row r="970">
      <c r="A970" s="9"/>
      <c r="D970" s="35"/>
    </row>
    <row r="971">
      <c r="A971" s="9"/>
      <c r="D971" s="35"/>
    </row>
    <row r="972">
      <c r="A972" s="9"/>
      <c r="D972" s="35"/>
    </row>
    <row r="973">
      <c r="A973" s="9"/>
      <c r="D973" s="35"/>
    </row>
    <row r="974">
      <c r="A974" s="9"/>
      <c r="D974" s="35"/>
    </row>
    <row r="975">
      <c r="A975" s="9"/>
      <c r="D975" s="35"/>
    </row>
    <row r="976">
      <c r="A976" s="9"/>
      <c r="D976" s="35"/>
    </row>
    <row r="977">
      <c r="A977" s="9"/>
      <c r="D977" s="35"/>
    </row>
    <row r="978">
      <c r="A978" s="9"/>
      <c r="D978" s="35"/>
    </row>
    <row r="979">
      <c r="A979" s="9"/>
      <c r="D979" s="35"/>
    </row>
    <row r="980">
      <c r="A980" s="9"/>
      <c r="D980" s="35"/>
    </row>
    <row r="981">
      <c r="A981" s="9"/>
      <c r="D981" s="35"/>
    </row>
    <row r="982">
      <c r="A982" s="9"/>
      <c r="D982" s="35"/>
    </row>
    <row r="983">
      <c r="A983" s="9"/>
      <c r="D983" s="35"/>
    </row>
    <row r="984">
      <c r="A984" s="9"/>
      <c r="D984" s="35"/>
    </row>
    <row r="985">
      <c r="A985" s="9"/>
      <c r="D985" s="35"/>
    </row>
    <row r="986">
      <c r="A986" s="9"/>
      <c r="D986" s="35"/>
    </row>
    <row r="987">
      <c r="A987" s="9"/>
      <c r="D987" s="35"/>
    </row>
    <row r="988">
      <c r="A988" s="9"/>
      <c r="D988" s="35"/>
    </row>
    <row r="989">
      <c r="A989" s="9"/>
      <c r="D989" s="35"/>
    </row>
    <row r="990">
      <c r="A990" s="9"/>
      <c r="D990" s="35"/>
    </row>
    <row r="991">
      <c r="A991" s="9"/>
      <c r="D991" s="35"/>
    </row>
    <row r="992">
      <c r="A992" s="9"/>
      <c r="D992" s="35"/>
    </row>
    <row r="993">
      <c r="A993" s="9"/>
      <c r="D993" s="35"/>
    </row>
    <row r="994">
      <c r="A994" s="9"/>
      <c r="D994" s="35"/>
    </row>
    <row r="995">
      <c r="A995" s="9"/>
      <c r="D995" s="35"/>
    </row>
    <row r="996">
      <c r="A996" s="9"/>
      <c r="D996" s="35"/>
    </row>
    <row r="997">
      <c r="A997" s="9"/>
      <c r="D997" s="35"/>
    </row>
    <row r="998">
      <c r="A998" s="9"/>
      <c r="D998" s="35"/>
    </row>
    <row r="999">
      <c r="A999" s="9"/>
      <c r="D999" s="35"/>
    </row>
    <row r="1000">
      <c r="A1000" s="9"/>
      <c r="D1000" s="35"/>
    </row>
    <row r="1001">
      <c r="A1001" s="9"/>
      <c r="D1001" s="3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21.75"/>
  </cols>
  <sheetData>
    <row r="1">
      <c r="A1" s="1"/>
      <c r="B1" s="2" t="s">
        <v>0</v>
      </c>
      <c r="C1" s="2" t="s">
        <v>3</v>
      </c>
      <c r="D1" s="2" t="s">
        <v>9</v>
      </c>
    </row>
    <row r="2">
      <c r="A2" s="5">
        <v>1.0</v>
      </c>
      <c r="B2" s="12">
        <v>176550.0</v>
      </c>
      <c r="C2" s="12">
        <v>362000.0</v>
      </c>
      <c r="D2" s="12">
        <v>176000.0</v>
      </c>
    </row>
    <row r="3">
      <c r="A3" s="5">
        <v>2.0</v>
      </c>
      <c r="B3" s="12">
        <v>164800.0</v>
      </c>
      <c r="C3" s="12">
        <v>359000.0</v>
      </c>
      <c r="D3" s="12">
        <v>389976.0</v>
      </c>
    </row>
    <row r="4">
      <c r="A4" s="3">
        <v>3.0</v>
      </c>
      <c r="B4" s="8"/>
      <c r="C4" s="8"/>
      <c r="D4" s="8"/>
    </row>
    <row r="5">
      <c r="A5" s="5">
        <v>4.0</v>
      </c>
      <c r="B5" s="12">
        <v>118500.0</v>
      </c>
      <c r="C5" s="12">
        <v>402000.0</v>
      </c>
      <c r="D5" s="6">
        <v>77800.0</v>
      </c>
    </row>
    <row r="6">
      <c r="A6" s="5">
        <v>5.0</v>
      </c>
      <c r="B6" s="12">
        <v>273600.0</v>
      </c>
      <c r="C6" s="12">
        <v>83000.0</v>
      </c>
      <c r="D6" s="6">
        <v>230000.0</v>
      </c>
    </row>
    <row r="7">
      <c r="A7" s="5">
        <v>6.0</v>
      </c>
      <c r="B7" s="12">
        <v>84200.0</v>
      </c>
      <c r="C7" s="12">
        <v>285000.0</v>
      </c>
      <c r="D7" s="6">
        <v>40000.0</v>
      </c>
    </row>
    <row r="8">
      <c r="A8" s="5">
        <v>7.0</v>
      </c>
      <c r="B8" s="12">
        <v>134300.0</v>
      </c>
      <c r="C8" s="12">
        <v>323000.0</v>
      </c>
      <c r="D8" s="6">
        <v>138000.0</v>
      </c>
    </row>
    <row r="9">
      <c r="A9" s="5">
        <v>8.0</v>
      </c>
      <c r="B9" s="12">
        <v>72900.0</v>
      </c>
      <c r="C9" s="12">
        <v>268000.0</v>
      </c>
      <c r="D9" s="6">
        <v>296928.0</v>
      </c>
    </row>
    <row r="10">
      <c r="A10" s="5">
        <v>9.0</v>
      </c>
      <c r="B10" s="12">
        <v>26300.0</v>
      </c>
      <c r="C10" s="12">
        <v>567000.0</v>
      </c>
      <c r="D10" s="6">
        <v>214000.0</v>
      </c>
      <c r="E10" s="10" t="s">
        <v>10</v>
      </c>
    </row>
    <row r="11">
      <c r="A11" s="3">
        <v>10.0</v>
      </c>
      <c r="B11" s="8"/>
      <c r="C11" s="8"/>
      <c r="D11" s="8"/>
    </row>
    <row r="12">
      <c r="A12" s="5">
        <v>11.0</v>
      </c>
      <c r="B12" s="12">
        <v>68000.0</v>
      </c>
      <c r="C12" s="12">
        <v>215000.0</v>
      </c>
      <c r="D12" s="6">
        <v>361800.0</v>
      </c>
    </row>
    <row r="13">
      <c r="A13" s="5">
        <v>12.0</v>
      </c>
      <c r="B13" s="12">
        <v>34300.0</v>
      </c>
      <c r="C13" s="12">
        <v>286000.0</v>
      </c>
      <c r="D13" s="6">
        <v>128000.0</v>
      </c>
    </row>
    <row r="14">
      <c r="A14" s="5">
        <v>13.0</v>
      </c>
      <c r="B14" s="12">
        <v>9700.0</v>
      </c>
      <c r="C14" s="12">
        <v>476000.0</v>
      </c>
      <c r="D14" s="6">
        <v>150000.0</v>
      </c>
    </row>
    <row r="15">
      <c r="A15" s="5">
        <v>14.0</v>
      </c>
      <c r="B15" s="12">
        <v>106600.0</v>
      </c>
      <c r="C15" s="12">
        <v>513000.0</v>
      </c>
      <c r="D15" s="6">
        <v>148142.0</v>
      </c>
    </row>
    <row r="16">
      <c r="A16" s="5">
        <v>15.0</v>
      </c>
      <c r="B16" s="12">
        <v>66800.0</v>
      </c>
      <c r="C16" s="12">
        <v>424000.0</v>
      </c>
      <c r="D16" s="6">
        <v>143968.0</v>
      </c>
    </row>
    <row r="17">
      <c r="A17" s="5">
        <v>16.0</v>
      </c>
      <c r="B17" s="12">
        <v>338100.0</v>
      </c>
      <c r="C17" s="12">
        <v>451000.0</v>
      </c>
      <c r="D17" s="6">
        <v>465899.0</v>
      </c>
    </row>
    <row r="18">
      <c r="A18" s="3">
        <v>17.0</v>
      </c>
      <c r="B18" s="8"/>
      <c r="C18" s="8"/>
      <c r="D18" s="8"/>
    </row>
    <row r="19">
      <c r="A19" s="5">
        <v>18.0</v>
      </c>
      <c r="B19" s="12">
        <v>88600.0</v>
      </c>
      <c r="C19" s="12">
        <v>313000.0</v>
      </c>
      <c r="D19" s="6">
        <v>65000.0</v>
      </c>
    </row>
    <row r="20">
      <c r="A20" s="5">
        <v>19.0</v>
      </c>
      <c r="B20" s="12">
        <v>68600.0</v>
      </c>
      <c r="C20" s="12">
        <v>385000.0</v>
      </c>
      <c r="D20" s="6">
        <v>55000.0</v>
      </c>
    </row>
    <row r="21">
      <c r="A21" s="5">
        <v>20.0</v>
      </c>
      <c r="B21" s="12">
        <v>210600.0</v>
      </c>
      <c r="C21" s="12">
        <v>363000.0</v>
      </c>
      <c r="D21" s="6"/>
    </row>
    <row r="22">
      <c r="A22" s="5">
        <v>21.0</v>
      </c>
      <c r="B22" s="12">
        <v>49400.0</v>
      </c>
      <c r="C22" s="12">
        <v>303000.0</v>
      </c>
      <c r="D22" s="6"/>
    </row>
    <row r="23">
      <c r="A23" s="5">
        <v>22.0</v>
      </c>
      <c r="B23" s="12">
        <v>83900.0</v>
      </c>
      <c r="C23" s="12">
        <v>478000.0</v>
      </c>
      <c r="D23" s="6"/>
    </row>
    <row r="24">
      <c r="A24" s="5">
        <v>23.0</v>
      </c>
      <c r="B24" s="12">
        <v>31000.0</v>
      </c>
      <c r="C24" s="12">
        <v>240000.0</v>
      </c>
      <c r="D24" s="6">
        <v>209000.0</v>
      </c>
      <c r="G24" s="10" t="s">
        <v>7</v>
      </c>
    </row>
    <row r="25">
      <c r="A25" s="3">
        <v>24.0</v>
      </c>
      <c r="B25" s="8"/>
      <c r="C25" s="8"/>
      <c r="D25" s="8"/>
    </row>
    <row r="26">
      <c r="A26" s="5">
        <v>25.0</v>
      </c>
      <c r="B26" s="12">
        <v>295900.0</v>
      </c>
      <c r="C26" s="12">
        <v>309000.0</v>
      </c>
      <c r="D26" s="6">
        <v>0.0</v>
      </c>
    </row>
    <row r="27">
      <c r="A27" s="5">
        <v>26.0</v>
      </c>
      <c r="B27" s="12">
        <v>131800.0</v>
      </c>
      <c r="C27" s="12">
        <v>423000.0</v>
      </c>
      <c r="D27" s="6">
        <v>29900.0</v>
      </c>
    </row>
    <row r="28">
      <c r="A28" s="5">
        <v>27.0</v>
      </c>
      <c r="B28" s="6">
        <v>144800.0</v>
      </c>
      <c r="C28" s="12">
        <v>285000.0</v>
      </c>
      <c r="D28" s="6">
        <v>0.0</v>
      </c>
    </row>
    <row r="29">
      <c r="A29" s="5">
        <v>28.0</v>
      </c>
      <c r="B29" s="6">
        <v>0.0</v>
      </c>
      <c r="C29" s="12">
        <v>243000.0</v>
      </c>
      <c r="D29" s="6">
        <v>116000.0</v>
      </c>
    </row>
    <row r="30">
      <c r="A30" s="5">
        <v>29.0</v>
      </c>
      <c r="B30" s="6">
        <v>191200.0</v>
      </c>
      <c r="C30" s="6">
        <v>371000.0</v>
      </c>
      <c r="D30" s="6"/>
    </row>
    <row r="31">
      <c r="A31" s="5">
        <v>30.0</v>
      </c>
      <c r="B31" s="12">
        <v>79400.0</v>
      </c>
      <c r="C31" s="12">
        <v>422000.0</v>
      </c>
      <c r="D31" s="6">
        <v>136000.0</v>
      </c>
    </row>
    <row r="32">
      <c r="A32" s="5"/>
      <c r="B32" s="6"/>
      <c r="C32" s="6"/>
      <c r="D32" s="6"/>
    </row>
    <row r="33">
      <c r="A33" s="5"/>
      <c r="B33" s="7"/>
      <c r="C33" s="7"/>
      <c r="D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21.75"/>
  </cols>
  <sheetData>
    <row r="1">
      <c r="A1" s="1"/>
      <c r="B1" s="2" t="s">
        <v>0</v>
      </c>
      <c r="C1" s="2" t="s">
        <v>3</v>
      </c>
      <c r="D1" s="2" t="s">
        <v>9</v>
      </c>
    </row>
    <row r="2">
      <c r="A2" s="3">
        <v>1.0</v>
      </c>
      <c r="B2" s="8"/>
      <c r="C2" s="8"/>
      <c r="D2" s="8"/>
    </row>
    <row r="3">
      <c r="A3" s="5">
        <v>2.0</v>
      </c>
      <c r="B3" s="12">
        <v>252800.0</v>
      </c>
      <c r="C3" s="12">
        <v>242000.0</v>
      </c>
      <c r="D3" s="6">
        <v>80000.0</v>
      </c>
    </row>
    <row r="4">
      <c r="A4" s="5">
        <v>3.0</v>
      </c>
      <c r="B4" s="12">
        <v>49000.0</v>
      </c>
      <c r="C4" s="12">
        <v>423000.0</v>
      </c>
      <c r="D4" s="6">
        <v>68000.0</v>
      </c>
    </row>
    <row r="5">
      <c r="A5" s="5">
        <v>4.0</v>
      </c>
      <c r="B5" s="12">
        <v>51300.0</v>
      </c>
      <c r="C5" s="12">
        <v>422000.0</v>
      </c>
      <c r="D5" s="6">
        <v>189500.0</v>
      </c>
    </row>
    <row r="6">
      <c r="A6" s="5">
        <v>5.0</v>
      </c>
      <c r="B6" s="12">
        <v>221200.0</v>
      </c>
      <c r="C6" s="12">
        <v>150000.0</v>
      </c>
      <c r="D6" s="6">
        <v>250300.0</v>
      </c>
    </row>
    <row r="7">
      <c r="A7" s="5">
        <v>6.0</v>
      </c>
      <c r="B7" s="12">
        <v>92900.0</v>
      </c>
      <c r="C7" s="12">
        <v>388000.0</v>
      </c>
      <c r="D7" s="6">
        <v>323528.0</v>
      </c>
    </row>
    <row r="8">
      <c r="A8" s="5">
        <v>7.0</v>
      </c>
      <c r="B8" s="12">
        <v>190800.0</v>
      </c>
      <c r="C8" s="12">
        <v>393000.0</v>
      </c>
      <c r="D8" s="6">
        <v>176000.0</v>
      </c>
      <c r="F8" s="38"/>
    </row>
    <row r="9">
      <c r="A9" s="3">
        <v>8.0</v>
      </c>
      <c r="B9" s="8"/>
      <c r="C9" s="8"/>
      <c r="D9" s="8"/>
    </row>
    <row r="10">
      <c r="A10" s="5">
        <v>9.0</v>
      </c>
      <c r="B10" s="12">
        <v>74900.0</v>
      </c>
      <c r="C10" s="12">
        <v>268000.0</v>
      </c>
      <c r="D10" s="6">
        <v>84750.0</v>
      </c>
    </row>
    <row r="11">
      <c r="A11" s="5">
        <v>10.0</v>
      </c>
      <c r="B11" s="12">
        <v>224500.0</v>
      </c>
      <c r="C11" s="12">
        <v>314000.0</v>
      </c>
      <c r="D11" s="6">
        <v>143000.0</v>
      </c>
    </row>
    <row r="12">
      <c r="A12" s="5">
        <v>11.0</v>
      </c>
      <c r="B12" s="12">
        <v>58500.0</v>
      </c>
      <c r="C12" s="12">
        <v>369000.0</v>
      </c>
      <c r="D12" s="6">
        <v>60000.0</v>
      </c>
    </row>
    <row r="13">
      <c r="A13" s="5">
        <v>12.0</v>
      </c>
      <c r="B13" s="12">
        <v>0.0</v>
      </c>
      <c r="C13" s="12">
        <v>298000.0</v>
      </c>
      <c r="D13" s="6"/>
    </row>
    <row r="14">
      <c r="A14" s="5">
        <v>13.0</v>
      </c>
      <c r="B14" s="12">
        <v>96700.0</v>
      </c>
      <c r="C14" s="12">
        <v>183000.0</v>
      </c>
      <c r="D14" s="6"/>
    </row>
    <row r="15">
      <c r="A15" s="5">
        <v>14.0</v>
      </c>
      <c r="B15" s="12">
        <v>69000.0</v>
      </c>
      <c r="C15" s="12">
        <v>378000.0</v>
      </c>
      <c r="D15" s="6">
        <v>296950.0</v>
      </c>
    </row>
    <row r="16">
      <c r="A16" s="3">
        <v>15.0</v>
      </c>
      <c r="B16" s="8"/>
      <c r="C16" s="8"/>
      <c r="D16" s="8"/>
    </row>
    <row r="17">
      <c r="A17" s="3">
        <v>16.0</v>
      </c>
      <c r="B17" s="8"/>
      <c r="C17" s="8"/>
      <c r="D17" s="8"/>
    </row>
    <row r="18">
      <c r="A18" s="5">
        <v>17.0</v>
      </c>
      <c r="B18" s="12">
        <v>233900.0</v>
      </c>
      <c r="C18" s="12">
        <v>135000.0</v>
      </c>
      <c r="D18" s="6">
        <v>40000.0</v>
      </c>
    </row>
    <row r="19">
      <c r="A19" s="5">
        <v>18.0</v>
      </c>
      <c r="B19" s="12">
        <v>65500.0</v>
      </c>
      <c r="C19" s="12">
        <v>426000.0</v>
      </c>
      <c r="D19" s="6">
        <v>0.0</v>
      </c>
    </row>
    <row r="20">
      <c r="A20" s="5">
        <v>19.0</v>
      </c>
      <c r="B20" s="12">
        <v>132900.0</v>
      </c>
      <c r="C20" s="12">
        <v>262000.0</v>
      </c>
      <c r="D20" s="6"/>
    </row>
    <row r="21">
      <c r="A21" s="5">
        <v>20.0</v>
      </c>
      <c r="B21" s="12">
        <v>14200.0</v>
      </c>
      <c r="C21" s="12">
        <v>282000.0</v>
      </c>
      <c r="D21" s="6"/>
    </row>
    <row r="22">
      <c r="A22" s="5">
        <v>21.0</v>
      </c>
      <c r="B22" s="12">
        <v>53300.0</v>
      </c>
      <c r="C22" s="12">
        <v>314000.0</v>
      </c>
      <c r="D22" s="6">
        <v>233000.0</v>
      </c>
    </row>
    <row r="23">
      <c r="A23" s="5">
        <v>22.0</v>
      </c>
      <c r="B23" s="12">
        <v>151600.0</v>
      </c>
      <c r="C23" s="12">
        <v>255000.0</v>
      </c>
      <c r="D23" s="6">
        <v>150000.0</v>
      </c>
    </row>
    <row r="24">
      <c r="A24" s="5">
        <v>23.0</v>
      </c>
      <c r="B24" s="8"/>
      <c r="C24" s="8"/>
      <c r="D24" s="8"/>
    </row>
    <row r="25">
      <c r="A25" s="5">
        <v>24.0</v>
      </c>
      <c r="B25" s="12">
        <v>145300.0</v>
      </c>
      <c r="C25" s="12">
        <v>412000.0</v>
      </c>
      <c r="D25" s="6"/>
    </row>
    <row r="26">
      <c r="A26" s="5">
        <v>25.0</v>
      </c>
      <c r="B26" s="12">
        <v>26000.0</v>
      </c>
      <c r="C26" s="12">
        <v>234000.0</v>
      </c>
      <c r="D26" s="6">
        <v>23900.0</v>
      </c>
      <c r="G26" s="10" t="s">
        <v>7</v>
      </c>
    </row>
    <row r="27">
      <c r="A27" s="5">
        <v>26.0</v>
      </c>
      <c r="B27" s="12">
        <v>41900.0</v>
      </c>
      <c r="C27" s="12">
        <v>161000.0</v>
      </c>
      <c r="D27" s="6">
        <v>200548.0</v>
      </c>
    </row>
    <row r="28">
      <c r="A28" s="5">
        <v>27.0</v>
      </c>
      <c r="B28" s="12">
        <v>61600.0</v>
      </c>
      <c r="C28" s="12">
        <v>402000.0</v>
      </c>
      <c r="D28" s="6"/>
      <c r="E28" s="10">
        <v>62200.0</v>
      </c>
    </row>
    <row r="29">
      <c r="A29" s="5">
        <v>28.0</v>
      </c>
      <c r="B29" s="12">
        <v>156200.0</v>
      </c>
      <c r="C29" s="12">
        <v>381000.0</v>
      </c>
      <c r="D29" s="6"/>
    </row>
    <row r="30">
      <c r="A30" s="3">
        <v>29.0</v>
      </c>
      <c r="B30" s="8"/>
      <c r="C30" s="8"/>
      <c r="D30" s="8"/>
    </row>
    <row r="31">
      <c r="A31" s="5">
        <v>30.0</v>
      </c>
      <c r="B31" s="12">
        <v>174900.0</v>
      </c>
      <c r="C31" s="12">
        <v>413000.0</v>
      </c>
      <c r="D31" s="6">
        <v>115000.0</v>
      </c>
    </row>
    <row r="32">
      <c r="A32" s="5">
        <v>31.0</v>
      </c>
      <c r="B32" s="12">
        <v>241200.0</v>
      </c>
      <c r="C32" s="12">
        <v>404000.0</v>
      </c>
      <c r="D32" s="6">
        <v>138075.0</v>
      </c>
      <c r="E32" s="10">
        <v>491000.0</v>
      </c>
    </row>
    <row r="33">
      <c r="A33" s="5"/>
      <c r="B33" s="6"/>
      <c r="C33" s="6"/>
      <c r="D33" s="6"/>
    </row>
    <row r="34">
      <c r="A34" s="5"/>
      <c r="B34" s="6"/>
      <c r="C34" s="6"/>
      <c r="D34" s="6"/>
    </row>
    <row r="35">
      <c r="A35" s="5"/>
      <c r="B35" s="7"/>
      <c r="C35" s="7"/>
      <c r="D35" s="7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21.75"/>
  </cols>
  <sheetData>
    <row r="1">
      <c r="A1" s="1"/>
      <c r="B1" s="2" t="s">
        <v>0</v>
      </c>
      <c r="C1" s="2" t="s">
        <v>3</v>
      </c>
      <c r="D1" s="2" t="s">
        <v>9</v>
      </c>
    </row>
    <row r="2">
      <c r="A2" s="5">
        <v>1.0</v>
      </c>
      <c r="B2" s="12">
        <v>167400.0</v>
      </c>
      <c r="C2" s="12">
        <v>261000.0</v>
      </c>
      <c r="D2" s="6"/>
    </row>
    <row r="3">
      <c r="A3" s="5">
        <v>2.0</v>
      </c>
      <c r="B3" s="12">
        <v>192000.0</v>
      </c>
      <c r="C3" s="12">
        <v>180000.0</v>
      </c>
      <c r="D3" s="6"/>
    </row>
    <row r="4">
      <c r="A4" s="3">
        <v>3.0</v>
      </c>
      <c r="B4" s="8"/>
      <c r="C4" s="8"/>
      <c r="D4" s="8"/>
    </row>
    <row r="5">
      <c r="A5" s="5">
        <v>4.0</v>
      </c>
      <c r="B5" s="12">
        <v>147000.0</v>
      </c>
      <c r="C5" s="12">
        <v>554000.0</v>
      </c>
      <c r="D5" s="6"/>
    </row>
    <row r="6">
      <c r="A6" s="5">
        <v>5.0</v>
      </c>
      <c r="B6" s="12">
        <v>35000.0</v>
      </c>
      <c r="C6" s="12">
        <v>465000.0</v>
      </c>
      <c r="D6" s="6"/>
      <c r="E6" s="10">
        <v>882600.0</v>
      </c>
    </row>
    <row r="7">
      <c r="A7" s="5">
        <v>6.0</v>
      </c>
      <c r="B7" s="12">
        <v>231200.0</v>
      </c>
      <c r="C7" s="12">
        <v>345000.0</v>
      </c>
      <c r="D7" s="6"/>
      <c r="E7" s="10">
        <v>1057900.0</v>
      </c>
    </row>
    <row r="8">
      <c r="A8" s="5">
        <v>7.0</v>
      </c>
      <c r="B8" s="12">
        <v>71000.0</v>
      </c>
      <c r="C8" s="12">
        <v>339000.0</v>
      </c>
      <c r="D8" s="6"/>
      <c r="F8" s="38"/>
    </row>
    <row r="9">
      <c r="A9" s="3">
        <v>8.0</v>
      </c>
      <c r="B9" s="8"/>
      <c r="C9" s="8"/>
      <c r="D9" s="8"/>
    </row>
    <row r="10">
      <c r="A10" s="5">
        <v>9.0</v>
      </c>
      <c r="B10" s="12">
        <v>46900.0</v>
      </c>
      <c r="C10" s="12">
        <v>496000.0</v>
      </c>
      <c r="D10" s="6"/>
    </row>
    <row r="11">
      <c r="A11" s="3">
        <v>10.0</v>
      </c>
      <c r="B11" s="8"/>
      <c r="C11" s="8"/>
      <c r="D11" s="8"/>
      <c r="E11" s="39"/>
    </row>
    <row r="12">
      <c r="A12" s="5">
        <v>11.0</v>
      </c>
      <c r="B12" s="12">
        <v>66137.0</v>
      </c>
      <c r="C12" s="12">
        <v>427000.0</v>
      </c>
      <c r="D12" s="6"/>
      <c r="E12" s="10">
        <v>1261000.0</v>
      </c>
    </row>
    <row r="13">
      <c r="A13" s="5">
        <v>12.0</v>
      </c>
      <c r="B13" s="12">
        <v>86600.0</v>
      </c>
      <c r="C13" s="12">
        <v>233000.0</v>
      </c>
      <c r="D13" s="6"/>
      <c r="E13" s="10">
        <v>1245300.0</v>
      </c>
    </row>
    <row r="14">
      <c r="A14" s="5">
        <v>13.0</v>
      </c>
      <c r="B14" s="12">
        <v>0.0</v>
      </c>
      <c r="C14" s="12">
        <v>295000.0</v>
      </c>
      <c r="D14" s="6"/>
      <c r="E14" s="10">
        <v>1529700.0</v>
      </c>
    </row>
    <row r="15">
      <c r="A15" s="5">
        <v>14.0</v>
      </c>
      <c r="B15" s="12">
        <v>227100.0</v>
      </c>
      <c r="C15" s="12">
        <v>358000.0</v>
      </c>
      <c r="D15" s="6"/>
      <c r="E15" s="10">
        <v>2082700.0</v>
      </c>
    </row>
    <row r="16">
      <c r="A16" s="5">
        <v>15.0</v>
      </c>
      <c r="B16" s="12">
        <v>48000.0</v>
      </c>
      <c r="C16" s="12">
        <v>551000.0</v>
      </c>
      <c r="D16" s="6"/>
      <c r="E16" s="10">
        <v>968850.0</v>
      </c>
      <c r="F16" s="10">
        <v>321300.0</v>
      </c>
    </row>
    <row r="17">
      <c r="A17" s="5">
        <v>16.0</v>
      </c>
      <c r="B17" s="12">
        <v>99000.0</v>
      </c>
      <c r="C17" s="12">
        <v>319000.0</v>
      </c>
      <c r="D17" s="6"/>
      <c r="E17" s="10">
        <v>1306000.0</v>
      </c>
    </row>
    <row r="18">
      <c r="A18" s="3">
        <v>17.0</v>
      </c>
      <c r="B18" s="8"/>
      <c r="C18" s="8"/>
      <c r="D18" s="8"/>
    </row>
    <row r="19">
      <c r="A19" s="5">
        <v>18.0</v>
      </c>
      <c r="B19" s="12">
        <v>60200.0</v>
      </c>
      <c r="C19" s="12">
        <v>635000.0</v>
      </c>
      <c r="D19" s="6"/>
      <c r="E19" s="10">
        <v>1073900.0</v>
      </c>
    </row>
    <row r="20">
      <c r="A20" s="5">
        <v>19.0</v>
      </c>
      <c r="B20" s="12">
        <v>265000.0</v>
      </c>
      <c r="C20" s="12">
        <v>604000.0</v>
      </c>
      <c r="D20" s="6"/>
      <c r="E20" s="10">
        <v>1274900.0</v>
      </c>
    </row>
    <row r="21">
      <c r="A21" s="5">
        <v>20.0</v>
      </c>
      <c r="B21" s="12">
        <v>287500.0</v>
      </c>
      <c r="C21" s="12">
        <v>439000.0</v>
      </c>
      <c r="D21" s="6"/>
      <c r="E21" s="10">
        <v>1121750.0</v>
      </c>
    </row>
    <row r="22">
      <c r="A22" s="5">
        <v>21.0</v>
      </c>
      <c r="B22" s="12">
        <v>98000.0</v>
      </c>
      <c r="C22" s="12">
        <v>607000.0</v>
      </c>
      <c r="D22" s="6"/>
      <c r="E22" s="10">
        <v>1776600.0</v>
      </c>
      <c r="F22" s="10">
        <v>54900.0</v>
      </c>
    </row>
    <row r="23">
      <c r="A23" s="5">
        <v>22.0</v>
      </c>
      <c r="B23" s="12">
        <v>304600.0</v>
      </c>
      <c r="C23" s="12">
        <v>652000.0</v>
      </c>
      <c r="D23" s="6"/>
      <c r="E23" s="10">
        <v>1687250.0</v>
      </c>
    </row>
    <row r="24">
      <c r="A24" s="5">
        <v>23.0</v>
      </c>
      <c r="B24" s="12">
        <v>776200.0</v>
      </c>
      <c r="C24" s="12">
        <v>469000.0</v>
      </c>
      <c r="D24" s="6"/>
      <c r="E24" s="10">
        <v>2911650.0</v>
      </c>
      <c r="F24" s="10">
        <v>76000.0</v>
      </c>
      <c r="G24" s="10">
        <v>542750.0</v>
      </c>
    </row>
    <row r="25">
      <c r="A25" s="5">
        <v>24.0</v>
      </c>
      <c r="B25" s="12">
        <v>474605.0</v>
      </c>
      <c r="C25" s="12">
        <v>360000.0</v>
      </c>
      <c r="D25" s="6"/>
      <c r="E25" s="10">
        <v>3698400.0</v>
      </c>
      <c r="F25" s="10">
        <v>1101400.0</v>
      </c>
      <c r="G25" s="10">
        <v>123505.0</v>
      </c>
    </row>
    <row r="26">
      <c r="A26" s="3">
        <v>25.0</v>
      </c>
      <c r="B26" s="8"/>
      <c r="C26" s="8"/>
      <c r="D26" s="8"/>
    </row>
    <row r="27">
      <c r="A27" s="5">
        <v>26.0</v>
      </c>
      <c r="B27" s="12">
        <v>141600.0</v>
      </c>
      <c r="C27" s="12">
        <v>415000.0</v>
      </c>
      <c r="D27" s="6"/>
      <c r="E27" s="10">
        <v>1363300.0</v>
      </c>
      <c r="F27" s="10">
        <v>67905.0</v>
      </c>
    </row>
    <row r="28">
      <c r="A28" s="5">
        <v>27.0</v>
      </c>
      <c r="B28" s="12">
        <v>174400.0</v>
      </c>
      <c r="C28" s="12">
        <v>331000.0</v>
      </c>
      <c r="D28" s="6"/>
      <c r="E28" s="10">
        <v>1880300.0</v>
      </c>
      <c r="F28" s="10">
        <v>56300.0</v>
      </c>
      <c r="G28" s="10" t="s">
        <v>7</v>
      </c>
    </row>
    <row r="29">
      <c r="A29" s="5">
        <v>28.0</v>
      </c>
      <c r="B29" s="12">
        <v>136600.0</v>
      </c>
      <c r="C29" s="12">
        <v>392000.0</v>
      </c>
      <c r="D29" s="6"/>
      <c r="E29" s="10">
        <v>2427200.0</v>
      </c>
      <c r="F29" s="10">
        <v>37800.0</v>
      </c>
    </row>
    <row r="30">
      <c r="A30" s="5">
        <v>29.0</v>
      </c>
      <c r="B30" s="12">
        <v>201250.0</v>
      </c>
      <c r="C30" s="12">
        <v>607000.0</v>
      </c>
      <c r="D30" s="6"/>
      <c r="E30" s="10">
        <v>1562600.0</v>
      </c>
      <c r="F30" s="10">
        <v>37650.0</v>
      </c>
    </row>
    <row r="31">
      <c r="A31" s="5">
        <v>30.0</v>
      </c>
      <c r="B31" s="12">
        <v>321900.0</v>
      </c>
      <c r="C31" s="12">
        <v>524000.0</v>
      </c>
      <c r="D31" s="6"/>
      <c r="E31" s="10">
        <v>1372250.0</v>
      </c>
      <c r="F31" s="10">
        <v>78900.0</v>
      </c>
    </row>
    <row r="32">
      <c r="A32" s="5"/>
      <c r="B32" s="6">
        <v>530775.0</v>
      </c>
      <c r="C32" s="6"/>
      <c r="D32" s="6"/>
    </row>
    <row r="33">
      <c r="A33" s="5"/>
      <c r="B33" s="6">
        <f>B32-B31</f>
        <v>208875</v>
      </c>
      <c r="C33" s="6"/>
      <c r="D33" s="6"/>
    </row>
    <row r="34">
      <c r="A34" s="5"/>
      <c r="B34" s="6"/>
      <c r="C34" s="6"/>
      <c r="D34" s="6"/>
    </row>
    <row r="35">
      <c r="A35" s="5"/>
      <c r="B35" s="6"/>
      <c r="C35" s="6"/>
      <c r="D35" s="6"/>
    </row>
    <row r="36">
      <c r="A36" s="5"/>
      <c r="B36" s="6"/>
      <c r="C36" s="6"/>
      <c r="D36" s="6"/>
    </row>
    <row r="37">
      <c r="A37" s="5"/>
      <c r="B37" s="7"/>
      <c r="C37" s="7"/>
      <c r="D37" s="7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7.88"/>
    <col customWidth="1" min="4" max="4" width="21.75"/>
  </cols>
  <sheetData>
    <row r="1">
      <c r="A1" s="1"/>
      <c r="B1" s="2" t="s">
        <v>0</v>
      </c>
      <c r="C1" s="2" t="s">
        <v>3</v>
      </c>
      <c r="D1" s="2" t="s">
        <v>9</v>
      </c>
    </row>
    <row r="2">
      <c r="A2" s="5">
        <v>1.0</v>
      </c>
      <c r="B2" s="12">
        <v>129400.0</v>
      </c>
      <c r="C2" s="12">
        <v>425000.0</v>
      </c>
      <c r="D2" s="12">
        <v>48000.0</v>
      </c>
    </row>
    <row r="3">
      <c r="A3" s="5">
        <v>2.0</v>
      </c>
      <c r="B3" s="12">
        <v>240300.0</v>
      </c>
      <c r="C3" s="12">
        <v>357000.0</v>
      </c>
      <c r="D3" s="6">
        <v>292000.0</v>
      </c>
    </row>
    <row r="4">
      <c r="A4" s="5">
        <v>3.0</v>
      </c>
      <c r="B4" s="12">
        <v>595550.0</v>
      </c>
      <c r="C4" s="12">
        <v>569000.0</v>
      </c>
      <c r="D4" s="6"/>
    </row>
    <row r="5">
      <c r="A5" s="5">
        <v>4.0</v>
      </c>
      <c r="B5" s="12">
        <v>282600.0</v>
      </c>
      <c r="C5" s="12">
        <v>343000.0</v>
      </c>
      <c r="D5" s="6">
        <v>320950.0</v>
      </c>
    </row>
    <row r="6">
      <c r="A6" s="3">
        <v>5.0</v>
      </c>
      <c r="B6" s="8"/>
      <c r="C6" s="8"/>
      <c r="D6" s="8"/>
    </row>
    <row r="7">
      <c r="A7" s="3">
        <v>6.0</v>
      </c>
      <c r="B7" s="8"/>
      <c r="C7" s="8"/>
      <c r="D7" s="8"/>
    </row>
    <row r="8">
      <c r="A8" s="5">
        <v>7.0</v>
      </c>
      <c r="B8" s="12">
        <v>182700.0</v>
      </c>
      <c r="C8" s="12">
        <v>151000.0</v>
      </c>
      <c r="D8" s="6"/>
      <c r="F8" s="38"/>
    </row>
    <row r="9">
      <c r="A9" s="5">
        <v>8.0</v>
      </c>
      <c r="B9" s="12">
        <v>73500.0</v>
      </c>
      <c r="C9" s="12">
        <v>154000.0</v>
      </c>
      <c r="D9" s="6">
        <v>195000.0</v>
      </c>
    </row>
    <row r="10">
      <c r="A10" s="5">
        <v>9.0</v>
      </c>
      <c r="B10" s="12">
        <v>67000.0</v>
      </c>
      <c r="C10" s="12">
        <v>331000.0</v>
      </c>
      <c r="D10" s="6">
        <v>134000.0</v>
      </c>
    </row>
    <row r="11">
      <c r="A11" s="5">
        <v>10.0</v>
      </c>
      <c r="B11" s="12">
        <v>210650.0</v>
      </c>
      <c r="C11" s="12">
        <v>388000.0</v>
      </c>
      <c r="D11" s="6">
        <v>80000.0</v>
      </c>
      <c r="E11" s="39"/>
    </row>
    <row r="12">
      <c r="A12" s="5">
        <v>11.0</v>
      </c>
      <c r="B12" s="12">
        <v>197900.0</v>
      </c>
      <c r="C12" s="12">
        <v>446000.0</v>
      </c>
      <c r="D12" s="6">
        <v>62050.0</v>
      </c>
    </row>
    <row r="13">
      <c r="A13" s="3">
        <v>12.0</v>
      </c>
      <c r="B13" s="8"/>
      <c r="C13" s="8"/>
      <c r="D13" s="8"/>
    </row>
    <row r="14">
      <c r="A14" s="3">
        <v>13.0</v>
      </c>
      <c r="B14" s="8"/>
      <c r="C14" s="8"/>
      <c r="D14" s="8"/>
    </row>
    <row r="15">
      <c r="A15" s="5">
        <v>14.0</v>
      </c>
      <c r="B15" s="12">
        <v>67000.0</v>
      </c>
      <c r="C15" s="12">
        <v>238000.0</v>
      </c>
      <c r="D15" s="6">
        <v>90000.0</v>
      </c>
    </row>
    <row r="16">
      <c r="A16" s="5">
        <v>15.0</v>
      </c>
      <c r="B16" s="12">
        <v>50000.0</v>
      </c>
      <c r="C16" s="12">
        <v>150000.0</v>
      </c>
      <c r="D16" s="6"/>
    </row>
    <row r="17">
      <c r="A17" s="5">
        <v>16.0</v>
      </c>
      <c r="B17" s="12">
        <v>179500.0</v>
      </c>
      <c r="C17" s="12">
        <v>243000.0</v>
      </c>
      <c r="D17" s="6">
        <v>84000.0</v>
      </c>
    </row>
    <row r="18">
      <c r="A18" s="5">
        <v>17.0</v>
      </c>
      <c r="B18" s="12">
        <v>98500.0</v>
      </c>
      <c r="C18" s="12">
        <v>198000.0</v>
      </c>
      <c r="D18" s="6"/>
    </row>
    <row r="19">
      <c r="A19" s="5">
        <v>18.0</v>
      </c>
      <c r="B19" s="12">
        <v>59000.0</v>
      </c>
      <c r="C19" s="12">
        <v>422000.0</v>
      </c>
      <c r="D19" s="6"/>
    </row>
    <row r="20">
      <c r="A20" s="3">
        <v>19.0</v>
      </c>
      <c r="B20" s="8"/>
      <c r="C20" s="8"/>
      <c r="D20" s="8"/>
    </row>
    <row r="21">
      <c r="A21" s="5">
        <v>20.0</v>
      </c>
      <c r="B21" s="12">
        <v>0.0</v>
      </c>
      <c r="C21" s="12">
        <v>177000.0</v>
      </c>
      <c r="D21" s="6"/>
    </row>
    <row r="22">
      <c r="A22" s="5">
        <v>21.0</v>
      </c>
      <c r="B22" s="12">
        <v>135900.0</v>
      </c>
      <c r="C22" s="12">
        <v>557000.0</v>
      </c>
      <c r="D22" s="6">
        <v>57000.0</v>
      </c>
    </row>
    <row r="23">
      <c r="A23" s="5">
        <v>22.0</v>
      </c>
      <c r="B23" s="12">
        <v>312700.0</v>
      </c>
      <c r="C23" s="12">
        <v>501000.0</v>
      </c>
      <c r="D23" s="6"/>
    </row>
    <row r="24">
      <c r="A24" s="5">
        <v>23.0</v>
      </c>
      <c r="B24" s="12">
        <v>330500.0</v>
      </c>
      <c r="C24" s="12">
        <f>536000+5000</f>
        <v>541000</v>
      </c>
      <c r="D24" s="6"/>
    </row>
    <row r="25">
      <c r="A25" s="5">
        <v>24.0</v>
      </c>
      <c r="B25" s="12">
        <v>185000.0</v>
      </c>
      <c r="C25" s="12">
        <v>178000.0</v>
      </c>
      <c r="D25" s="6"/>
    </row>
    <row r="26">
      <c r="A26" s="5">
        <v>25.0</v>
      </c>
      <c r="B26" s="12">
        <v>177800.0</v>
      </c>
      <c r="C26" s="12">
        <v>450000.0</v>
      </c>
      <c r="D26" s="6">
        <v>215500.0</v>
      </c>
    </row>
    <row r="27">
      <c r="A27" s="3">
        <v>26.0</v>
      </c>
      <c r="B27" s="8"/>
      <c r="C27" s="8"/>
      <c r="D27" s="6"/>
    </row>
    <row r="28">
      <c r="A28" s="5">
        <v>27.0</v>
      </c>
      <c r="B28" s="12">
        <v>155000.0</v>
      </c>
      <c r="C28" s="12">
        <v>317000.0</v>
      </c>
      <c r="D28" s="6"/>
      <c r="G28" s="10" t="s">
        <v>7</v>
      </c>
    </row>
    <row r="29">
      <c r="A29" s="5">
        <v>28.0</v>
      </c>
      <c r="B29" s="12">
        <v>228800.0</v>
      </c>
      <c r="C29" s="12">
        <v>465000.0</v>
      </c>
      <c r="D29" s="6">
        <v>237157.0</v>
      </c>
    </row>
    <row r="30">
      <c r="A30" s="5">
        <v>29.0</v>
      </c>
      <c r="B30" s="12">
        <v>8000.0</v>
      </c>
      <c r="C30" s="12">
        <v>267000.0</v>
      </c>
      <c r="D30" s="6"/>
    </row>
    <row r="31">
      <c r="A31" s="5">
        <v>30.0</v>
      </c>
      <c r="B31" s="12">
        <v>255600.0</v>
      </c>
      <c r="C31" s="12">
        <v>173000.0</v>
      </c>
      <c r="D31" s="6"/>
    </row>
    <row r="32">
      <c r="A32" s="5"/>
      <c r="B32" s="6"/>
      <c r="C32" s="6"/>
      <c r="D32" s="6"/>
    </row>
    <row r="33">
      <c r="A33" s="5"/>
      <c r="B33" s="6"/>
      <c r="C33" s="6"/>
      <c r="D33" s="6"/>
    </row>
    <row r="34">
      <c r="A34" s="5"/>
      <c r="B34" s="6"/>
      <c r="C34" s="6"/>
      <c r="D34" s="6"/>
    </row>
    <row r="35">
      <c r="A35" s="5"/>
      <c r="B35" s="6"/>
      <c r="C35" s="6"/>
      <c r="D35" s="6"/>
    </row>
    <row r="36">
      <c r="A36" s="5"/>
      <c r="B36" s="6"/>
      <c r="C36" s="6"/>
      <c r="D36" s="6"/>
    </row>
    <row r="37">
      <c r="A37" s="5"/>
      <c r="B37" s="7"/>
      <c r="C37" s="7"/>
      <c r="D37" s="7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</sheetData>
  <drawing r:id="rId1"/>
</worksheet>
</file>