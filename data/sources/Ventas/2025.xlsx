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ERO" sheetId="1" r:id="rId5"/>
    <sheet state="visible" name="Copia de ENERO" sheetId="2" r:id="rId6"/>
    <sheet state="visible" name="FEBRERO" sheetId="3" r:id="rId7"/>
    <sheet state="visible" name="Copia de FEBRERO" sheetId="4" r:id="rId8"/>
    <sheet state="visible" name="MARZO" sheetId="5" r:id="rId9"/>
    <sheet state="visible" name="Copia de MARZO" sheetId="6" r:id="rId10"/>
    <sheet state="visible" name="ABRIL" sheetId="7" r:id="rId11"/>
    <sheet state="visible" name="Copia de ABRIL" sheetId="8" r:id="rId12"/>
    <sheet state="visible" name="MAYO" sheetId="9" r:id="rId13"/>
    <sheet state="visible" name="Copia de MAYO" sheetId="10" r:id="rId14"/>
    <sheet state="visible" name="JUNIO" sheetId="11" r:id="rId15"/>
    <sheet state="visible" name="Copia de JUNIO" sheetId="12" r:id="rId16"/>
    <sheet state="visible" name="JULIO" sheetId="13" r:id="rId17"/>
    <sheet state="visible" name="Copia de JULIO" sheetId="14" r:id="rId18"/>
    <sheet state="visible" name="AGOSTO" sheetId="15" r:id="rId19"/>
    <sheet state="visible" name="SEPTIEMBRE" sheetId="16" r:id="rId20"/>
    <sheet state="visible" name="OCTUBRE" sheetId="17" r:id="rId21"/>
    <sheet state="visible" name="NOVIEMBRE" sheetId="18" r:id="rId22"/>
    <sheet state="visible" name="DICIEMBRE" sheetId="19" r:id="rId23"/>
    <sheet state="visible" name="Copia de DICIEMBRE" sheetId="20" r:id="rId24"/>
    <sheet state="visible" name="Copia de NOVIEMBRE" sheetId="21" r:id="rId25"/>
    <sheet state="visible" name="Copia de SEPTIEMBRE" sheetId="22" r:id="rId26"/>
    <sheet state="visible" name="Copia de Agosto" sheetId="23" r:id="rId27"/>
    <sheet state="visible" name="Copia de OCTUBRE" sheetId="24" r:id="rId28"/>
  </sheets>
  <definedNames/>
  <calcPr/>
</workbook>
</file>

<file path=xl/sharedStrings.xml><?xml version="1.0" encoding="utf-8"?>
<sst xmlns="http://schemas.openxmlformats.org/spreadsheetml/2006/main" count="124" uniqueCount="14">
  <si>
    <t>VENTAS ALMACÉN ANTES IVA</t>
  </si>
  <si>
    <t>IVA</t>
  </si>
  <si>
    <t>VENTAS TOTAL ALMACÉN</t>
  </si>
  <si>
    <t>PELUQUERÍA</t>
  </si>
  <si>
    <t>TOTAL VENTAS DÍA</t>
  </si>
  <si>
    <t>VENTAS ACUMULADAS</t>
  </si>
  <si>
    <t>TOTAL</t>
  </si>
  <si>
    <t>-</t>
  </si>
  <si>
    <t xml:space="preserve">ALMACEN </t>
  </si>
  <si>
    <t>PELUQUERIA</t>
  </si>
  <si>
    <t>1.721.200</t>
  </si>
  <si>
    <t>¿</t>
  </si>
  <si>
    <t xml:space="preserve">TOTAL </t>
  </si>
  <si>
    <t>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</si>
</sst>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 $]#,##0"/>
  </numFmts>
  <fonts count="5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readingOrder="0"/>
    </xf>
    <xf borderId="1" fillId="2" fontId="3" numFmtId="164" xfId="0" applyBorder="1" applyFont="1" applyNumberFormat="1"/>
    <xf borderId="1" fillId="0" fontId="2" numFmtId="0" xfId="0" applyAlignment="1" applyBorder="1" applyFont="1">
      <alignment horizontal="center" readingOrder="0"/>
    </xf>
    <xf borderId="1" fillId="0" fontId="3" numFmtId="164" xfId="0" applyAlignment="1" applyBorder="1" applyFont="1" applyNumberFormat="1">
      <alignment readingOrder="0"/>
    </xf>
    <xf borderId="1" fillId="0" fontId="3" numFmtId="164" xfId="0" applyBorder="1" applyFont="1" applyNumberFormat="1"/>
    <xf borderId="1" fillId="2" fontId="3" numFmtId="164" xfId="0" applyAlignment="1" applyBorder="1" applyFont="1" applyNumberFormat="1">
      <alignment readingOrder="0"/>
    </xf>
    <xf borderId="0" fillId="0" fontId="3" numFmtId="0" xfId="0" applyAlignment="1" applyFont="1">
      <alignment horizontal="center"/>
    </xf>
    <xf borderId="1" fillId="3" fontId="3" numFmtId="164" xfId="0" applyAlignment="1" applyBorder="1" applyFill="1" applyFont="1" applyNumberFormat="1">
      <alignment readingOrder="0"/>
    </xf>
    <xf borderId="0" fillId="0" fontId="3" numFmtId="3" xfId="0" applyAlignment="1" applyFont="1" applyNumberFormat="1">
      <alignment readingOrder="0"/>
    </xf>
    <xf borderId="0" fillId="0" fontId="3" numFmtId="0" xfId="0" applyAlignment="1" applyFont="1">
      <alignment readingOrder="0"/>
    </xf>
    <xf borderId="1" fillId="4" fontId="2" numFmtId="0" xfId="0" applyAlignment="1" applyBorder="1" applyFill="1" applyFont="1">
      <alignment horizontal="center" readingOrder="0"/>
    </xf>
    <xf borderId="1" fillId="4" fontId="3" numFmtId="164" xfId="0" applyAlignment="1" applyBorder="1" applyFont="1" applyNumberFormat="1">
      <alignment readingOrder="0"/>
    </xf>
    <xf borderId="1" fillId="4" fontId="3" numFmtId="164" xfId="0" applyBorder="1" applyFont="1" applyNumberFormat="1"/>
    <xf borderId="1" fillId="0" fontId="2" numFmtId="1" xfId="0" applyAlignment="1" applyBorder="1" applyFont="1" applyNumberFormat="1">
      <alignment horizontal="right" readingOrder="0"/>
    </xf>
    <xf borderId="0" fillId="0" fontId="3" numFmtId="164" xfId="0" applyFont="1" applyNumberFormat="1"/>
    <xf borderId="0" fillId="4" fontId="3" numFmtId="164" xfId="0" applyFont="1" applyNumberFormat="1"/>
    <xf borderId="0" fillId="0" fontId="2" numFmtId="0" xfId="0" applyAlignment="1" applyFont="1">
      <alignment horizontal="center" readingOrder="0"/>
    </xf>
    <xf borderId="0" fillId="0" fontId="3" numFmtId="164" xfId="0" applyAlignment="1" applyFont="1" applyNumberFormat="1">
      <alignment readingOrder="0"/>
    </xf>
    <xf borderId="0" fillId="4" fontId="3" numFmtId="164" xfId="0" applyAlignment="1" applyFont="1" applyNumberFormat="1">
      <alignment readingOrder="0"/>
    </xf>
    <xf borderId="1" fillId="5" fontId="2" numFmtId="0" xfId="0" applyAlignment="1" applyBorder="1" applyFill="1" applyFont="1">
      <alignment horizontal="center" readingOrder="0"/>
    </xf>
    <xf borderId="1" fillId="5" fontId="3" numFmtId="164" xfId="0" applyAlignment="1" applyBorder="1" applyFont="1" applyNumberFormat="1">
      <alignment readingOrder="0"/>
    </xf>
    <xf borderId="1" fillId="3" fontId="4" numFmtId="164" xfId="0" applyAlignment="1" applyBorder="1" applyFont="1" applyNumberFormat="1">
      <alignment readingOrder="0"/>
    </xf>
    <xf borderId="1" fillId="0" fontId="1" numFmtId="0" xfId="0" applyAlignment="1" applyBorder="1" applyFont="1">
      <alignment horizontal="center" readingOrder="0"/>
    </xf>
    <xf borderId="0" fillId="2" fontId="3" numFmtId="0" xfId="0" applyFont="1"/>
    <xf borderId="0" fillId="2" fontId="3" numFmtId="3" xfId="0" applyAlignment="1" applyFont="1" applyNumberFormat="1">
      <alignment readingOrder="0"/>
    </xf>
    <xf borderId="0" fillId="2" fontId="3" numFmtId="0" xfId="0" applyAlignment="1" applyFont="1">
      <alignment readingOrder="0"/>
    </xf>
    <xf borderId="1" fillId="6" fontId="3" numFmtId="164" xfId="0" applyAlignment="1" applyBorder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8.25"/>
    <col customWidth="1" min="3" max="3" width="8.38"/>
    <col customWidth="1" min="4" max="4" width="18.5"/>
    <col customWidth="1" min="5" max="5" width="16.25"/>
    <col customWidth="1" min="6" max="6" width="18.5"/>
    <col customWidth="1" min="7" max="7" width="17.7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>
      <c r="A2" s="3">
        <v>1.0</v>
      </c>
      <c r="B2" s="4"/>
      <c r="C2" s="4"/>
      <c r="D2" s="4"/>
      <c r="E2" s="4"/>
      <c r="F2" s="4"/>
      <c r="G2" s="4"/>
    </row>
    <row r="3">
      <c r="A3" s="3">
        <v>2.0</v>
      </c>
      <c r="B3" s="4"/>
      <c r="C3" s="4"/>
      <c r="D3" s="4"/>
      <c r="E3" s="4"/>
      <c r="F3" s="4"/>
      <c r="G3" s="4"/>
    </row>
    <row r="4">
      <c r="A4" s="5">
        <v>3.0</v>
      </c>
      <c r="B4" s="6">
        <v>205422.0</v>
      </c>
      <c r="C4" s="6">
        <v>30632.0</v>
      </c>
      <c r="D4" s="7">
        <f t="shared" ref="D4:D5" si="1">C4+B4</f>
        <v>236054</v>
      </c>
      <c r="E4" s="6">
        <v>255000.0</v>
      </c>
      <c r="F4" s="7">
        <f>B4+E4</f>
        <v>460422</v>
      </c>
      <c r="G4" s="7">
        <f>F4</f>
        <v>460422</v>
      </c>
    </row>
    <row r="5">
      <c r="A5" s="5">
        <v>4.0</v>
      </c>
      <c r="B5" s="6">
        <v>305920.0</v>
      </c>
      <c r="C5" s="6">
        <v>23828.0</v>
      </c>
      <c r="D5" s="7">
        <f t="shared" si="1"/>
        <v>329748</v>
      </c>
      <c r="E5" s="6">
        <v>635000.0</v>
      </c>
      <c r="F5" s="7">
        <f>E5+B5</f>
        <v>940920</v>
      </c>
      <c r="G5" s="7">
        <f>G4+F5</f>
        <v>1401342</v>
      </c>
    </row>
    <row r="6">
      <c r="A6" s="3">
        <v>5.0</v>
      </c>
      <c r="B6" s="4"/>
      <c r="C6" s="4"/>
      <c r="D6" s="4"/>
      <c r="E6" s="4"/>
      <c r="F6" s="4"/>
      <c r="G6" s="4"/>
    </row>
    <row r="7">
      <c r="A7" s="3">
        <v>6.0</v>
      </c>
      <c r="B7" s="4"/>
      <c r="C7" s="4"/>
      <c r="D7" s="4"/>
      <c r="E7" s="8"/>
      <c r="F7" s="4"/>
      <c r="G7" s="4"/>
    </row>
    <row r="8">
      <c r="A8" s="5">
        <v>7.0</v>
      </c>
      <c r="B8" s="6">
        <v>9714.0</v>
      </c>
      <c r="C8" s="6">
        <v>486.0</v>
      </c>
      <c r="D8" s="7">
        <f t="shared" ref="D8:D12" si="2">C8+B8</f>
        <v>10200</v>
      </c>
      <c r="E8" s="6">
        <v>315000.0</v>
      </c>
      <c r="F8" s="7">
        <f t="shared" ref="F8:F12" si="3">E8+B8</f>
        <v>324714</v>
      </c>
      <c r="G8" s="7">
        <f>G5+F8</f>
        <v>1726056</v>
      </c>
    </row>
    <row r="9">
      <c r="A9" s="5">
        <v>8.0</v>
      </c>
      <c r="B9" s="6">
        <v>248235.0</v>
      </c>
      <c r="C9" s="6">
        <v>13462.0</v>
      </c>
      <c r="D9" s="7">
        <f t="shared" si="2"/>
        <v>261697</v>
      </c>
      <c r="E9" s="6">
        <v>765000.0</v>
      </c>
      <c r="F9" s="7">
        <f t="shared" si="3"/>
        <v>1013235</v>
      </c>
      <c r="G9" s="7">
        <f t="shared" ref="G9:G12" si="4">G8+F9</f>
        <v>2739291</v>
      </c>
    </row>
    <row r="10">
      <c r="A10" s="5">
        <v>9.0</v>
      </c>
      <c r="B10" s="6">
        <v>117125.0</v>
      </c>
      <c r="C10" s="6">
        <v>12774.0</v>
      </c>
      <c r="D10" s="7">
        <f t="shared" si="2"/>
        <v>129899</v>
      </c>
      <c r="E10" s="6">
        <v>735000.0</v>
      </c>
      <c r="F10" s="7">
        <f t="shared" si="3"/>
        <v>852125</v>
      </c>
      <c r="G10" s="7">
        <f t="shared" si="4"/>
        <v>3591416</v>
      </c>
    </row>
    <row r="11">
      <c r="A11" s="5">
        <v>10.0</v>
      </c>
      <c r="B11" s="6">
        <v>285123.0</v>
      </c>
      <c r="C11" s="6">
        <v>28374.0</v>
      </c>
      <c r="D11" s="7">
        <f t="shared" si="2"/>
        <v>313497</v>
      </c>
      <c r="E11" s="6">
        <v>435000.0</v>
      </c>
      <c r="F11" s="7">
        <f t="shared" si="3"/>
        <v>720123</v>
      </c>
      <c r="G11" s="7">
        <f t="shared" si="4"/>
        <v>4311539</v>
      </c>
    </row>
    <row r="12">
      <c r="A12" s="5">
        <v>11.0</v>
      </c>
      <c r="B12" s="6">
        <v>85068.0</v>
      </c>
      <c r="C12" s="6">
        <v>12829.0</v>
      </c>
      <c r="D12" s="7">
        <f t="shared" si="2"/>
        <v>97897</v>
      </c>
      <c r="E12" s="6">
        <v>692000.0</v>
      </c>
      <c r="F12" s="7">
        <f t="shared" si="3"/>
        <v>777068</v>
      </c>
      <c r="G12" s="7">
        <f t="shared" si="4"/>
        <v>5088607</v>
      </c>
    </row>
    <row r="13">
      <c r="A13" s="3">
        <v>12.0</v>
      </c>
      <c r="B13" s="8"/>
      <c r="C13" s="8"/>
      <c r="D13" s="4"/>
      <c r="E13" s="8"/>
      <c r="F13" s="4"/>
      <c r="G13" s="4"/>
    </row>
    <row r="14">
      <c r="A14" s="5">
        <v>13.0</v>
      </c>
      <c r="B14" s="6">
        <v>147642.0</v>
      </c>
      <c r="C14" s="6">
        <v>7197.0</v>
      </c>
      <c r="D14" s="7">
        <f>C14+B14</f>
        <v>154839</v>
      </c>
      <c r="E14" s="6">
        <v>465000.0</v>
      </c>
      <c r="F14" s="7">
        <f>E14+B14</f>
        <v>612642</v>
      </c>
      <c r="G14" s="7">
        <f>G12+F14</f>
        <v>5701249</v>
      </c>
    </row>
    <row r="15">
      <c r="A15" s="5">
        <v>14.0</v>
      </c>
      <c r="B15" s="6">
        <v>251608.0</v>
      </c>
      <c r="C15" s="6">
        <v>14085.0</v>
      </c>
      <c r="D15" s="7">
        <f t="shared" ref="D15:D18" si="5">B15+C15</f>
        <v>265693</v>
      </c>
      <c r="E15" s="6">
        <v>455000.0</v>
      </c>
      <c r="F15" s="7">
        <f>B15+E15</f>
        <v>706608</v>
      </c>
      <c r="G15" s="7">
        <f t="shared" ref="G15:G19" si="6">G14+F15</f>
        <v>6407857</v>
      </c>
    </row>
    <row r="16">
      <c r="A16" s="5">
        <v>15.0</v>
      </c>
      <c r="B16" s="6">
        <v>152065.0</v>
      </c>
      <c r="C16" s="6">
        <v>11133.0</v>
      </c>
      <c r="D16" s="7">
        <f t="shared" si="5"/>
        <v>163198</v>
      </c>
      <c r="E16" s="6">
        <v>541000.0</v>
      </c>
      <c r="F16" s="7">
        <f>E16+B16</f>
        <v>693065</v>
      </c>
      <c r="G16" s="7">
        <f t="shared" si="6"/>
        <v>7100922</v>
      </c>
    </row>
    <row r="17">
      <c r="A17" s="5">
        <v>16.0</v>
      </c>
      <c r="B17" s="6">
        <v>53174.0</v>
      </c>
      <c r="C17" s="6">
        <v>6044.0</v>
      </c>
      <c r="D17" s="7">
        <f t="shared" si="5"/>
        <v>59218</v>
      </c>
      <c r="E17" s="6">
        <v>880000.0</v>
      </c>
      <c r="F17" s="7">
        <f t="shared" ref="F17:F18" si="7">B17+E17</f>
        <v>933174</v>
      </c>
      <c r="G17" s="7">
        <f t="shared" si="6"/>
        <v>8034096</v>
      </c>
    </row>
    <row r="18">
      <c r="A18" s="5">
        <v>17.0</v>
      </c>
      <c r="B18" s="6">
        <v>174521.0</v>
      </c>
      <c r="C18" s="6">
        <v>10126.0</v>
      </c>
      <c r="D18" s="7">
        <f t="shared" si="5"/>
        <v>184647</v>
      </c>
      <c r="E18" s="6">
        <v>655000.0</v>
      </c>
      <c r="F18" s="7">
        <f t="shared" si="7"/>
        <v>829521</v>
      </c>
      <c r="G18" s="7">
        <f t="shared" si="6"/>
        <v>8863617</v>
      </c>
    </row>
    <row r="19">
      <c r="A19" s="5">
        <v>18.0</v>
      </c>
      <c r="B19" s="6">
        <v>272211.0</v>
      </c>
      <c r="C19" s="6">
        <v>45423.0</v>
      </c>
      <c r="D19" s="7">
        <f>C19+B19</f>
        <v>317634</v>
      </c>
      <c r="E19" s="6">
        <v>850000.0</v>
      </c>
      <c r="F19" s="7">
        <f>E19+B19</f>
        <v>1122211</v>
      </c>
      <c r="G19" s="7">
        <f t="shared" si="6"/>
        <v>9985828</v>
      </c>
    </row>
    <row r="20">
      <c r="A20" s="3">
        <v>19.0</v>
      </c>
      <c r="B20" s="8"/>
      <c r="C20" s="8"/>
      <c r="D20" s="4"/>
      <c r="E20" s="8"/>
      <c r="F20" s="4"/>
      <c r="G20" s="4"/>
    </row>
    <row r="21">
      <c r="A21" s="5">
        <v>20.0</v>
      </c>
      <c r="B21" s="6">
        <v>162526.0</v>
      </c>
      <c r="C21" s="6">
        <v>18027.0</v>
      </c>
      <c r="D21" s="7">
        <f t="shared" ref="D21:D25" si="8">B21+C21</f>
        <v>180553</v>
      </c>
      <c r="E21" s="6">
        <v>460000.0</v>
      </c>
      <c r="F21" s="7">
        <f t="shared" ref="F21:F25" si="9">B21+E21</f>
        <v>622526</v>
      </c>
      <c r="G21" s="7">
        <f>G19+F21</f>
        <v>10608354</v>
      </c>
    </row>
    <row r="22">
      <c r="A22" s="5">
        <v>21.0</v>
      </c>
      <c r="B22" s="6">
        <v>297328.0</v>
      </c>
      <c r="C22" s="6">
        <v>18399.0</v>
      </c>
      <c r="D22" s="7">
        <f t="shared" si="8"/>
        <v>315727</v>
      </c>
      <c r="E22" s="6">
        <v>475000.0</v>
      </c>
      <c r="F22" s="7">
        <f t="shared" si="9"/>
        <v>772328</v>
      </c>
      <c r="G22" s="7">
        <f t="shared" ref="G22:G26" si="10">G21+F22</f>
        <v>11380682</v>
      </c>
    </row>
    <row r="23">
      <c r="A23" s="5">
        <v>22.0</v>
      </c>
      <c r="B23" s="6">
        <v>118565.0</v>
      </c>
      <c r="C23" s="6">
        <v>5928.0</v>
      </c>
      <c r="D23" s="7">
        <f t="shared" si="8"/>
        <v>124493</v>
      </c>
      <c r="E23" s="6">
        <v>303000.0</v>
      </c>
      <c r="F23" s="7">
        <f t="shared" si="9"/>
        <v>421565</v>
      </c>
      <c r="G23" s="7">
        <f t="shared" si="10"/>
        <v>11802247</v>
      </c>
    </row>
    <row r="24">
      <c r="A24" s="5">
        <v>23.0</v>
      </c>
      <c r="B24" s="6">
        <v>191070.0</v>
      </c>
      <c r="C24" s="6">
        <v>9895.0</v>
      </c>
      <c r="D24" s="7">
        <f t="shared" si="8"/>
        <v>200965</v>
      </c>
      <c r="E24" s="6">
        <v>550000.0</v>
      </c>
      <c r="F24" s="7">
        <f t="shared" si="9"/>
        <v>741070</v>
      </c>
      <c r="G24" s="7">
        <f t="shared" si="10"/>
        <v>12543317</v>
      </c>
    </row>
    <row r="25">
      <c r="A25" s="5">
        <v>24.0</v>
      </c>
      <c r="B25" s="6">
        <v>322845.0</v>
      </c>
      <c r="C25" s="6">
        <v>22531.0</v>
      </c>
      <c r="D25" s="7">
        <f t="shared" si="8"/>
        <v>345376</v>
      </c>
      <c r="E25" s="6">
        <v>585000.0</v>
      </c>
      <c r="F25" s="7">
        <f t="shared" si="9"/>
        <v>907845</v>
      </c>
      <c r="G25" s="7">
        <f t="shared" si="10"/>
        <v>13451162</v>
      </c>
    </row>
    <row r="26">
      <c r="A26" s="5">
        <v>25.0</v>
      </c>
      <c r="B26" s="6">
        <v>431636.0</v>
      </c>
      <c r="C26" s="6">
        <v>25891.0</v>
      </c>
      <c r="D26" s="7">
        <f>C26+B26</f>
        <v>457527</v>
      </c>
      <c r="E26" s="6">
        <v>1040000.0</v>
      </c>
      <c r="F26" s="7">
        <f>E26+B26</f>
        <v>1471636</v>
      </c>
      <c r="G26" s="7">
        <f t="shared" si="10"/>
        <v>14922798</v>
      </c>
    </row>
    <row r="27">
      <c r="A27" s="3">
        <v>26.0</v>
      </c>
      <c r="B27" s="8"/>
      <c r="C27" s="8"/>
      <c r="D27" s="4"/>
      <c r="E27" s="8"/>
      <c r="F27" s="4"/>
      <c r="G27" s="4"/>
    </row>
    <row r="28">
      <c r="A28" s="5">
        <v>27.0</v>
      </c>
      <c r="B28" s="6">
        <v>0.0</v>
      </c>
      <c r="C28" s="6">
        <v>0.0</v>
      </c>
      <c r="D28" s="6">
        <v>0.0</v>
      </c>
      <c r="E28" s="6">
        <v>345000.0</v>
      </c>
      <c r="F28" s="7">
        <f>E28</f>
        <v>345000</v>
      </c>
      <c r="G28" s="7">
        <f>G26+F28</f>
        <v>15267798</v>
      </c>
    </row>
    <row r="29">
      <c r="A29" s="5">
        <v>28.0</v>
      </c>
      <c r="B29" s="6">
        <v>420176.0</v>
      </c>
      <c r="C29" s="6">
        <v>38532.0</v>
      </c>
      <c r="D29" s="7">
        <f>C29+B29</f>
        <v>458708</v>
      </c>
      <c r="E29" s="6">
        <v>923000.0</v>
      </c>
      <c r="F29" s="7">
        <f>E29+B29</f>
        <v>1343176</v>
      </c>
      <c r="G29" s="7">
        <f t="shared" ref="G29:G32" si="11">G28+F29</f>
        <v>16610974</v>
      </c>
    </row>
    <row r="30">
      <c r="A30" s="5">
        <v>29.0</v>
      </c>
      <c r="B30" s="6">
        <v>180143.0</v>
      </c>
      <c r="C30" s="6">
        <v>17407.0</v>
      </c>
      <c r="D30" s="7">
        <f t="shared" ref="D30:D32" si="12">B30+C30</f>
        <v>197550</v>
      </c>
      <c r="E30" s="6">
        <v>653000.0</v>
      </c>
      <c r="F30" s="7">
        <f t="shared" ref="F30:F32" si="13">B30+E30</f>
        <v>833143</v>
      </c>
      <c r="G30" s="7">
        <f t="shared" si="11"/>
        <v>17444117</v>
      </c>
    </row>
    <row r="31">
      <c r="A31" s="5">
        <v>30.0</v>
      </c>
      <c r="B31" s="6">
        <v>90284.0</v>
      </c>
      <c r="C31" s="6">
        <v>4514.0</v>
      </c>
      <c r="D31" s="7">
        <f t="shared" si="12"/>
        <v>94798</v>
      </c>
      <c r="E31" s="6">
        <v>503000.0</v>
      </c>
      <c r="F31" s="7">
        <f t="shared" si="13"/>
        <v>593284</v>
      </c>
      <c r="G31" s="7">
        <f t="shared" si="11"/>
        <v>18037401</v>
      </c>
    </row>
    <row r="32">
      <c r="A32" s="5">
        <v>31.0</v>
      </c>
      <c r="B32" s="6">
        <v>25375.0</v>
      </c>
      <c r="C32" s="6">
        <v>4821.0</v>
      </c>
      <c r="D32" s="7">
        <f t="shared" si="12"/>
        <v>30196</v>
      </c>
      <c r="E32" s="6">
        <v>490000.0</v>
      </c>
      <c r="F32" s="7">
        <f t="shared" si="13"/>
        <v>515375</v>
      </c>
      <c r="G32" s="7">
        <f t="shared" si="11"/>
        <v>18552776</v>
      </c>
    </row>
    <row r="33">
      <c r="A33" s="5" t="s">
        <v>6</v>
      </c>
      <c r="B33" s="7">
        <f t="shared" ref="B33:D33" si="14">SUM(B2:B32)</f>
        <v>4547776</v>
      </c>
      <c r="C33" s="7">
        <f t="shared" si="14"/>
        <v>382338</v>
      </c>
      <c r="D33" s="7">
        <f t="shared" si="14"/>
        <v>4930114</v>
      </c>
      <c r="E33" s="7">
        <f>SUM(E1:E32)</f>
        <v>14005000</v>
      </c>
      <c r="F33" s="7">
        <f>SUM(F2:F32)</f>
        <v>18552776</v>
      </c>
      <c r="G33" s="7"/>
    </row>
    <row r="34">
      <c r="A34" s="9"/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8.25"/>
    <col customWidth="1" min="3" max="3" width="16.25"/>
  </cols>
  <sheetData>
    <row r="1">
      <c r="A1" s="1"/>
      <c r="B1" s="2" t="s">
        <v>0</v>
      </c>
      <c r="C1" s="2" t="s">
        <v>3</v>
      </c>
    </row>
    <row r="2">
      <c r="A2" s="3">
        <v>1.0</v>
      </c>
      <c r="B2" s="4"/>
      <c r="C2" s="4"/>
    </row>
    <row r="3">
      <c r="A3" s="3">
        <v>2.0</v>
      </c>
      <c r="B3" s="4"/>
      <c r="C3" s="4"/>
    </row>
    <row r="4">
      <c r="A4" s="5">
        <v>3.0</v>
      </c>
      <c r="B4" s="10">
        <v>53200.0</v>
      </c>
      <c r="C4" s="10">
        <v>255000.0</v>
      </c>
    </row>
    <row r="5">
      <c r="A5" s="5">
        <v>4.0</v>
      </c>
      <c r="B5" s="10">
        <v>7000.0</v>
      </c>
      <c r="C5" s="10">
        <v>455000.0</v>
      </c>
      <c r="D5" s="11">
        <v>1179400.0</v>
      </c>
    </row>
    <row r="6">
      <c r="A6" s="3">
        <v>5.0</v>
      </c>
      <c r="B6" s="4"/>
      <c r="C6" s="4"/>
    </row>
    <row r="7">
      <c r="A7" s="3">
        <v>6.0</v>
      </c>
      <c r="B7" s="4"/>
      <c r="C7" s="4"/>
    </row>
    <row r="8">
      <c r="A8" s="5">
        <v>7.0</v>
      </c>
      <c r="B8" s="10">
        <v>10200.0</v>
      </c>
      <c r="C8" s="10">
        <v>125000.0</v>
      </c>
      <c r="D8" s="12">
        <v>522900.0</v>
      </c>
    </row>
    <row r="9">
      <c r="A9" s="5">
        <v>8.0</v>
      </c>
      <c r="B9" s="10">
        <v>189000.0</v>
      </c>
      <c r="C9" s="10">
        <v>460000.0</v>
      </c>
      <c r="D9" s="11">
        <v>1024550.0</v>
      </c>
    </row>
    <row r="10">
      <c r="A10" s="5">
        <v>9.0</v>
      </c>
      <c r="B10" s="10">
        <v>58800.0</v>
      </c>
      <c r="C10" s="10">
        <v>260000.0</v>
      </c>
    </row>
    <row r="11">
      <c r="A11" s="5">
        <v>10.0</v>
      </c>
      <c r="B11" s="10">
        <v>194200.0</v>
      </c>
      <c r="C11" s="10">
        <v>415000.0</v>
      </c>
    </row>
    <row r="12">
      <c r="A12" s="5">
        <v>11.0</v>
      </c>
      <c r="B12" s="10">
        <v>83900.0</v>
      </c>
      <c r="C12" s="10">
        <v>432000.0</v>
      </c>
    </row>
    <row r="13">
      <c r="A13" s="3">
        <v>12.0</v>
      </c>
      <c r="B13" s="8"/>
      <c r="C13" s="8"/>
    </row>
    <row r="14">
      <c r="A14" s="5">
        <v>13.0</v>
      </c>
      <c r="B14" s="10">
        <v>59800.0</v>
      </c>
      <c r="C14" s="10">
        <v>325000.0</v>
      </c>
      <c r="D14" s="12">
        <v>707250.0</v>
      </c>
    </row>
    <row r="15">
      <c r="A15" s="5">
        <v>14.0</v>
      </c>
      <c r="B15" s="10">
        <v>103100.0</v>
      </c>
      <c r="C15" s="10">
        <v>380000.0</v>
      </c>
    </row>
    <row r="16">
      <c r="A16" s="5">
        <v>15.0</v>
      </c>
      <c r="B16" s="10">
        <v>40500.0</v>
      </c>
      <c r="C16" s="10">
        <v>370000.0</v>
      </c>
    </row>
    <row r="17">
      <c r="A17" s="5">
        <v>16.0</v>
      </c>
      <c r="B17" s="10">
        <v>38500.0</v>
      </c>
      <c r="C17" s="10">
        <v>745000.0</v>
      </c>
    </row>
    <row r="18">
      <c r="A18" s="5">
        <v>17.0</v>
      </c>
      <c r="B18" s="10">
        <v>154900.0</v>
      </c>
      <c r="C18" s="10">
        <v>160000.0</v>
      </c>
      <c r="D18" s="12">
        <v>707100.0</v>
      </c>
    </row>
    <row r="19">
      <c r="A19" s="5">
        <v>18.0</v>
      </c>
      <c r="B19" s="10">
        <v>160000.0</v>
      </c>
      <c r="C19" s="10">
        <v>325000.0</v>
      </c>
    </row>
    <row r="20">
      <c r="A20" s="3">
        <v>19.0</v>
      </c>
      <c r="B20" s="8"/>
      <c r="C20" s="8"/>
    </row>
    <row r="21">
      <c r="A21" s="5">
        <v>20.0</v>
      </c>
      <c r="B21" s="10">
        <v>84155.0</v>
      </c>
      <c r="C21" s="10">
        <v>380000.0</v>
      </c>
    </row>
    <row r="22">
      <c r="A22" s="5">
        <v>21.0</v>
      </c>
      <c r="B22" s="10">
        <v>102699.0</v>
      </c>
      <c r="C22" s="10">
        <v>405000.0</v>
      </c>
    </row>
    <row r="23">
      <c r="A23" s="5">
        <v>22.0</v>
      </c>
      <c r="B23" s="10">
        <v>99994.0</v>
      </c>
      <c r="C23" s="10">
        <v>0.0</v>
      </c>
    </row>
    <row r="24">
      <c r="A24" s="5">
        <v>23.0</v>
      </c>
      <c r="B24" s="10">
        <v>48400.0</v>
      </c>
      <c r="C24" s="10">
        <v>415000.0</v>
      </c>
    </row>
    <row r="25">
      <c r="A25" s="5">
        <v>24.0</v>
      </c>
      <c r="B25" s="10">
        <v>99600.0</v>
      </c>
      <c r="C25" s="10">
        <v>330000.0</v>
      </c>
    </row>
    <row r="26">
      <c r="A26" s="5">
        <v>25.0</v>
      </c>
      <c r="B26" s="10">
        <v>65000.0</v>
      </c>
      <c r="C26" s="10">
        <v>530000.0</v>
      </c>
    </row>
    <row r="27">
      <c r="A27" s="3">
        <v>26.0</v>
      </c>
      <c r="B27" s="8"/>
      <c r="C27" s="8"/>
    </row>
    <row r="28">
      <c r="A28" s="5">
        <v>27.0</v>
      </c>
      <c r="B28" s="10">
        <v>0.0</v>
      </c>
      <c r="C28" s="10">
        <v>125000.0</v>
      </c>
      <c r="D28" s="11">
        <v>1272400.0</v>
      </c>
    </row>
    <row r="29">
      <c r="A29" s="5">
        <v>28.0</v>
      </c>
      <c r="B29" s="10">
        <v>378050.0</v>
      </c>
      <c r="C29" s="10">
        <f>628000+60000</f>
        <v>688000</v>
      </c>
    </row>
    <row r="30">
      <c r="A30" s="5">
        <v>29.0</v>
      </c>
      <c r="B30" s="10">
        <v>93550.0</v>
      </c>
      <c r="C30" s="10">
        <v>50000.0</v>
      </c>
    </row>
    <row r="31">
      <c r="A31" s="5">
        <v>30.0</v>
      </c>
      <c r="B31" s="10">
        <v>0.0</v>
      </c>
      <c r="C31" s="10">
        <v>373000.0</v>
      </c>
    </row>
    <row r="32">
      <c r="A32" s="5">
        <v>31.0</v>
      </c>
      <c r="B32" s="10">
        <v>30196.0</v>
      </c>
      <c r="C32" s="10">
        <v>180000.0</v>
      </c>
    </row>
    <row r="33">
      <c r="A33" s="5" t="s">
        <v>6</v>
      </c>
      <c r="B33" s="7"/>
      <c r="C33" s="7"/>
    </row>
    <row r="34">
      <c r="A34" s="9"/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5" max="5" width="16.75"/>
    <col customWidth="1" min="7" max="7" width="19.63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>
      <c r="A2" s="13">
        <v>1.0</v>
      </c>
      <c r="B2" s="14">
        <v>910582.0</v>
      </c>
      <c r="C2" s="14">
        <v>58200.0</v>
      </c>
      <c r="D2" s="15">
        <f>B2+C2</f>
        <v>968782</v>
      </c>
      <c r="E2" s="14">
        <v>905000.0</v>
      </c>
      <c r="F2" s="15">
        <f>B2+E2</f>
        <v>1815582</v>
      </c>
      <c r="G2" s="15">
        <f>+F2</f>
        <v>1815582</v>
      </c>
    </row>
    <row r="3">
      <c r="A3" s="3">
        <v>2.0</v>
      </c>
      <c r="B3" s="4"/>
      <c r="C3" s="4"/>
      <c r="D3" s="4"/>
      <c r="E3" s="4"/>
      <c r="F3" s="4"/>
      <c r="G3" s="4"/>
    </row>
    <row r="4">
      <c r="A4" s="5">
        <v>3.0</v>
      </c>
      <c r="B4" s="6">
        <v>159703.0</v>
      </c>
      <c r="C4" s="6">
        <v>12828.0</v>
      </c>
      <c r="D4" s="7">
        <f>B4+C4</f>
        <v>172531</v>
      </c>
      <c r="E4" s="6">
        <v>530000.0</v>
      </c>
      <c r="F4" s="7">
        <f>B4+E4</f>
        <v>689703</v>
      </c>
      <c r="G4" s="7">
        <f>G2+F4</f>
        <v>2505285</v>
      </c>
    </row>
    <row r="5">
      <c r="A5" s="5">
        <v>4.0</v>
      </c>
      <c r="B5" s="6">
        <v>98095.0</v>
      </c>
      <c r="C5" s="6">
        <v>13305.0</v>
      </c>
      <c r="D5" s="7">
        <f>C5+B5</f>
        <v>111400</v>
      </c>
      <c r="E5" s="6">
        <v>610000.0</v>
      </c>
      <c r="F5" s="7">
        <f>E5+B5</f>
        <v>708095</v>
      </c>
      <c r="G5" s="7">
        <f t="shared" ref="G5:G9" si="1">G4+F5</f>
        <v>3213380</v>
      </c>
    </row>
    <row r="6">
      <c r="A6" s="13">
        <v>5.0</v>
      </c>
      <c r="B6" s="14">
        <v>173604.0</v>
      </c>
      <c r="C6" s="14">
        <v>19351.0</v>
      </c>
      <c r="D6" s="15">
        <f t="shared" ref="D6:D9" si="2">B6+C6</f>
        <v>192955</v>
      </c>
      <c r="E6" s="14">
        <v>450000.0</v>
      </c>
      <c r="F6" s="15">
        <f t="shared" ref="F6:F9" si="3">B6+E6</f>
        <v>623604</v>
      </c>
      <c r="G6" s="15">
        <f t="shared" si="1"/>
        <v>3836984</v>
      </c>
    </row>
    <row r="7">
      <c r="A7" s="13">
        <v>6.0</v>
      </c>
      <c r="B7" s="14">
        <v>259702.0</v>
      </c>
      <c r="C7" s="14">
        <v>33997.0</v>
      </c>
      <c r="D7" s="15">
        <f t="shared" si="2"/>
        <v>293699</v>
      </c>
      <c r="E7" s="14">
        <v>545000.0</v>
      </c>
      <c r="F7" s="15">
        <f t="shared" si="3"/>
        <v>804702</v>
      </c>
      <c r="G7" s="15">
        <f t="shared" si="1"/>
        <v>4641686</v>
      </c>
    </row>
    <row r="8">
      <c r="A8" s="5">
        <v>7.0</v>
      </c>
      <c r="B8" s="6">
        <v>149304.0</v>
      </c>
      <c r="C8" s="6">
        <v>16717.0</v>
      </c>
      <c r="D8" s="7">
        <f t="shared" si="2"/>
        <v>166021</v>
      </c>
      <c r="E8" s="6">
        <v>1047000.0</v>
      </c>
      <c r="F8" s="7">
        <f t="shared" si="3"/>
        <v>1196304</v>
      </c>
      <c r="G8" s="7">
        <f t="shared" si="1"/>
        <v>5837990</v>
      </c>
    </row>
    <row r="9">
      <c r="A9" s="5">
        <v>8.0</v>
      </c>
      <c r="B9" s="6">
        <v>204459.0</v>
      </c>
      <c r="C9" s="6">
        <v>17868.0</v>
      </c>
      <c r="D9" s="7">
        <f t="shared" si="2"/>
        <v>222327</v>
      </c>
      <c r="E9" s="6">
        <v>860000.0</v>
      </c>
      <c r="F9" s="7">
        <f t="shared" si="3"/>
        <v>1064459</v>
      </c>
      <c r="G9" s="7">
        <f t="shared" si="1"/>
        <v>6902449</v>
      </c>
    </row>
    <row r="10">
      <c r="A10" s="3">
        <v>9.0</v>
      </c>
      <c r="B10" s="8"/>
      <c r="C10" s="8"/>
      <c r="D10" s="4"/>
      <c r="E10" s="8"/>
      <c r="F10" s="4"/>
      <c r="G10" s="4"/>
    </row>
    <row r="11">
      <c r="A11" s="5">
        <v>10.0</v>
      </c>
      <c r="B11" s="6">
        <v>143617.0</v>
      </c>
      <c r="C11" s="6">
        <v>7181.0</v>
      </c>
      <c r="D11" s="7">
        <f t="shared" ref="D11:D16" si="4">B11+C11</f>
        <v>150798</v>
      </c>
      <c r="E11" s="6">
        <v>468000.0</v>
      </c>
      <c r="F11" s="7">
        <f t="shared" ref="F11:F16" si="5">B11+E11</f>
        <v>611617</v>
      </c>
      <c r="G11" s="7">
        <f>G9+F11</f>
        <v>7514066</v>
      </c>
    </row>
    <row r="12">
      <c r="A12" s="5">
        <v>11.0</v>
      </c>
      <c r="B12" s="16">
        <v>165761.0</v>
      </c>
      <c r="C12" s="6">
        <v>15335.0</v>
      </c>
      <c r="D12" s="6">
        <f t="shared" si="4"/>
        <v>181096</v>
      </c>
      <c r="E12" s="6">
        <v>487000.0</v>
      </c>
      <c r="F12" s="6">
        <f t="shared" si="5"/>
        <v>652761</v>
      </c>
      <c r="G12" s="7">
        <f t="shared" ref="G12:G16" si="6">G11+F12</f>
        <v>8166827</v>
      </c>
      <c r="H12" s="17"/>
    </row>
    <row r="13">
      <c r="A13" s="13">
        <v>12.0</v>
      </c>
      <c r="B13" s="14">
        <v>11651.0</v>
      </c>
      <c r="C13" s="14">
        <v>1748.0</v>
      </c>
      <c r="D13" s="15">
        <f t="shared" si="4"/>
        <v>13399</v>
      </c>
      <c r="E13" s="14">
        <v>685000.0</v>
      </c>
      <c r="F13" s="15">
        <f t="shared" si="5"/>
        <v>696651</v>
      </c>
      <c r="G13" s="15">
        <f t="shared" si="6"/>
        <v>8863478</v>
      </c>
    </row>
    <row r="14">
      <c r="A14" s="5">
        <v>13.0</v>
      </c>
      <c r="B14" s="6">
        <v>265744.0</v>
      </c>
      <c r="C14" s="6">
        <v>42842.0</v>
      </c>
      <c r="D14" s="7">
        <f t="shared" si="4"/>
        <v>308586</v>
      </c>
      <c r="E14" s="6">
        <v>380000.0</v>
      </c>
      <c r="F14" s="7">
        <f t="shared" si="5"/>
        <v>645744</v>
      </c>
      <c r="G14" s="7">
        <f t="shared" si="6"/>
        <v>9509222</v>
      </c>
    </row>
    <row r="15">
      <c r="A15" s="5">
        <v>14.0</v>
      </c>
      <c r="B15" s="6">
        <v>147225.0</v>
      </c>
      <c r="C15" s="6">
        <v>12173.0</v>
      </c>
      <c r="D15" s="7">
        <f t="shared" si="4"/>
        <v>159398</v>
      </c>
      <c r="E15" s="6">
        <v>480000.0</v>
      </c>
      <c r="F15" s="7">
        <f t="shared" si="5"/>
        <v>627225</v>
      </c>
      <c r="G15" s="7">
        <f t="shared" si="6"/>
        <v>10136447</v>
      </c>
    </row>
    <row r="16">
      <c r="A16" s="13">
        <v>15.0</v>
      </c>
      <c r="B16" s="6">
        <v>163789.0</v>
      </c>
      <c r="C16" s="14">
        <v>21320.0</v>
      </c>
      <c r="D16" s="14">
        <f t="shared" si="4"/>
        <v>185109</v>
      </c>
      <c r="E16" s="14">
        <v>495000.0</v>
      </c>
      <c r="F16" s="14">
        <f t="shared" si="5"/>
        <v>658789</v>
      </c>
      <c r="G16" s="15">
        <f t="shared" si="6"/>
        <v>10795236</v>
      </c>
      <c r="H16" s="18"/>
    </row>
    <row r="17">
      <c r="A17" s="3">
        <v>16.0</v>
      </c>
      <c r="B17" s="8"/>
      <c r="C17" s="8"/>
      <c r="D17" s="4"/>
      <c r="E17" s="8"/>
      <c r="F17" s="4"/>
      <c r="G17" s="4"/>
    </row>
    <row r="18">
      <c r="A18" s="5">
        <v>17.0</v>
      </c>
      <c r="B18" s="6">
        <v>89741.0</v>
      </c>
      <c r="C18" s="6">
        <v>10158.0</v>
      </c>
      <c r="D18" s="7">
        <f>B18+C18</f>
        <v>99899</v>
      </c>
      <c r="E18" s="6">
        <v>408000.0</v>
      </c>
      <c r="F18" s="7">
        <f>B18+E18</f>
        <v>497741</v>
      </c>
      <c r="G18" s="7">
        <f>G16+F18</f>
        <v>11292977</v>
      </c>
    </row>
    <row r="19">
      <c r="A19" s="5">
        <v>18.0</v>
      </c>
      <c r="B19" s="6">
        <v>281488.0</v>
      </c>
      <c r="C19" s="6">
        <v>32310.0</v>
      </c>
      <c r="D19" s="7">
        <f>C19+B19</f>
        <v>313798</v>
      </c>
      <c r="E19" s="6">
        <v>470000.0</v>
      </c>
      <c r="F19" s="7">
        <f t="shared" ref="F19:F23" si="7">E19+B19</f>
        <v>751488</v>
      </c>
      <c r="G19" s="7">
        <f t="shared" ref="G19:G23" si="8">G18+F19</f>
        <v>12044465</v>
      </c>
    </row>
    <row r="20">
      <c r="A20" s="13">
        <v>19.0</v>
      </c>
      <c r="B20" s="14">
        <v>11207.0</v>
      </c>
      <c r="C20" s="14">
        <v>1663.0</v>
      </c>
      <c r="D20" s="15">
        <f t="shared" ref="D20:D21" si="9">B20+C20</f>
        <v>12870</v>
      </c>
      <c r="E20" s="14">
        <v>320000.0</v>
      </c>
      <c r="F20" s="15">
        <f t="shared" si="7"/>
        <v>331207</v>
      </c>
      <c r="G20" s="15">
        <f t="shared" si="8"/>
        <v>12375672</v>
      </c>
    </row>
    <row r="21">
      <c r="A21" s="5">
        <v>20.0</v>
      </c>
      <c r="B21" s="6">
        <v>64615.0</v>
      </c>
      <c r="C21" s="6">
        <v>12277.0</v>
      </c>
      <c r="D21" s="7">
        <f t="shared" si="9"/>
        <v>76892</v>
      </c>
      <c r="E21" s="6">
        <v>585000.0</v>
      </c>
      <c r="F21" s="7">
        <f t="shared" si="7"/>
        <v>649615</v>
      </c>
      <c r="G21" s="7">
        <f t="shared" si="8"/>
        <v>13025287</v>
      </c>
    </row>
    <row r="22">
      <c r="A22" s="5">
        <v>21.0</v>
      </c>
      <c r="B22" s="6">
        <v>142062.0</v>
      </c>
      <c r="C22" s="6">
        <v>8366.0</v>
      </c>
      <c r="D22" s="7">
        <f t="shared" ref="D22:D23" si="10">C22+B22</f>
        <v>150428</v>
      </c>
      <c r="E22" s="6">
        <v>490000.0</v>
      </c>
      <c r="F22" s="7">
        <f t="shared" si="7"/>
        <v>632062</v>
      </c>
      <c r="G22" s="7">
        <f t="shared" si="8"/>
        <v>13657349</v>
      </c>
    </row>
    <row r="23">
      <c r="A23" s="5">
        <v>22.0</v>
      </c>
      <c r="B23" s="6">
        <v>438712.0</v>
      </c>
      <c r="C23" s="6">
        <v>50996.0</v>
      </c>
      <c r="D23" s="7">
        <f t="shared" si="10"/>
        <v>489708</v>
      </c>
      <c r="E23" s="6">
        <v>545000.0</v>
      </c>
      <c r="F23" s="7">
        <f t="shared" si="7"/>
        <v>983712</v>
      </c>
      <c r="G23" s="7">
        <f t="shared" si="8"/>
        <v>14641061</v>
      </c>
    </row>
    <row r="24">
      <c r="A24" s="3">
        <v>23.0</v>
      </c>
      <c r="B24" s="8"/>
      <c r="C24" s="8"/>
      <c r="D24" s="4"/>
      <c r="E24" s="8"/>
      <c r="F24" s="4"/>
      <c r="G24" s="4"/>
    </row>
    <row r="25">
      <c r="A25" s="5">
        <v>24.0</v>
      </c>
      <c r="B25" s="6">
        <v>310789.0</v>
      </c>
      <c r="C25" s="6">
        <v>48784.0</v>
      </c>
      <c r="D25" s="7">
        <f t="shared" ref="D25:D27" si="11">C25+B25</f>
        <v>359573</v>
      </c>
      <c r="E25" s="6">
        <v>533000.0</v>
      </c>
      <c r="F25" s="7">
        <f t="shared" ref="F25:F29" si="12">E25+B25</f>
        <v>843789</v>
      </c>
      <c r="G25" s="7">
        <f>G23+F25</f>
        <v>15484850</v>
      </c>
    </row>
    <row r="26">
      <c r="A26" s="5">
        <v>25.0</v>
      </c>
      <c r="B26" s="6">
        <v>225711.0</v>
      </c>
      <c r="C26" s="6">
        <v>11286.0</v>
      </c>
      <c r="D26" s="7">
        <f t="shared" si="11"/>
        <v>236997</v>
      </c>
      <c r="E26" s="6">
        <v>525000.0</v>
      </c>
      <c r="F26" s="7">
        <f t="shared" si="12"/>
        <v>750711</v>
      </c>
      <c r="G26" s="7">
        <f t="shared" ref="G26:G29" si="13">G25+F26</f>
        <v>16235561</v>
      </c>
    </row>
    <row r="27">
      <c r="A27" s="13">
        <v>26.0</v>
      </c>
      <c r="B27" s="14">
        <v>196250.0</v>
      </c>
      <c r="C27" s="14">
        <f>22989</f>
        <v>22989</v>
      </c>
      <c r="D27" s="15">
        <f t="shared" si="11"/>
        <v>219239</v>
      </c>
      <c r="E27" s="14">
        <v>500000.0</v>
      </c>
      <c r="F27" s="15">
        <f t="shared" si="12"/>
        <v>696250</v>
      </c>
      <c r="G27" s="15">
        <f t="shared" si="13"/>
        <v>16931811</v>
      </c>
    </row>
    <row r="28">
      <c r="A28" s="5">
        <v>27.0</v>
      </c>
      <c r="B28" s="6">
        <v>187313.0</v>
      </c>
      <c r="C28" s="6">
        <v>17216.0</v>
      </c>
      <c r="D28" s="6">
        <f>B28+C28</f>
        <v>204529</v>
      </c>
      <c r="E28" s="6">
        <v>475000.0</v>
      </c>
      <c r="F28" s="7">
        <f t="shared" si="12"/>
        <v>662313</v>
      </c>
      <c r="G28" s="7">
        <f t="shared" si="13"/>
        <v>17594124</v>
      </c>
    </row>
    <row r="29">
      <c r="A29" s="5">
        <v>28.0</v>
      </c>
      <c r="B29" s="6">
        <v>130859.0</v>
      </c>
      <c r="C29" s="6">
        <v>13943.0</v>
      </c>
      <c r="D29" s="7">
        <f>C29+B29</f>
        <v>144802</v>
      </c>
      <c r="E29" s="6">
        <v>565000.0</v>
      </c>
      <c r="F29" s="7">
        <f t="shared" si="12"/>
        <v>695859</v>
      </c>
      <c r="G29" s="7">
        <f t="shared" si="13"/>
        <v>18289983</v>
      </c>
    </row>
    <row r="30">
      <c r="A30" s="5" t="s">
        <v>6</v>
      </c>
      <c r="B30" s="6">
        <f>SUM(B2:B29)</f>
        <v>4931983</v>
      </c>
      <c r="C30" s="6"/>
      <c r="D30" s="7"/>
      <c r="E30" s="6">
        <f>SUM(E2:E29)</f>
        <v>13358000</v>
      </c>
      <c r="F30" s="7"/>
      <c r="G30" s="7"/>
    </row>
    <row r="31">
      <c r="A31" s="19"/>
      <c r="B31" s="20"/>
      <c r="C31" s="20"/>
      <c r="D31" s="17"/>
      <c r="E31" s="20"/>
      <c r="F31" s="17"/>
      <c r="G31" s="17"/>
    </row>
    <row r="32">
      <c r="A32" s="19"/>
      <c r="B32" s="20"/>
      <c r="C32" s="20"/>
      <c r="D32" s="17"/>
      <c r="E32" s="20"/>
      <c r="F32" s="17"/>
      <c r="G32" s="17"/>
    </row>
    <row r="33">
      <c r="A33" s="19"/>
      <c r="B33" s="17"/>
      <c r="C33" s="17"/>
      <c r="D33" s="17"/>
      <c r="E33" s="17"/>
      <c r="F33" s="17"/>
      <c r="G33" s="1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5"/>
  </cols>
  <sheetData>
    <row r="1">
      <c r="A1" s="1"/>
      <c r="B1" s="2" t="s">
        <v>0</v>
      </c>
      <c r="C1" s="2" t="s">
        <v>3</v>
      </c>
    </row>
    <row r="2">
      <c r="A2" s="13">
        <v>1.0</v>
      </c>
      <c r="B2" s="10">
        <v>232497.0</v>
      </c>
      <c r="C2" s="10">
        <v>720000.0</v>
      </c>
    </row>
    <row r="3">
      <c r="A3" s="3">
        <v>2.0</v>
      </c>
      <c r="B3" s="4"/>
      <c r="C3" s="4"/>
    </row>
    <row r="4">
      <c r="A4" s="13">
        <v>3.0</v>
      </c>
      <c r="B4" s="10">
        <v>172531.0</v>
      </c>
      <c r="C4" s="10">
        <v>445000.0</v>
      </c>
    </row>
    <row r="5">
      <c r="A5" s="13">
        <v>4.0</v>
      </c>
      <c r="B5" s="10">
        <v>40000.0</v>
      </c>
      <c r="C5" s="10">
        <v>370000.0</v>
      </c>
    </row>
    <row r="6">
      <c r="A6" s="13">
        <v>5.0</v>
      </c>
      <c r="B6" s="10">
        <v>171098.0</v>
      </c>
      <c r="C6" s="10">
        <v>30000.0</v>
      </c>
    </row>
    <row r="7">
      <c r="A7" s="13">
        <v>6.0</v>
      </c>
      <c r="B7" s="10">
        <v>252099.0</v>
      </c>
      <c r="C7" s="10">
        <v>385000.0</v>
      </c>
    </row>
    <row r="8">
      <c r="A8" s="13">
        <v>7.0</v>
      </c>
      <c r="B8" s="10">
        <v>166021.0</v>
      </c>
      <c r="C8" s="10">
        <v>672000.0</v>
      </c>
      <c r="D8" s="11"/>
    </row>
    <row r="9">
      <c r="A9" s="13">
        <v>8.0</v>
      </c>
      <c r="B9" s="10">
        <v>176317.0</v>
      </c>
      <c r="C9" s="10">
        <v>275000.0</v>
      </c>
    </row>
    <row r="10">
      <c r="A10" s="3">
        <v>9.0</v>
      </c>
      <c r="B10" s="8"/>
      <c r="C10" s="8"/>
    </row>
    <row r="11">
      <c r="A11" s="13">
        <v>10.0</v>
      </c>
      <c r="B11" s="10">
        <v>126298.0</v>
      </c>
      <c r="C11" s="10">
        <v>205000.0</v>
      </c>
    </row>
    <row r="12">
      <c r="A12" s="13">
        <v>11.0</v>
      </c>
      <c r="B12" s="10">
        <v>1997.0</v>
      </c>
      <c r="C12" s="10">
        <v>407000.0</v>
      </c>
    </row>
    <row r="13">
      <c r="A13" s="13">
        <v>12.0</v>
      </c>
      <c r="B13" s="10">
        <v>7400.0</v>
      </c>
      <c r="C13" s="10">
        <v>285000.0</v>
      </c>
    </row>
    <row r="14">
      <c r="A14" s="13">
        <v>13.0</v>
      </c>
      <c r="B14" s="10">
        <v>148587.0</v>
      </c>
      <c r="C14" s="10">
        <v>290000.0</v>
      </c>
    </row>
    <row r="15">
      <c r="A15" s="13">
        <v>14.0</v>
      </c>
      <c r="B15" s="10">
        <v>44900.0</v>
      </c>
      <c r="C15" s="10">
        <v>215000.0</v>
      </c>
    </row>
    <row r="16">
      <c r="A16" s="13">
        <v>15.0</v>
      </c>
      <c r="B16" s="10">
        <v>100501.0</v>
      </c>
      <c r="C16" s="10">
        <v>215000.0</v>
      </c>
    </row>
    <row r="17">
      <c r="A17" s="3">
        <v>16.0</v>
      </c>
      <c r="B17" s="8"/>
      <c r="C17" s="8"/>
    </row>
    <row r="18">
      <c r="A18" s="13">
        <v>17.0</v>
      </c>
      <c r="B18" s="10">
        <v>27200.0</v>
      </c>
      <c r="C18" s="10">
        <v>218000.0</v>
      </c>
    </row>
    <row r="19">
      <c r="A19" s="13">
        <v>18.0</v>
      </c>
      <c r="B19" s="10">
        <v>158800.0</v>
      </c>
      <c r="C19" s="10">
        <v>100000.0</v>
      </c>
      <c r="D19" s="12">
        <v>697850.0</v>
      </c>
    </row>
    <row r="20">
      <c r="A20" s="13">
        <v>19.0</v>
      </c>
      <c r="B20" s="10">
        <v>3500.0</v>
      </c>
      <c r="C20" s="10">
        <v>125000.0</v>
      </c>
    </row>
    <row r="21">
      <c r="A21" s="13">
        <v>20.0</v>
      </c>
      <c r="B21" s="10">
        <v>76900.0</v>
      </c>
      <c r="C21" s="10">
        <v>205000.0</v>
      </c>
      <c r="D21" s="12">
        <v>778950.0</v>
      </c>
    </row>
    <row r="22">
      <c r="A22" s="13">
        <v>21.0</v>
      </c>
      <c r="B22" s="10">
        <v>61000.0</v>
      </c>
      <c r="C22" s="10">
        <v>240000.0</v>
      </c>
      <c r="D22" s="12">
        <v>742050.0</v>
      </c>
    </row>
    <row r="23">
      <c r="A23" s="13">
        <v>22.0</v>
      </c>
      <c r="B23" s="10">
        <v>211750.0</v>
      </c>
      <c r="C23" s="10">
        <v>205000.0</v>
      </c>
    </row>
    <row r="24">
      <c r="A24" s="3">
        <v>23.0</v>
      </c>
      <c r="B24" s="8"/>
      <c r="C24" s="8"/>
    </row>
    <row r="25">
      <c r="A25" s="13">
        <v>24.0</v>
      </c>
      <c r="B25" s="10">
        <v>422700.0</v>
      </c>
      <c r="C25" s="10">
        <v>425000.0</v>
      </c>
    </row>
    <row r="26">
      <c r="A26" s="13">
        <v>25.0</v>
      </c>
      <c r="B26" s="10">
        <v>118500.0</v>
      </c>
      <c r="C26" s="10">
        <v>365000.0</v>
      </c>
      <c r="D26" s="12">
        <v>997400.0</v>
      </c>
    </row>
    <row r="27">
      <c r="A27" s="13">
        <v>26.0</v>
      </c>
      <c r="B27" s="10">
        <v>136300.0</v>
      </c>
      <c r="C27" s="10">
        <v>385000.0</v>
      </c>
    </row>
    <row r="28">
      <c r="A28" s="13">
        <v>27.0</v>
      </c>
      <c r="B28" s="10">
        <v>46100.0</v>
      </c>
      <c r="C28" s="10">
        <v>265000.0</v>
      </c>
    </row>
    <row r="29">
      <c r="A29" s="13">
        <v>28.0</v>
      </c>
      <c r="B29" s="10">
        <v>40200.0</v>
      </c>
      <c r="C29" s="10">
        <v>145000.0</v>
      </c>
    </row>
    <row r="30">
      <c r="A30" s="5" t="s">
        <v>6</v>
      </c>
      <c r="B30" s="6"/>
      <c r="C30" s="6"/>
    </row>
    <row r="31">
      <c r="A31" s="19"/>
      <c r="B31" s="20"/>
      <c r="C31" s="20"/>
    </row>
    <row r="32">
      <c r="A32" s="19"/>
      <c r="B32" s="20"/>
      <c r="C32" s="20"/>
    </row>
    <row r="33">
      <c r="A33" s="19"/>
      <c r="B33" s="17"/>
      <c r="C33" s="1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5" max="5" width="16.75"/>
    <col customWidth="1" min="7" max="7" width="19.63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>
      <c r="A2" s="13">
        <v>1.0</v>
      </c>
      <c r="B2" s="14">
        <v>226779.0</v>
      </c>
      <c r="C2" s="14">
        <v>22515.0</v>
      </c>
      <c r="D2" s="15">
        <f>C2+B2</f>
        <v>249294</v>
      </c>
      <c r="E2" s="14">
        <v>1040000.0</v>
      </c>
      <c r="F2" s="15">
        <f>E2+B2</f>
        <v>1266779</v>
      </c>
      <c r="G2" s="15">
        <f>F2</f>
        <v>1266779</v>
      </c>
    </row>
    <row r="3">
      <c r="A3" s="3">
        <v>2.0</v>
      </c>
      <c r="B3" s="4"/>
      <c r="C3" s="4"/>
      <c r="D3" s="4"/>
      <c r="E3" s="4"/>
      <c r="F3" s="4"/>
      <c r="G3" s="4"/>
    </row>
    <row r="4">
      <c r="A4" s="5">
        <v>3.0</v>
      </c>
      <c r="B4" s="6">
        <v>549194.0</v>
      </c>
      <c r="C4" s="6">
        <v>42789.0</v>
      </c>
      <c r="D4" s="7">
        <f t="shared" ref="D4:D8" si="1">C4+B4</f>
        <v>591983</v>
      </c>
      <c r="E4" s="6">
        <v>620000.0</v>
      </c>
      <c r="F4" s="7">
        <f t="shared" ref="F4:F8" si="2">E4+B4</f>
        <v>1169194</v>
      </c>
      <c r="G4" s="7">
        <f>G2+F4</f>
        <v>2435973</v>
      </c>
    </row>
    <row r="5">
      <c r="A5" s="5">
        <v>4.0</v>
      </c>
      <c r="B5" s="6">
        <v>184543.0</v>
      </c>
      <c r="C5" s="6">
        <v>12757.0</v>
      </c>
      <c r="D5" s="7">
        <f t="shared" si="1"/>
        <v>197300</v>
      </c>
      <c r="E5" s="6">
        <v>420000.0</v>
      </c>
      <c r="F5" s="7">
        <f t="shared" si="2"/>
        <v>604543</v>
      </c>
      <c r="G5" s="7">
        <f t="shared" ref="G5:G9" si="3">G4+F5</f>
        <v>3040516</v>
      </c>
    </row>
    <row r="6">
      <c r="A6" s="5">
        <v>5.0</v>
      </c>
      <c r="B6" s="14">
        <v>63157.0</v>
      </c>
      <c r="C6" s="14">
        <v>9734.0</v>
      </c>
      <c r="D6" s="15">
        <f t="shared" si="1"/>
        <v>72891</v>
      </c>
      <c r="E6" s="14">
        <v>1000000.0</v>
      </c>
      <c r="F6" s="15">
        <f t="shared" si="2"/>
        <v>1063157</v>
      </c>
      <c r="G6" s="15">
        <f t="shared" si="3"/>
        <v>4103673</v>
      </c>
    </row>
    <row r="7">
      <c r="A7" s="5">
        <v>6.0</v>
      </c>
      <c r="B7" s="14">
        <v>159667.0</v>
      </c>
      <c r="C7" s="14">
        <v>7983.0</v>
      </c>
      <c r="D7" s="15">
        <f t="shared" si="1"/>
        <v>167650</v>
      </c>
      <c r="E7" s="14">
        <v>698000.0</v>
      </c>
      <c r="F7" s="15">
        <f t="shared" si="2"/>
        <v>857667</v>
      </c>
      <c r="G7" s="15">
        <f t="shared" si="3"/>
        <v>4961340</v>
      </c>
    </row>
    <row r="8">
      <c r="A8" s="5">
        <v>7.0</v>
      </c>
      <c r="B8" s="6">
        <v>107455.0</v>
      </c>
      <c r="C8" s="6">
        <v>5844.0</v>
      </c>
      <c r="D8" s="6">
        <f t="shared" si="1"/>
        <v>113299</v>
      </c>
      <c r="E8" s="6">
        <v>655000.0</v>
      </c>
      <c r="F8" s="7">
        <f t="shared" si="2"/>
        <v>762455</v>
      </c>
      <c r="G8" s="7">
        <f t="shared" si="3"/>
        <v>5723795</v>
      </c>
    </row>
    <row r="9">
      <c r="A9" s="5">
        <v>8.0</v>
      </c>
      <c r="B9" s="6">
        <v>359066.0</v>
      </c>
      <c r="C9" s="6">
        <v>30330.0</v>
      </c>
      <c r="D9" s="7">
        <f>B9+C9</f>
        <v>389396</v>
      </c>
      <c r="E9" s="6">
        <v>870000.0</v>
      </c>
      <c r="F9" s="7">
        <f>B9+E9</f>
        <v>1229066</v>
      </c>
      <c r="G9" s="7">
        <f t="shared" si="3"/>
        <v>6952861</v>
      </c>
    </row>
    <row r="10">
      <c r="A10" s="3">
        <v>9.0</v>
      </c>
      <c r="B10" s="8"/>
      <c r="C10" s="8"/>
      <c r="D10" s="4"/>
      <c r="E10" s="8"/>
      <c r="F10" s="4"/>
      <c r="G10" s="4"/>
    </row>
    <row r="11">
      <c r="A11" s="5">
        <v>10.0</v>
      </c>
      <c r="B11" s="6">
        <v>106697.0</v>
      </c>
      <c r="C11" s="6">
        <v>3350.0</v>
      </c>
      <c r="D11" s="7">
        <f>SUM(B11:C11)</f>
        <v>110047</v>
      </c>
      <c r="E11" s="6">
        <v>420000.0</v>
      </c>
      <c r="F11" s="7">
        <f t="shared" ref="F11:F15" si="4">E11+B11</f>
        <v>526697</v>
      </c>
      <c r="G11" s="7">
        <f>G9+F11</f>
        <v>7479558</v>
      </c>
    </row>
    <row r="12">
      <c r="A12" s="5">
        <v>11.0</v>
      </c>
      <c r="B12" s="6">
        <v>163304.0</v>
      </c>
      <c r="C12" s="6">
        <v>16624.0</v>
      </c>
      <c r="D12" s="6">
        <f t="shared" ref="D12:D15" si="5">C12+B12</f>
        <v>179928</v>
      </c>
      <c r="E12" s="6">
        <v>418000.0</v>
      </c>
      <c r="F12" s="6">
        <f t="shared" si="4"/>
        <v>581304</v>
      </c>
      <c r="G12" s="7">
        <f t="shared" ref="G12:G16" si="6">G11+F12</f>
        <v>8060862</v>
      </c>
      <c r="H12" s="17"/>
    </row>
    <row r="13">
      <c r="A13" s="13">
        <v>12.0</v>
      </c>
      <c r="B13" s="14">
        <v>252294.0</v>
      </c>
      <c r="C13" s="14">
        <v>47936.0</v>
      </c>
      <c r="D13" s="15">
        <f t="shared" si="5"/>
        <v>300230</v>
      </c>
      <c r="E13" s="14">
        <v>490000.0</v>
      </c>
      <c r="F13" s="15">
        <f t="shared" si="4"/>
        <v>742294</v>
      </c>
      <c r="G13" s="15">
        <f t="shared" si="6"/>
        <v>8803156</v>
      </c>
    </row>
    <row r="14">
      <c r="A14" s="5">
        <v>13.0</v>
      </c>
      <c r="B14" s="6">
        <v>143966.0</v>
      </c>
      <c r="C14" s="6">
        <v>16554.0</v>
      </c>
      <c r="D14" s="7">
        <f t="shared" si="5"/>
        <v>160520</v>
      </c>
      <c r="E14" s="6">
        <v>475000.0</v>
      </c>
      <c r="F14" s="7">
        <f t="shared" si="4"/>
        <v>618966</v>
      </c>
      <c r="G14" s="7">
        <f t="shared" si="6"/>
        <v>9422122</v>
      </c>
    </row>
    <row r="15">
      <c r="A15" s="5">
        <v>14.0</v>
      </c>
      <c r="B15" s="6">
        <v>504899.0</v>
      </c>
      <c r="C15" s="6">
        <v>51185.0</v>
      </c>
      <c r="D15" s="7">
        <f t="shared" si="5"/>
        <v>556084</v>
      </c>
      <c r="E15" s="6">
        <v>355000.0</v>
      </c>
      <c r="F15" s="7">
        <f t="shared" si="4"/>
        <v>859899</v>
      </c>
      <c r="G15" s="7">
        <f t="shared" si="6"/>
        <v>10282021</v>
      </c>
    </row>
    <row r="16">
      <c r="A16" s="13">
        <v>15.0</v>
      </c>
      <c r="B16" s="6">
        <v>0.0</v>
      </c>
      <c r="C16" s="14">
        <v>0.0</v>
      </c>
      <c r="D16" s="14">
        <v>0.0</v>
      </c>
      <c r="E16" s="14">
        <v>440000.0</v>
      </c>
      <c r="F16" s="14">
        <f>E16</f>
        <v>440000</v>
      </c>
      <c r="G16" s="15">
        <f t="shared" si="6"/>
        <v>10722021</v>
      </c>
      <c r="H16" s="18"/>
    </row>
    <row r="17">
      <c r="A17" s="3">
        <v>16.0</v>
      </c>
      <c r="B17" s="8"/>
      <c r="C17" s="8"/>
      <c r="D17" s="4"/>
      <c r="E17" s="8"/>
      <c r="F17" s="4"/>
      <c r="G17" s="4"/>
    </row>
    <row r="18">
      <c r="A18" s="5">
        <v>17.0</v>
      </c>
      <c r="B18" s="6">
        <v>219667.0</v>
      </c>
      <c r="C18" s="6">
        <v>16378.0</v>
      </c>
      <c r="D18" s="7">
        <f t="shared" ref="D18:D19" si="7">C18+B18</f>
        <v>236045</v>
      </c>
      <c r="E18" s="6">
        <v>605000.0</v>
      </c>
      <c r="F18" s="7">
        <f t="shared" ref="F18:F19" si="8">E18+B18</f>
        <v>824667</v>
      </c>
      <c r="G18" s="7">
        <f>G16+F18</f>
        <v>11546688</v>
      </c>
    </row>
    <row r="19">
      <c r="A19" s="5">
        <v>18.0</v>
      </c>
      <c r="B19" s="6">
        <v>198063.0</v>
      </c>
      <c r="C19" s="6">
        <v>18609.0</v>
      </c>
      <c r="D19" s="7">
        <f t="shared" si="7"/>
        <v>216672</v>
      </c>
      <c r="E19" s="6">
        <v>785000.0</v>
      </c>
      <c r="F19" s="7">
        <f t="shared" si="8"/>
        <v>983063</v>
      </c>
      <c r="G19" s="7">
        <f t="shared" ref="G19:G23" si="9">G18+F19</f>
        <v>12529751</v>
      </c>
    </row>
    <row r="20">
      <c r="A20" s="13">
        <v>19.0</v>
      </c>
      <c r="B20" s="14">
        <v>0.0</v>
      </c>
      <c r="C20" s="14">
        <v>0.0</v>
      </c>
      <c r="D20" s="14">
        <v>0.0</v>
      </c>
      <c r="E20" s="14">
        <v>605000.0</v>
      </c>
      <c r="F20" s="15">
        <f>E20</f>
        <v>605000</v>
      </c>
      <c r="G20" s="15">
        <f t="shared" si="9"/>
        <v>13134751</v>
      </c>
    </row>
    <row r="21">
      <c r="A21" s="5">
        <v>20.0</v>
      </c>
      <c r="B21" s="6">
        <v>0.0</v>
      </c>
      <c r="C21" s="6">
        <v>0.0</v>
      </c>
      <c r="D21" s="7">
        <f t="shared" ref="D21:D23" si="10">C21+B21</f>
        <v>0</v>
      </c>
      <c r="E21" s="6">
        <v>839000.0</v>
      </c>
      <c r="F21" s="7">
        <f t="shared" ref="F21:F22" si="11">E21+B21</f>
        <v>839000</v>
      </c>
      <c r="G21" s="7">
        <f t="shared" si="9"/>
        <v>13973751</v>
      </c>
    </row>
    <row r="22">
      <c r="A22" s="5">
        <v>21.0</v>
      </c>
      <c r="B22" s="6">
        <v>322130.0</v>
      </c>
      <c r="C22" s="6">
        <v>45919.0</v>
      </c>
      <c r="D22" s="7">
        <f t="shared" si="10"/>
        <v>368049</v>
      </c>
      <c r="E22" s="6">
        <v>620000.0</v>
      </c>
      <c r="F22" s="7">
        <f t="shared" si="11"/>
        <v>942130</v>
      </c>
      <c r="G22" s="7">
        <f t="shared" si="9"/>
        <v>14915881</v>
      </c>
    </row>
    <row r="23">
      <c r="A23" s="5">
        <v>22.0</v>
      </c>
      <c r="B23" s="6">
        <v>317236.0</v>
      </c>
      <c r="C23" s="6">
        <f>30179</f>
        <v>30179</v>
      </c>
      <c r="D23" s="7">
        <f t="shared" si="10"/>
        <v>347415</v>
      </c>
      <c r="E23" s="6">
        <v>845000.0</v>
      </c>
      <c r="F23" s="7">
        <f>B23+E23</f>
        <v>1162236</v>
      </c>
      <c r="G23" s="7">
        <f t="shared" si="9"/>
        <v>16078117</v>
      </c>
    </row>
    <row r="24">
      <c r="A24" s="3">
        <v>23.0</v>
      </c>
      <c r="B24" s="8"/>
      <c r="C24" s="8"/>
      <c r="D24" s="4"/>
      <c r="E24" s="8"/>
      <c r="F24" s="4"/>
      <c r="G24" s="4"/>
    </row>
    <row r="25">
      <c r="A25" s="3">
        <v>24.0</v>
      </c>
      <c r="B25" s="8"/>
      <c r="C25" s="8"/>
      <c r="D25" s="4"/>
      <c r="E25" s="8"/>
      <c r="F25" s="4"/>
      <c r="G25" s="4"/>
    </row>
    <row r="26">
      <c r="A26" s="5">
        <v>25.0</v>
      </c>
      <c r="B26" s="6">
        <v>301303.0</v>
      </c>
      <c r="C26" s="6">
        <v>20278.0</v>
      </c>
      <c r="D26" s="7">
        <f t="shared" ref="D26:D30" si="12">C26+B26</f>
        <v>321581</v>
      </c>
      <c r="E26" s="6">
        <v>455000.0</v>
      </c>
      <c r="F26" s="7">
        <f t="shared" ref="F26:F30" si="13">E26+B26</f>
        <v>756303</v>
      </c>
      <c r="G26" s="7">
        <f>G23+F26</f>
        <v>16834420</v>
      </c>
    </row>
    <row r="27">
      <c r="A27" s="13">
        <v>26.0</v>
      </c>
      <c r="B27" s="14">
        <v>170215.0</v>
      </c>
      <c r="C27" s="14">
        <v>6105.0</v>
      </c>
      <c r="D27" s="15">
        <f t="shared" si="12"/>
        <v>176320</v>
      </c>
      <c r="E27" s="14">
        <v>393000.0</v>
      </c>
      <c r="F27" s="15">
        <f t="shared" si="13"/>
        <v>563215</v>
      </c>
      <c r="G27" s="15">
        <f t="shared" ref="G27:G30" si="14">G26+F27</f>
        <v>17397635</v>
      </c>
    </row>
    <row r="28">
      <c r="A28" s="5">
        <v>27.0</v>
      </c>
      <c r="B28" s="6">
        <v>170493.0</v>
      </c>
      <c r="C28" s="6">
        <v>10605.0</v>
      </c>
      <c r="D28" s="6">
        <f t="shared" si="12"/>
        <v>181098</v>
      </c>
      <c r="E28" s="6">
        <v>680000.0</v>
      </c>
      <c r="F28" s="7">
        <f t="shared" si="13"/>
        <v>850493</v>
      </c>
      <c r="G28" s="7">
        <f t="shared" si="14"/>
        <v>18248128</v>
      </c>
    </row>
    <row r="29">
      <c r="A29" s="5">
        <v>28.0</v>
      </c>
      <c r="B29" s="6">
        <v>590448.0</v>
      </c>
      <c r="C29" s="6">
        <v>67345.0</v>
      </c>
      <c r="D29" s="7">
        <f t="shared" si="12"/>
        <v>657793</v>
      </c>
      <c r="E29" s="6">
        <v>697000.0</v>
      </c>
      <c r="F29" s="7">
        <f t="shared" si="13"/>
        <v>1287448</v>
      </c>
      <c r="G29" s="7">
        <f t="shared" si="14"/>
        <v>19535576</v>
      </c>
    </row>
    <row r="30">
      <c r="A30" s="5">
        <v>29.0</v>
      </c>
      <c r="B30" s="6">
        <v>126664.0</v>
      </c>
      <c r="C30" s="6">
        <v>17063.0</v>
      </c>
      <c r="D30" s="7">
        <f t="shared" si="12"/>
        <v>143727</v>
      </c>
      <c r="E30" s="6">
        <v>860000.0</v>
      </c>
      <c r="F30" s="7">
        <f t="shared" si="13"/>
        <v>986664</v>
      </c>
      <c r="G30" s="7">
        <f t="shared" si="14"/>
        <v>20522240</v>
      </c>
    </row>
    <row r="31">
      <c r="A31" s="3">
        <v>30.0</v>
      </c>
      <c r="B31" s="8"/>
      <c r="C31" s="8"/>
      <c r="D31" s="4"/>
      <c r="E31" s="8"/>
      <c r="F31" s="4"/>
      <c r="G31" s="4"/>
    </row>
    <row r="32">
      <c r="A32" s="5">
        <v>31.0</v>
      </c>
      <c r="B32" s="6">
        <f>121142+150000</f>
        <v>271142</v>
      </c>
      <c r="C32" s="6">
        <v>6057.0</v>
      </c>
      <c r="D32" s="7">
        <f>C32+B32</f>
        <v>277199</v>
      </c>
      <c r="E32" s="6">
        <v>165000.0</v>
      </c>
      <c r="F32" s="7">
        <f>E32+B32</f>
        <v>436142</v>
      </c>
      <c r="G32" s="7">
        <f>G30+F32</f>
        <v>20958382</v>
      </c>
    </row>
    <row r="33">
      <c r="A33" s="19" t="s">
        <v>6</v>
      </c>
      <c r="B33" s="17">
        <f t="shared" ref="B33:F33" si="15">SUM(B2:B32)</f>
        <v>5508382</v>
      </c>
      <c r="C33" s="17">
        <f t="shared" si="15"/>
        <v>506139</v>
      </c>
      <c r="D33" s="17">
        <f t="shared" si="15"/>
        <v>6014521</v>
      </c>
      <c r="E33" s="17">
        <f t="shared" si="15"/>
        <v>15450000</v>
      </c>
      <c r="F33" s="17">
        <f t="shared" si="15"/>
        <v>20958382</v>
      </c>
      <c r="G33" s="1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3" max="3" width="16.75"/>
  </cols>
  <sheetData>
    <row r="1">
      <c r="A1" s="1"/>
      <c r="B1" s="2" t="s">
        <v>0</v>
      </c>
      <c r="C1" s="2" t="s">
        <v>3</v>
      </c>
    </row>
    <row r="2">
      <c r="A2" s="13">
        <v>1.0</v>
      </c>
      <c r="B2" s="14">
        <v>0.0</v>
      </c>
      <c r="C2" s="10">
        <v>510000.0</v>
      </c>
      <c r="D2" s="11">
        <v>886150.0</v>
      </c>
    </row>
    <row r="3">
      <c r="A3" s="3">
        <v>2.0</v>
      </c>
      <c r="B3" s="4"/>
      <c r="C3" s="4"/>
    </row>
    <row r="4">
      <c r="A4" s="5">
        <v>3.0</v>
      </c>
      <c r="B4" s="10">
        <v>145200.0</v>
      </c>
      <c r="C4" s="10">
        <v>80000.0</v>
      </c>
    </row>
    <row r="5">
      <c r="A5" s="5">
        <v>4.0</v>
      </c>
      <c r="B5" s="10">
        <v>0.0</v>
      </c>
      <c r="C5" s="10">
        <v>10000.0</v>
      </c>
    </row>
    <row r="6">
      <c r="A6" s="13">
        <v>5.0</v>
      </c>
      <c r="B6" s="10">
        <v>23000.0</v>
      </c>
      <c r="C6" s="10">
        <v>635000.0</v>
      </c>
      <c r="D6" s="11">
        <v>1147750.0</v>
      </c>
    </row>
    <row r="7">
      <c r="A7" s="13">
        <v>6.0</v>
      </c>
      <c r="B7" s="10">
        <v>0.0</v>
      </c>
      <c r="C7" s="10">
        <v>485000.0</v>
      </c>
    </row>
    <row r="8">
      <c r="A8" s="5">
        <v>7.0</v>
      </c>
      <c r="B8" s="10">
        <v>57000.0</v>
      </c>
      <c r="C8" s="10">
        <v>435000.0</v>
      </c>
    </row>
    <row r="9">
      <c r="A9" s="5">
        <v>8.0</v>
      </c>
      <c r="B9" s="10">
        <v>233000.0</v>
      </c>
      <c r="C9" s="10">
        <v>365000.0</v>
      </c>
    </row>
    <row r="10">
      <c r="A10" s="3">
        <v>9.0</v>
      </c>
      <c r="B10" s="8"/>
      <c r="C10" s="8"/>
    </row>
    <row r="11">
      <c r="A11" s="5">
        <v>10.0</v>
      </c>
      <c r="B11" s="10">
        <v>30400.0</v>
      </c>
      <c r="C11" s="10">
        <v>210000.0</v>
      </c>
    </row>
    <row r="12">
      <c r="A12" s="5">
        <v>11.0</v>
      </c>
      <c r="B12" s="10">
        <v>170300.0</v>
      </c>
      <c r="C12" s="10">
        <v>190000.0</v>
      </c>
      <c r="D12" s="17"/>
    </row>
    <row r="13">
      <c r="A13" s="13">
        <v>12.0</v>
      </c>
      <c r="B13" s="10">
        <v>20300.0</v>
      </c>
      <c r="C13" s="10">
        <v>220000.0</v>
      </c>
      <c r="D13" s="11">
        <v>651900.0</v>
      </c>
    </row>
    <row r="14">
      <c r="A14" s="5">
        <v>13.0</v>
      </c>
      <c r="B14" s="10">
        <v>10200.0</v>
      </c>
      <c r="C14" s="10">
        <v>475000.0</v>
      </c>
      <c r="D14" s="11">
        <v>1120300.0</v>
      </c>
    </row>
    <row r="15">
      <c r="A15" s="5">
        <v>14.0</v>
      </c>
      <c r="B15" s="10">
        <v>220500.0</v>
      </c>
      <c r="C15" s="10" t="s">
        <v>7</v>
      </c>
      <c r="D15" s="11">
        <v>1307450.0</v>
      </c>
    </row>
    <row r="16">
      <c r="A16" s="13">
        <v>15.0</v>
      </c>
      <c r="B16" s="6"/>
      <c r="C16" s="10">
        <v>380000.0</v>
      </c>
      <c r="D16" s="21">
        <v>791150.0</v>
      </c>
    </row>
    <row r="17">
      <c r="A17" s="3">
        <v>16.0</v>
      </c>
      <c r="B17" s="8"/>
      <c r="C17" s="8"/>
    </row>
    <row r="18">
      <c r="A18" s="5">
        <v>17.0</v>
      </c>
      <c r="B18" s="10">
        <v>131700.0</v>
      </c>
      <c r="C18" s="10">
        <v>335000.0</v>
      </c>
    </row>
    <row r="19">
      <c r="A19" s="5">
        <v>18.0</v>
      </c>
      <c r="B19" s="10">
        <v>136800.0</v>
      </c>
      <c r="C19" s="10">
        <v>345000.0</v>
      </c>
    </row>
    <row r="20">
      <c r="A20" s="13">
        <v>19.0</v>
      </c>
      <c r="B20" s="14"/>
      <c r="C20" s="10">
        <v>455000.0</v>
      </c>
    </row>
    <row r="21">
      <c r="A21" s="5">
        <v>20.0</v>
      </c>
      <c r="B21" s="6"/>
      <c r="C21" s="10">
        <v>489000.0</v>
      </c>
      <c r="D21" s="11">
        <v>1150800.0</v>
      </c>
    </row>
    <row r="22">
      <c r="A22" s="5">
        <v>21.0</v>
      </c>
      <c r="B22" s="10">
        <v>302000.0</v>
      </c>
      <c r="C22" s="10">
        <v>395000.0</v>
      </c>
      <c r="D22" s="11">
        <v>1091700.0</v>
      </c>
    </row>
    <row r="23">
      <c r="A23" s="5">
        <v>22.0</v>
      </c>
      <c r="B23" s="10">
        <v>244400.0</v>
      </c>
      <c r="C23" s="10">
        <v>475000.0</v>
      </c>
      <c r="D23" s="12">
        <v>938400.0</v>
      </c>
    </row>
    <row r="24">
      <c r="A24" s="3">
        <v>23.0</v>
      </c>
      <c r="B24" s="8"/>
      <c r="C24" s="8"/>
    </row>
    <row r="25">
      <c r="A25" s="3">
        <v>24.0</v>
      </c>
      <c r="B25" s="8"/>
      <c r="C25" s="8"/>
    </row>
    <row r="26">
      <c r="A26" s="5">
        <v>25.0</v>
      </c>
      <c r="B26" s="10">
        <v>133700.0</v>
      </c>
      <c r="C26" s="10">
        <v>365000.0</v>
      </c>
      <c r="D26" s="11">
        <v>1663700.0</v>
      </c>
    </row>
    <row r="27">
      <c r="A27" s="13">
        <v>26.0</v>
      </c>
      <c r="B27" s="10">
        <v>112900.0</v>
      </c>
      <c r="C27" s="10">
        <v>220000.0</v>
      </c>
    </row>
    <row r="28">
      <c r="A28" s="5">
        <v>27.0</v>
      </c>
      <c r="B28" s="10">
        <v>34900.0</v>
      </c>
      <c r="C28" s="10">
        <v>345000.0</v>
      </c>
      <c r="D28" s="11">
        <v>1158500.0</v>
      </c>
    </row>
    <row r="29">
      <c r="A29" s="5">
        <v>28.0</v>
      </c>
      <c r="B29" s="10">
        <v>5200.0</v>
      </c>
      <c r="C29" s="10">
        <v>422000.0</v>
      </c>
      <c r="D29" s="11">
        <v>854400.0</v>
      </c>
      <c r="F29" s="17">
        <f>C29-422000</f>
        <v>0</v>
      </c>
    </row>
    <row r="30">
      <c r="A30" s="5">
        <v>29.0</v>
      </c>
      <c r="B30" s="10">
        <v>4000.0</v>
      </c>
      <c r="C30" s="10">
        <v>495000.0</v>
      </c>
    </row>
    <row r="31">
      <c r="A31" s="22">
        <v>30.0</v>
      </c>
      <c r="B31" s="23"/>
      <c r="C31" s="23"/>
    </row>
    <row r="32">
      <c r="A32" s="13">
        <v>31.0</v>
      </c>
      <c r="B32" s="10">
        <f>32500+150000</f>
        <v>182500</v>
      </c>
      <c r="C32" s="10">
        <v>165000.0</v>
      </c>
      <c r="D32" s="11">
        <v>1266200.0</v>
      </c>
    </row>
    <row r="33">
      <c r="A33" s="19"/>
      <c r="B33" s="20"/>
      <c r="C33" s="20"/>
    </row>
    <row r="34">
      <c r="A34" s="19"/>
      <c r="B34" s="17"/>
      <c r="C34" s="1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5" max="5" width="16.75"/>
    <col customWidth="1" min="7" max="7" width="19.63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>
      <c r="A2" s="13">
        <v>1.0</v>
      </c>
      <c r="B2" s="14">
        <f>166863+69000</f>
        <v>235863</v>
      </c>
      <c r="C2" s="14">
        <v>13231.0</v>
      </c>
      <c r="D2" s="15">
        <f t="shared" ref="D2:D6" si="1">C2+B2</f>
        <v>249094</v>
      </c>
      <c r="E2" s="14">
        <v>385000.0</v>
      </c>
      <c r="F2" s="15">
        <f t="shared" ref="F2:F6" si="2">E2+B2</f>
        <v>620863</v>
      </c>
      <c r="G2" s="15">
        <f>F2</f>
        <v>620863</v>
      </c>
    </row>
    <row r="3">
      <c r="A3" s="5">
        <v>2.0</v>
      </c>
      <c r="B3" s="6">
        <v>46218.0</v>
      </c>
      <c r="C3" s="6">
        <v>8782.0</v>
      </c>
      <c r="D3" s="7">
        <f t="shared" si="1"/>
        <v>55000</v>
      </c>
      <c r="E3" s="6">
        <v>670000.0</v>
      </c>
      <c r="F3" s="7">
        <f t="shared" si="2"/>
        <v>716218</v>
      </c>
      <c r="G3" s="7">
        <f t="shared" ref="G3:G6" si="3">G2+F3</f>
        <v>1337081</v>
      </c>
    </row>
    <row r="4">
      <c r="A4" s="5">
        <v>3.0</v>
      </c>
      <c r="B4" s="6">
        <v>298006.0</v>
      </c>
      <c r="C4" s="6">
        <v>12690.0</v>
      </c>
      <c r="D4" s="7">
        <f t="shared" si="1"/>
        <v>310696</v>
      </c>
      <c r="E4" s="6">
        <v>660000.0</v>
      </c>
      <c r="F4" s="7">
        <f t="shared" si="2"/>
        <v>958006</v>
      </c>
      <c r="G4" s="7">
        <f t="shared" si="3"/>
        <v>2295087</v>
      </c>
    </row>
    <row r="5">
      <c r="A5" s="5">
        <v>4.0</v>
      </c>
      <c r="B5" s="6">
        <v>26667.0</v>
      </c>
      <c r="C5" s="6">
        <v>1333.0</v>
      </c>
      <c r="D5" s="7">
        <f t="shared" si="1"/>
        <v>28000</v>
      </c>
      <c r="E5" s="6">
        <v>591000.0</v>
      </c>
      <c r="F5" s="7">
        <f t="shared" si="2"/>
        <v>617667</v>
      </c>
      <c r="G5" s="7">
        <f t="shared" si="3"/>
        <v>2912754</v>
      </c>
    </row>
    <row r="6">
      <c r="A6" s="5">
        <v>5.0</v>
      </c>
      <c r="B6" s="14">
        <v>163990.0</v>
      </c>
      <c r="C6" s="14">
        <v>14412.0</v>
      </c>
      <c r="D6" s="15">
        <f t="shared" si="1"/>
        <v>178402</v>
      </c>
      <c r="E6" s="14">
        <v>500000.0</v>
      </c>
      <c r="F6" s="15">
        <f t="shared" si="2"/>
        <v>663990</v>
      </c>
      <c r="G6" s="15">
        <f t="shared" si="3"/>
        <v>3576744</v>
      </c>
    </row>
    <row r="7">
      <c r="A7" s="3">
        <v>6.0</v>
      </c>
      <c r="B7" s="8"/>
      <c r="C7" s="8"/>
      <c r="D7" s="4"/>
      <c r="E7" s="8"/>
      <c r="F7" s="4"/>
      <c r="G7" s="4"/>
    </row>
    <row r="8">
      <c r="A8" s="5">
        <v>7.0</v>
      </c>
      <c r="B8" s="6">
        <v>62568.0</v>
      </c>
      <c r="C8" s="6">
        <v>3128.0</v>
      </c>
      <c r="D8" s="6">
        <f>B8+C8</f>
        <v>65696</v>
      </c>
      <c r="E8" s="6">
        <v>450000.0</v>
      </c>
      <c r="F8" s="7">
        <f>B8+E8</f>
        <v>512568</v>
      </c>
      <c r="G8" s="7">
        <f>G6+F8</f>
        <v>4089312</v>
      </c>
    </row>
    <row r="9">
      <c r="A9" s="5">
        <v>8.0</v>
      </c>
      <c r="B9" s="6">
        <v>155744.0</v>
      </c>
      <c r="C9" s="6">
        <v>16805.0</v>
      </c>
      <c r="D9" s="7">
        <f t="shared" ref="D9:D11" si="4">C9+B9</f>
        <v>172549</v>
      </c>
      <c r="E9" s="6">
        <v>555000.0</v>
      </c>
      <c r="F9" s="7">
        <f t="shared" ref="F9:F11" si="5">E9+B9</f>
        <v>710744</v>
      </c>
      <c r="G9" s="7">
        <f t="shared" ref="G9:G13" si="6">G8+F9</f>
        <v>4800056</v>
      </c>
    </row>
    <row r="10">
      <c r="A10" s="5">
        <v>9.0</v>
      </c>
      <c r="B10" s="6">
        <v>109178.0</v>
      </c>
      <c r="C10" s="6">
        <f>9176</f>
        <v>9176</v>
      </c>
      <c r="D10" s="7">
        <f t="shared" si="4"/>
        <v>118354</v>
      </c>
      <c r="E10" s="6">
        <v>685000.0</v>
      </c>
      <c r="F10" s="7">
        <f t="shared" si="5"/>
        <v>794178</v>
      </c>
      <c r="G10" s="7">
        <f t="shared" si="6"/>
        <v>5594234</v>
      </c>
    </row>
    <row r="11">
      <c r="A11" s="5">
        <v>10.0</v>
      </c>
      <c r="B11" s="6">
        <v>27333.0</v>
      </c>
      <c r="C11" s="6">
        <v>1367.0</v>
      </c>
      <c r="D11" s="7">
        <f t="shared" si="4"/>
        <v>28700</v>
      </c>
      <c r="E11" s="6">
        <v>573000.0</v>
      </c>
      <c r="F11" s="7">
        <f t="shared" si="5"/>
        <v>600333</v>
      </c>
      <c r="G11" s="7">
        <f t="shared" si="6"/>
        <v>6194567</v>
      </c>
    </row>
    <row r="12">
      <c r="A12" s="5">
        <v>11.0</v>
      </c>
      <c r="B12" s="6">
        <v>283659.0</v>
      </c>
      <c r="C12" s="6">
        <v>36395.0</v>
      </c>
      <c r="D12" s="6">
        <f t="shared" ref="D12:D13" si="7">B12+C12</f>
        <v>320054</v>
      </c>
      <c r="E12" s="6">
        <v>550000.0</v>
      </c>
      <c r="F12" s="6">
        <f t="shared" ref="F12:F13" si="8">B12+E12</f>
        <v>833659</v>
      </c>
      <c r="G12" s="7">
        <f t="shared" si="6"/>
        <v>7028226</v>
      </c>
      <c r="H12" s="17"/>
    </row>
    <row r="13">
      <c r="A13" s="13">
        <v>12.0</v>
      </c>
      <c r="B13" s="14">
        <v>472537.0</v>
      </c>
      <c r="C13" s="14">
        <v>43259.0</v>
      </c>
      <c r="D13" s="15">
        <f t="shared" si="7"/>
        <v>515796</v>
      </c>
      <c r="E13" s="14">
        <v>545000.0</v>
      </c>
      <c r="F13" s="15">
        <f t="shared" si="8"/>
        <v>1017537</v>
      </c>
      <c r="G13" s="15">
        <f t="shared" si="6"/>
        <v>8045763</v>
      </c>
    </row>
    <row r="14">
      <c r="A14" s="3">
        <v>13.0</v>
      </c>
      <c r="B14" s="8"/>
      <c r="C14" s="8"/>
      <c r="D14" s="4"/>
      <c r="E14" s="8"/>
      <c r="F14" s="4"/>
      <c r="G14" s="4"/>
    </row>
    <row r="15">
      <c r="A15" s="5">
        <v>14.0</v>
      </c>
      <c r="B15" s="6">
        <v>168280.0</v>
      </c>
      <c r="C15" s="6">
        <v>8414.0</v>
      </c>
      <c r="D15" s="7">
        <f>B15+C15</f>
        <v>176694</v>
      </c>
      <c r="E15" s="6">
        <v>445000.0</v>
      </c>
      <c r="F15" s="7">
        <f>B15+E15</f>
        <v>613280</v>
      </c>
      <c r="G15" s="7">
        <f>G13+F15</f>
        <v>8659043</v>
      </c>
    </row>
    <row r="16">
      <c r="A16" s="13">
        <v>15.0</v>
      </c>
      <c r="B16" s="6">
        <v>211406.0</v>
      </c>
      <c r="C16" s="14">
        <v>10467.0</v>
      </c>
      <c r="D16" s="14">
        <f t="shared" ref="D16:D17" si="9">C16+B16</f>
        <v>221873</v>
      </c>
      <c r="E16" s="14">
        <v>862000.0</v>
      </c>
      <c r="F16" s="14">
        <f t="shared" ref="F16:F17" si="10">E16+B16</f>
        <v>1073406</v>
      </c>
      <c r="G16" s="15">
        <f t="shared" ref="G16:G17" si="11">G15+F16</f>
        <v>9732449</v>
      </c>
      <c r="H16" s="18"/>
    </row>
    <row r="17">
      <c r="A17" s="5">
        <v>16.0</v>
      </c>
      <c r="B17" s="6">
        <v>201423.0</v>
      </c>
      <c r="C17" s="6">
        <v>10927.0</v>
      </c>
      <c r="D17" s="7">
        <f t="shared" si="9"/>
        <v>212350</v>
      </c>
      <c r="E17" s="6">
        <v>938000.0</v>
      </c>
      <c r="F17" s="7">
        <f t="shared" si="10"/>
        <v>1139423</v>
      </c>
      <c r="G17" s="7">
        <f t="shared" si="11"/>
        <v>10871872</v>
      </c>
    </row>
    <row r="18">
      <c r="A18" s="3">
        <v>17.0</v>
      </c>
      <c r="B18" s="8"/>
      <c r="C18" s="8"/>
      <c r="D18" s="4"/>
      <c r="E18" s="8"/>
      <c r="F18" s="4"/>
      <c r="G18" s="4"/>
    </row>
    <row r="19">
      <c r="A19" s="3">
        <v>18.0</v>
      </c>
      <c r="B19" s="8"/>
      <c r="C19" s="8"/>
      <c r="D19" s="4"/>
      <c r="E19" s="8"/>
      <c r="F19" s="4"/>
      <c r="G19" s="4"/>
    </row>
    <row r="20">
      <c r="A20" s="13">
        <v>19.0</v>
      </c>
      <c r="B20" s="14">
        <v>247438.0</v>
      </c>
      <c r="C20" s="14">
        <v>18611.0</v>
      </c>
      <c r="D20" s="14">
        <f>C20+B20</f>
        <v>266049</v>
      </c>
      <c r="E20" s="14">
        <v>785000.0</v>
      </c>
      <c r="F20" s="15">
        <f>E20+B20</f>
        <v>1032438</v>
      </c>
      <c r="G20" s="15">
        <f>G17+F20</f>
        <v>11904310</v>
      </c>
    </row>
    <row r="21">
      <c r="A21" s="3">
        <v>20.0</v>
      </c>
      <c r="B21" s="8"/>
      <c r="C21" s="8"/>
      <c r="D21" s="4"/>
      <c r="E21" s="8"/>
      <c r="F21" s="4"/>
      <c r="G21" s="4"/>
    </row>
    <row r="22">
      <c r="A22" s="5">
        <v>21.0</v>
      </c>
      <c r="B22" s="6">
        <v>87809.0</v>
      </c>
      <c r="C22" s="6">
        <v>4390.0</v>
      </c>
      <c r="D22" s="7">
        <f t="shared" ref="D22:D23" si="12">B22+C22</f>
        <v>92199</v>
      </c>
      <c r="E22" s="6">
        <v>520000.0</v>
      </c>
      <c r="F22" s="7">
        <f t="shared" ref="F22:F23" si="13">B22+E22</f>
        <v>607809</v>
      </c>
      <c r="G22" s="7">
        <f>G20+F22</f>
        <v>12512119</v>
      </c>
    </row>
    <row r="23">
      <c r="A23" s="5">
        <v>22.0</v>
      </c>
      <c r="B23" s="6">
        <v>167711.0</v>
      </c>
      <c r="C23" s="6">
        <v>17839.0</v>
      </c>
      <c r="D23" s="7">
        <f t="shared" si="12"/>
        <v>185550</v>
      </c>
      <c r="E23" s="6">
        <v>610000.0</v>
      </c>
      <c r="F23" s="7">
        <f t="shared" si="13"/>
        <v>777711</v>
      </c>
      <c r="G23" s="7">
        <f t="shared" ref="G23:G27" si="14">G22+F23</f>
        <v>13289830</v>
      </c>
    </row>
    <row r="24">
      <c r="A24" s="5">
        <v>23.0</v>
      </c>
      <c r="B24" s="6">
        <v>157864.0</v>
      </c>
      <c r="C24" s="6">
        <v>10835.0</v>
      </c>
      <c r="D24" s="7">
        <f t="shared" ref="D24:D26" si="15">C24+B24</f>
        <v>168699</v>
      </c>
      <c r="E24" s="6">
        <v>450000.0</v>
      </c>
      <c r="F24" s="7">
        <f t="shared" ref="F24:F26" si="16">E24+B24</f>
        <v>607864</v>
      </c>
      <c r="G24" s="7">
        <f t="shared" si="14"/>
        <v>13897694</v>
      </c>
    </row>
    <row r="25">
      <c r="A25" s="5">
        <v>24.0</v>
      </c>
      <c r="B25" s="6">
        <v>134316.0</v>
      </c>
      <c r="C25" s="6">
        <v>9657.0</v>
      </c>
      <c r="D25" s="7">
        <f t="shared" si="15"/>
        <v>143973</v>
      </c>
      <c r="E25" s="6">
        <v>388000.0</v>
      </c>
      <c r="F25" s="7">
        <f t="shared" si="16"/>
        <v>522316</v>
      </c>
      <c r="G25" s="7">
        <f t="shared" si="14"/>
        <v>14420010</v>
      </c>
    </row>
    <row r="26">
      <c r="A26" s="5">
        <v>25.0</v>
      </c>
      <c r="B26" s="6">
        <v>90866.0</v>
      </c>
      <c r="C26" s="6">
        <v>2333.0</v>
      </c>
      <c r="D26" s="7">
        <f t="shared" si="15"/>
        <v>93199</v>
      </c>
      <c r="E26" s="6">
        <v>580000.0</v>
      </c>
      <c r="F26" s="7">
        <f t="shared" si="16"/>
        <v>670866</v>
      </c>
      <c r="G26" s="7">
        <f t="shared" si="14"/>
        <v>15090876</v>
      </c>
    </row>
    <row r="27">
      <c r="A27" s="13">
        <v>26.0</v>
      </c>
      <c r="B27" s="14">
        <v>222610.0</v>
      </c>
      <c r="C27" s="14">
        <v>18966.0</v>
      </c>
      <c r="D27" s="15">
        <f>B27+C27</f>
        <v>241576</v>
      </c>
      <c r="E27" s="14">
        <v>760000.0</v>
      </c>
      <c r="F27" s="15">
        <f>B27+E27</f>
        <v>982610</v>
      </c>
      <c r="G27" s="15">
        <f t="shared" si="14"/>
        <v>16073486</v>
      </c>
    </row>
    <row r="28">
      <c r="A28" s="3">
        <v>27.0</v>
      </c>
      <c r="B28" s="8"/>
      <c r="C28" s="8"/>
      <c r="D28" s="8"/>
      <c r="E28" s="8"/>
      <c r="F28" s="4"/>
      <c r="G28" s="4"/>
    </row>
    <row r="29">
      <c r="A29" s="5">
        <v>28.0</v>
      </c>
      <c r="B29" s="6">
        <v>46190.0</v>
      </c>
      <c r="C29" s="6">
        <v>2310.0</v>
      </c>
      <c r="D29" s="7">
        <f t="shared" ref="D29:D30" si="17">B29+C29</f>
        <v>48500</v>
      </c>
      <c r="E29" s="6">
        <v>513000.0</v>
      </c>
      <c r="F29" s="7">
        <f t="shared" ref="F29:F30" si="18">B29+E29</f>
        <v>559190</v>
      </c>
      <c r="G29" s="7">
        <f>G27+F29</f>
        <v>16632676</v>
      </c>
    </row>
    <row r="30">
      <c r="A30" s="5">
        <v>29.0</v>
      </c>
      <c r="B30" s="6">
        <v>96951.0</v>
      </c>
      <c r="C30" s="6">
        <v>4848.0</v>
      </c>
      <c r="D30" s="7">
        <f t="shared" si="17"/>
        <v>101799</v>
      </c>
      <c r="E30" s="6">
        <v>310000.0</v>
      </c>
      <c r="F30" s="7">
        <f t="shared" si="18"/>
        <v>406951</v>
      </c>
      <c r="G30" s="7">
        <f t="shared" ref="G30:G31" si="19">G29+F30</f>
        <v>17039627</v>
      </c>
    </row>
    <row r="31">
      <c r="A31" s="5">
        <v>30.0</v>
      </c>
      <c r="B31" s="6">
        <v>278970.0</v>
      </c>
      <c r="C31" s="6">
        <v>13948.0</v>
      </c>
      <c r="D31" s="7">
        <f>C31+B31</f>
        <v>292918</v>
      </c>
      <c r="E31" s="6">
        <v>410000.0</v>
      </c>
      <c r="F31" s="7">
        <f>E31+B31</f>
        <v>688970</v>
      </c>
      <c r="G31" s="7">
        <f t="shared" si="19"/>
        <v>17728597</v>
      </c>
    </row>
    <row r="32">
      <c r="A32" s="5" t="s">
        <v>6</v>
      </c>
      <c r="B32" s="6">
        <f>SUM(B2:B31)</f>
        <v>3993597</v>
      </c>
      <c r="C32" s="6"/>
      <c r="D32" s="7"/>
      <c r="E32" s="6">
        <f>SUM(E2:E31)</f>
        <v>13735000</v>
      </c>
      <c r="F32" s="7"/>
      <c r="G32" s="7"/>
    </row>
    <row r="33">
      <c r="A33" s="19"/>
      <c r="B33" s="17"/>
      <c r="C33" s="17"/>
      <c r="D33" s="17"/>
      <c r="E33" s="17"/>
      <c r="F33" s="17"/>
      <c r="G33" s="1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3" max="3" width="16.75"/>
  </cols>
  <sheetData>
    <row r="1">
      <c r="A1" s="1"/>
      <c r="B1" s="2" t="s">
        <v>0</v>
      </c>
      <c r="C1" s="2" t="s">
        <v>3</v>
      </c>
    </row>
    <row r="2">
      <c r="A2" s="13">
        <v>1.0</v>
      </c>
      <c r="B2" s="10">
        <v>150100.0</v>
      </c>
      <c r="C2" s="10">
        <v>320000.0</v>
      </c>
      <c r="D2" s="11">
        <v>823100.0</v>
      </c>
    </row>
    <row r="3">
      <c r="A3" s="5">
        <v>2.0</v>
      </c>
      <c r="B3" s="6">
        <v>0.0</v>
      </c>
      <c r="C3" s="10">
        <v>360000.0</v>
      </c>
    </row>
    <row r="4">
      <c r="A4" s="5">
        <v>3.0</v>
      </c>
      <c r="B4" s="10">
        <v>47400.0</v>
      </c>
      <c r="C4" s="10">
        <v>245000.0</v>
      </c>
      <c r="D4" s="11">
        <v>630100.0</v>
      </c>
    </row>
    <row r="5">
      <c r="A5" s="5">
        <v>4.0</v>
      </c>
      <c r="B5" s="10">
        <v>28000.0</v>
      </c>
      <c r="C5" s="10">
        <v>451000.0</v>
      </c>
      <c r="D5" s="11">
        <v>1113500.0</v>
      </c>
    </row>
    <row r="6">
      <c r="A6" s="5">
        <v>5.0</v>
      </c>
      <c r="B6" s="10">
        <v>178400.0</v>
      </c>
      <c r="C6" s="10">
        <v>455000.0</v>
      </c>
    </row>
    <row r="7">
      <c r="A7" s="3">
        <v>6.0</v>
      </c>
      <c r="B7" s="8"/>
      <c r="C7" s="8"/>
    </row>
    <row r="8">
      <c r="A8" s="5">
        <v>7.0</v>
      </c>
      <c r="B8" s="10">
        <v>65700.0</v>
      </c>
      <c r="C8" s="10">
        <v>220000.0</v>
      </c>
    </row>
    <row r="9">
      <c r="A9" s="5">
        <v>8.0</v>
      </c>
      <c r="B9" s="10">
        <v>148550.0</v>
      </c>
      <c r="C9" s="10">
        <v>310000.0</v>
      </c>
      <c r="D9" s="12">
        <v>805000.0</v>
      </c>
    </row>
    <row r="10">
      <c r="A10" s="5">
        <v>9.0</v>
      </c>
      <c r="B10" s="10">
        <v>72500.0</v>
      </c>
      <c r="C10" s="10">
        <v>295000.0</v>
      </c>
      <c r="D10" s="11">
        <v>780200.0</v>
      </c>
    </row>
    <row r="11">
      <c r="A11" s="5">
        <v>10.0</v>
      </c>
      <c r="B11" s="10">
        <v>28700.0</v>
      </c>
      <c r="C11" s="10">
        <v>135000.0</v>
      </c>
      <c r="D11" s="11">
        <v>485900.0</v>
      </c>
    </row>
    <row r="12">
      <c r="A12" s="5">
        <v>11.0</v>
      </c>
      <c r="B12" s="10">
        <v>206251.0</v>
      </c>
      <c r="C12" s="10">
        <v>405000.0</v>
      </c>
      <c r="D12" s="17"/>
    </row>
    <row r="13">
      <c r="A13" s="13">
        <v>12.0</v>
      </c>
      <c r="B13" s="10">
        <v>146600.0</v>
      </c>
      <c r="C13" s="10">
        <v>310000.0</v>
      </c>
    </row>
    <row r="14">
      <c r="A14" s="3">
        <v>13.0</v>
      </c>
      <c r="B14" s="8"/>
      <c r="C14" s="8"/>
    </row>
    <row r="15">
      <c r="A15" s="5">
        <v>14.0</v>
      </c>
      <c r="B15" s="10">
        <v>78300.0</v>
      </c>
      <c r="C15" s="10">
        <v>110000.0</v>
      </c>
      <c r="D15" s="11">
        <v>703450.0</v>
      </c>
    </row>
    <row r="16">
      <c r="A16" s="13">
        <v>15.0</v>
      </c>
      <c r="B16" s="10">
        <v>62000.0</v>
      </c>
      <c r="C16" s="10">
        <v>492000.0</v>
      </c>
      <c r="D16" s="21">
        <v>1060450.0</v>
      </c>
    </row>
    <row r="17">
      <c r="A17" s="5">
        <v>16.0</v>
      </c>
      <c r="B17" s="10">
        <v>126700.0</v>
      </c>
      <c r="C17" s="10">
        <v>225000.0</v>
      </c>
      <c r="D17" s="11">
        <v>731300.0</v>
      </c>
    </row>
    <row r="18">
      <c r="A18" s="3">
        <v>17.0</v>
      </c>
      <c r="B18" s="8"/>
      <c r="C18" s="8"/>
    </row>
    <row r="19">
      <c r="A19" s="3">
        <v>18.0</v>
      </c>
      <c r="B19" s="8"/>
      <c r="C19" s="8"/>
    </row>
    <row r="20">
      <c r="A20" s="13">
        <v>19.0</v>
      </c>
      <c r="B20" s="10">
        <v>21558.0</v>
      </c>
      <c r="C20" s="10">
        <v>235000.0</v>
      </c>
    </row>
    <row r="21">
      <c r="A21" s="3">
        <v>20.0</v>
      </c>
      <c r="B21" s="8"/>
      <c r="C21" s="8"/>
    </row>
    <row r="22">
      <c r="A22" s="5">
        <v>21.0</v>
      </c>
      <c r="B22" s="10">
        <v>0.0</v>
      </c>
      <c r="C22" s="10">
        <v>365000.0</v>
      </c>
    </row>
    <row r="23">
      <c r="A23" s="5">
        <v>22.0</v>
      </c>
      <c r="B23" s="10">
        <v>60050.0</v>
      </c>
      <c r="C23" s="10">
        <v>380000.0</v>
      </c>
    </row>
    <row r="24">
      <c r="A24" s="5">
        <v>23.0</v>
      </c>
      <c r="B24" s="10">
        <v>106000.0</v>
      </c>
      <c r="C24" s="10">
        <v>245000.0</v>
      </c>
      <c r="D24" s="11">
        <v>659500.0</v>
      </c>
    </row>
    <row r="25">
      <c r="A25" s="5">
        <v>24.0</v>
      </c>
      <c r="B25" s="10">
        <v>119000.0</v>
      </c>
      <c r="C25" s="10">
        <v>208000.0</v>
      </c>
    </row>
    <row r="26">
      <c r="A26" s="5">
        <v>25.0</v>
      </c>
      <c r="B26" s="10">
        <v>44200.0</v>
      </c>
      <c r="C26" s="10">
        <v>190000.0</v>
      </c>
      <c r="D26" s="11">
        <v>632900.0</v>
      </c>
    </row>
    <row r="27">
      <c r="A27" s="13">
        <v>26.0</v>
      </c>
      <c r="B27" s="10">
        <v>108500.0</v>
      </c>
      <c r="C27" s="10">
        <v>600000.0</v>
      </c>
      <c r="D27" s="11">
        <v>1136700.0</v>
      </c>
    </row>
    <row r="28">
      <c r="A28" s="3">
        <v>27.0</v>
      </c>
      <c r="B28" s="8"/>
      <c r="C28" s="8"/>
    </row>
    <row r="29">
      <c r="A29" s="5">
        <v>28.0</v>
      </c>
      <c r="B29" s="10">
        <v>24000.0</v>
      </c>
      <c r="C29" s="10">
        <v>233000.0</v>
      </c>
    </row>
    <row r="30">
      <c r="A30" s="5">
        <v>29.0</v>
      </c>
      <c r="B30" s="10">
        <v>101798.0</v>
      </c>
      <c r="C30" s="10">
        <v>160000.0</v>
      </c>
    </row>
    <row r="31">
      <c r="A31" s="5">
        <v>30.0</v>
      </c>
      <c r="B31" s="6">
        <v>4000.0</v>
      </c>
      <c r="C31" s="6">
        <v>300000.0</v>
      </c>
      <c r="D31" s="11">
        <v>728200.0</v>
      </c>
    </row>
    <row r="32">
      <c r="A32" s="5" t="s">
        <v>6</v>
      </c>
      <c r="B32" s="6"/>
      <c r="C32" s="6"/>
    </row>
    <row r="33">
      <c r="A33" s="19"/>
      <c r="B33" s="17"/>
      <c r="C33" s="17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5" max="5" width="16.75"/>
    <col customWidth="1" min="7" max="7" width="19.63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>
      <c r="A2" s="3">
        <v>1.0</v>
      </c>
      <c r="B2" s="8"/>
      <c r="C2" s="8"/>
      <c r="D2" s="4"/>
      <c r="E2" s="8"/>
      <c r="F2" s="4"/>
      <c r="G2" s="4"/>
    </row>
    <row r="3">
      <c r="A3" s="5">
        <v>2.0</v>
      </c>
      <c r="B3" s="6">
        <v>408043.0</v>
      </c>
      <c r="C3" s="6">
        <v>30543.0</v>
      </c>
      <c r="D3" s="7">
        <f t="shared" ref="D3:D4" si="1">C3+B3</f>
        <v>438586</v>
      </c>
      <c r="E3" s="6">
        <v>562000.0</v>
      </c>
      <c r="F3" s="7">
        <f t="shared" ref="F3:F4" si="2">E3+B3</f>
        <v>970043</v>
      </c>
      <c r="G3" s="7"/>
    </row>
    <row r="4">
      <c r="A4" s="5">
        <v>3.0</v>
      </c>
      <c r="B4" s="6">
        <v>211261.0</v>
      </c>
      <c r="C4" s="6">
        <v>23860.0</v>
      </c>
      <c r="D4" s="7">
        <f t="shared" si="1"/>
        <v>235121</v>
      </c>
      <c r="E4" s="6">
        <v>735000.0</v>
      </c>
      <c r="F4" s="7">
        <f t="shared" si="2"/>
        <v>946261</v>
      </c>
      <c r="G4" s="7">
        <f>F3+F4</f>
        <v>1916304</v>
      </c>
    </row>
    <row r="5">
      <c r="A5" s="3">
        <v>4.0</v>
      </c>
      <c r="B5" s="8"/>
      <c r="C5" s="8"/>
      <c r="D5" s="4"/>
      <c r="E5" s="8"/>
      <c r="F5" s="4"/>
      <c r="G5" s="4"/>
    </row>
    <row r="6">
      <c r="A6" s="5">
        <v>5.0</v>
      </c>
      <c r="B6" s="6">
        <v>205357.0</v>
      </c>
      <c r="C6" s="6">
        <v>20516.0</v>
      </c>
      <c r="D6" s="7">
        <f t="shared" ref="D6:D7" si="3">C6+B6</f>
        <v>225873</v>
      </c>
      <c r="E6" s="6">
        <v>285000.0</v>
      </c>
      <c r="F6" s="7">
        <f t="shared" ref="F6:F7" si="4">E6+B6</f>
        <v>490357</v>
      </c>
      <c r="G6" s="7">
        <f>G4+F6</f>
        <v>2406661</v>
      </c>
    </row>
    <row r="7">
      <c r="A7" s="5">
        <v>6.0</v>
      </c>
      <c r="B7" s="6">
        <v>101557.0</v>
      </c>
      <c r="C7" s="6">
        <v>6843.0</v>
      </c>
      <c r="D7" s="7">
        <f t="shared" si="3"/>
        <v>108400</v>
      </c>
      <c r="E7" s="6">
        <v>760000.0</v>
      </c>
      <c r="F7" s="7">
        <f t="shared" si="4"/>
        <v>861557</v>
      </c>
      <c r="G7" s="7">
        <f t="shared" ref="G7:G11" si="5">G6+F7</f>
        <v>3268218</v>
      </c>
    </row>
    <row r="8">
      <c r="A8" s="5">
        <v>7.0</v>
      </c>
      <c r="B8" s="6">
        <v>68076.0</v>
      </c>
      <c r="C8" s="6">
        <v>5522.0</v>
      </c>
      <c r="D8" s="6">
        <f>B8+C8</f>
        <v>73598</v>
      </c>
      <c r="E8" s="6">
        <v>600000.0</v>
      </c>
      <c r="F8" s="7">
        <f>B8+E8</f>
        <v>668076</v>
      </c>
      <c r="G8" s="7">
        <f t="shared" si="5"/>
        <v>3936294</v>
      </c>
    </row>
    <row r="9">
      <c r="A9" s="5">
        <v>8.0</v>
      </c>
      <c r="B9" s="6">
        <v>199217.0</v>
      </c>
      <c r="C9" s="6">
        <v>17478.0</v>
      </c>
      <c r="D9" s="7">
        <f t="shared" ref="D9:D11" si="6">C9+B9</f>
        <v>216695</v>
      </c>
      <c r="E9" s="6">
        <v>540000.0</v>
      </c>
      <c r="F9" s="7">
        <f t="shared" ref="F9:F11" si="7">E9+B9</f>
        <v>739217</v>
      </c>
      <c r="G9" s="7">
        <f t="shared" si="5"/>
        <v>4675511</v>
      </c>
    </row>
    <row r="10">
      <c r="A10" s="5">
        <v>9.0</v>
      </c>
      <c r="B10" s="6">
        <v>231092.0</v>
      </c>
      <c r="C10" s="6">
        <v>43907.0</v>
      </c>
      <c r="D10" s="7">
        <f t="shared" si="6"/>
        <v>274999</v>
      </c>
      <c r="E10" s="6">
        <v>395000.0</v>
      </c>
      <c r="F10" s="7">
        <f t="shared" si="7"/>
        <v>626092</v>
      </c>
      <c r="G10" s="7">
        <f t="shared" si="5"/>
        <v>5301603</v>
      </c>
    </row>
    <row r="11">
      <c r="A11" s="5">
        <v>10.0</v>
      </c>
      <c r="B11" s="6">
        <v>334161.0</v>
      </c>
      <c r="C11" s="6">
        <v>40110.0</v>
      </c>
      <c r="D11" s="7">
        <f t="shared" si="6"/>
        <v>374271</v>
      </c>
      <c r="E11" s="6">
        <v>615000.0</v>
      </c>
      <c r="F11" s="7">
        <f t="shared" si="7"/>
        <v>949161</v>
      </c>
      <c r="G11" s="7">
        <f t="shared" si="5"/>
        <v>6250764</v>
      </c>
    </row>
    <row r="12">
      <c r="A12" s="3">
        <v>11.0</v>
      </c>
      <c r="B12" s="8"/>
      <c r="C12" s="8"/>
      <c r="D12" s="8"/>
      <c r="E12" s="8"/>
      <c r="F12" s="8"/>
      <c r="G12" s="4"/>
      <c r="H12" s="17"/>
    </row>
    <row r="13">
      <c r="A13" s="5">
        <v>12.0</v>
      </c>
      <c r="B13" s="6">
        <v>125559.0</v>
      </c>
      <c r="C13" s="6">
        <v>17190.0</v>
      </c>
      <c r="D13" s="7">
        <f t="shared" ref="D13:D14" si="8">C13+B13</f>
        <v>142749</v>
      </c>
      <c r="E13" s="6">
        <v>660000.0</v>
      </c>
      <c r="F13" s="7">
        <f t="shared" ref="F13:F14" si="9">E13+B13</f>
        <v>785559</v>
      </c>
      <c r="G13" s="7">
        <f>G11+F13</f>
        <v>7036323</v>
      </c>
    </row>
    <row r="14">
      <c r="A14" s="5">
        <v>13.0</v>
      </c>
      <c r="B14" s="6">
        <v>370337.0</v>
      </c>
      <c r="C14" s="6">
        <v>57351.0</v>
      </c>
      <c r="D14" s="7">
        <f t="shared" si="8"/>
        <v>427688</v>
      </c>
      <c r="E14" s="6">
        <v>520000.0</v>
      </c>
      <c r="F14" s="7">
        <f t="shared" si="9"/>
        <v>890337</v>
      </c>
      <c r="G14" s="7">
        <f t="shared" ref="G14:G18" si="10">G13+F14</f>
        <v>7926660</v>
      </c>
    </row>
    <row r="15">
      <c r="A15" s="5">
        <v>14.0</v>
      </c>
      <c r="B15" s="6">
        <v>125377.0</v>
      </c>
      <c r="C15" s="6">
        <v>20421.0</v>
      </c>
      <c r="D15" s="7">
        <f t="shared" ref="D15:D18" si="11">B15+C15</f>
        <v>145798</v>
      </c>
      <c r="E15" s="6">
        <v>665000.0</v>
      </c>
      <c r="F15" s="7">
        <f t="shared" ref="F15:F18" si="12">B15+E15</f>
        <v>790377</v>
      </c>
      <c r="G15" s="7">
        <f t="shared" si="10"/>
        <v>8717037</v>
      </c>
    </row>
    <row r="16">
      <c r="A16" s="5">
        <v>15.0</v>
      </c>
      <c r="B16" s="6">
        <v>98628.0</v>
      </c>
      <c r="C16" s="6">
        <v>17273.0</v>
      </c>
      <c r="D16" s="6">
        <f t="shared" si="11"/>
        <v>115901</v>
      </c>
      <c r="E16" s="6">
        <v>525000.0</v>
      </c>
      <c r="F16" s="6">
        <f t="shared" si="12"/>
        <v>623628</v>
      </c>
      <c r="G16" s="7">
        <f t="shared" si="10"/>
        <v>9340665</v>
      </c>
      <c r="H16" s="18"/>
    </row>
    <row r="17">
      <c r="A17" s="5">
        <v>16.0</v>
      </c>
      <c r="B17" s="6">
        <v>230191.0</v>
      </c>
      <c r="C17" s="6">
        <v>20513.0</v>
      </c>
      <c r="D17" s="7">
        <f t="shared" si="11"/>
        <v>250704</v>
      </c>
      <c r="E17" s="6">
        <v>475000.0</v>
      </c>
      <c r="F17" s="7">
        <f t="shared" si="12"/>
        <v>705191</v>
      </c>
      <c r="G17" s="7">
        <f t="shared" si="10"/>
        <v>10045856</v>
      </c>
    </row>
    <row r="18">
      <c r="A18" s="5">
        <v>17.0</v>
      </c>
      <c r="B18" s="6">
        <v>145546.0</v>
      </c>
      <c r="C18" s="6">
        <v>11675.0</v>
      </c>
      <c r="D18" s="7">
        <f t="shared" si="11"/>
        <v>157221</v>
      </c>
      <c r="E18" s="6">
        <v>573000.0</v>
      </c>
      <c r="F18" s="7">
        <f t="shared" si="12"/>
        <v>718546</v>
      </c>
      <c r="G18" s="7">
        <f t="shared" si="10"/>
        <v>10764402</v>
      </c>
    </row>
    <row r="19">
      <c r="A19" s="3">
        <v>18.0</v>
      </c>
      <c r="B19" s="8"/>
      <c r="C19" s="8"/>
      <c r="D19" s="4"/>
      <c r="E19" s="8"/>
      <c r="F19" s="4"/>
      <c r="G19" s="4"/>
    </row>
    <row r="20">
      <c r="A20" s="5">
        <v>19.0</v>
      </c>
      <c r="B20" s="6">
        <v>48567.0</v>
      </c>
      <c r="C20" s="6">
        <v>2428.0</v>
      </c>
      <c r="D20" s="6">
        <f t="shared" ref="D20:D24" si="13">C20+B20</f>
        <v>50995</v>
      </c>
      <c r="E20" s="6">
        <v>595000.0</v>
      </c>
      <c r="F20" s="7">
        <f t="shared" ref="F20:F24" si="14">E20+B20</f>
        <v>643567</v>
      </c>
      <c r="G20" s="7">
        <f>G18+F20</f>
        <v>11407969</v>
      </c>
    </row>
    <row r="21">
      <c r="A21" s="5">
        <v>20.0</v>
      </c>
      <c r="B21" s="6">
        <v>98952.0</v>
      </c>
      <c r="C21" s="6">
        <v>4948.0</v>
      </c>
      <c r="D21" s="7">
        <f t="shared" si="13"/>
        <v>103900</v>
      </c>
      <c r="E21" s="6">
        <v>390000.0</v>
      </c>
      <c r="F21" s="7">
        <f t="shared" si="14"/>
        <v>488952</v>
      </c>
      <c r="G21" s="7">
        <f t="shared" ref="G21:G25" si="15">G20+F21</f>
        <v>11896921</v>
      </c>
    </row>
    <row r="22">
      <c r="A22" s="5">
        <v>21.0</v>
      </c>
      <c r="B22" s="6">
        <v>144520.0</v>
      </c>
      <c r="C22" s="6">
        <v>7979.0</v>
      </c>
      <c r="D22" s="7">
        <f t="shared" si="13"/>
        <v>152499</v>
      </c>
      <c r="E22" s="6">
        <v>410000.0</v>
      </c>
      <c r="F22" s="7">
        <f t="shared" si="14"/>
        <v>554520</v>
      </c>
      <c r="G22" s="7">
        <f t="shared" si="15"/>
        <v>12451441</v>
      </c>
    </row>
    <row r="23">
      <c r="A23" s="5">
        <v>22.0</v>
      </c>
      <c r="B23" s="6">
        <v>81662.0</v>
      </c>
      <c r="C23" s="6">
        <v>4436.0</v>
      </c>
      <c r="D23" s="7">
        <f t="shared" si="13"/>
        <v>86098</v>
      </c>
      <c r="E23" s="6">
        <v>455000.0</v>
      </c>
      <c r="F23" s="7">
        <f t="shared" si="14"/>
        <v>536662</v>
      </c>
      <c r="G23" s="7">
        <f t="shared" si="15"/>
        <v>12988103</v>
      </c>
    </row>
    <row r="24">
      <c r="A24" s="5">
        <v>23.0</v>
      </c>
      <c r="B24" s="6">
        <v>115285.0</v>
      </c>
      <c r="C24" s="6">
        <v>9535.0</v>
      </c>
      <c r="D24" s="7">
        <f t="shared" si="13"/>
        <v>124820</v>
      </c>
      <c r="E24" s="6">
        <v>670000.0</v>
      </c>
      <c r="F24" s="7">
        <f t="shared" si="14"/>
        <v>785285</v>
      </c>
      <c r="G24" s="7">
        <f t="shared" si="15"/>
        <v>13773388</v>
      </c>
    </row>
    <row r="25">
      <c r="A25" s="5">
        <v>24.0</v>
      </c>
      <c r="B25" s="6">
        <v>264963.0</v>
      </c>
      <c r="C25" s="6">
        <v>29597.0</v>
      </c>
      <c r="D25" s="7">
        <f>B25+C25</f>
        <v>294560</v>
      </c>
      <c r="E25" s="6">
        <v>895000.0</v>
      </c>
      <c r="F25" s="7">
        <f>B25+E25</f>
        <v>1159963</v>
      </c>
      <c r="G25" s="7">
        <f t="shared" si="15"/>
        <v>14933351</v>
      </c>
    </row>
    <row r="26">
      <c r="A26" s="3">
        <v>25.0</v>
      </c>
      <c r="B26" s="8"/>
      <c r="C26" s="8"/>
      <c r="D26" s="4"/>
      <c r="E26" s="8"/>
      <c r="F26" s="4"/>
      <c r="G26" s="4"/>
    </row>
    <row r="27">
      <c r="A27" s="5">
        <v>26.0</v>
      </c>
      <c r="B27" s="6">
        <v>48475.0</v>
      </c>
      <c r="C27" s="6">
        <v>2424.0</v>
      </c>
      <c r="D27" s="7">
        <f t="shared" ref="D27:D32" si="16">C27+B27</f>
        <v>50899</v>
      </c>
      <c r="E27" s="6">
        <v>675000.0</v>
      </c>
      <c r="F27" s="7">
        <f t="shared" ref="F27:F32" si="17">E27+B27</f>
        <v>723475</v>
      </c>
      <c r="G27" s="7">
        <f>G25+F27</f>
        <v>15656826</v>
      </c>
    </row>
    <row r="28">
      <c r="A28" s="5">
        <v>27.0</v>
      </c>
      <c r="B28" s="6">
        <v>160879.0</v>
      </c>
      <c r="C28" s="6">
        <v>26021.0</v>
      </c>
      <c r="D28" s="6">
        <f t="shared" si="16"/>
        <v>186900</v>
      </c>
      <c r="E28" s="6">
        <v>368000.0</v>
      </c>
      <c r="F28" s="7">
        <f t="shared" si="17"/>
        <v>528879</v>
      </c>
      <c r="G28" s="7">
        <f t="shared" ref="G28:G32" si="18">G27+F28</f>
        <v>16185705</v>
      </c>
    </row>
    <row r="29">
      <c r="A29" s="5">
        <v>28.0</v>
      </c>
      <c r="B29" s="6">
        <v>74729.0</v>
      </c>
      <c r="C29" s="6">
        <v>12799.0</v>
      </c>
      <c r="D29" s="7">
        <f t="shared" si="16"/>
        <v>87528</v>
      </c>
      <c r="E29" s="6">
        <v>430000.0</v>
      </c>
      <c r="F29" s="7">
        <f t="shared" si="17"/>
        <v>504729</v>
      </c>
      <c r="G29" s="7">
        <f t="shared" si="18"/>
        <v>16690434</v>
      </c>
    </row>
    <row r="30">
      <c r="A30" s="5">
        <v>29.0</v>
      </c>
      <c r="B30" s="6">
        <v>281036.0</v>
      </c>
      <c r="C30" s="6">
        <v>7432.0</v>
      </c>
      <c r="D30" s="7">
        <f t="shared" si="16"/>
        <v>288468</v>
      </c>
      <c r="E30" s="6">
        <v>758000.0</v>
      </c>
      <c r="F30" s="7">
        <f t="shared" si="17"/>
        <v>1039036</v>
      </c>
      <c r="G30" s="7">
        <f t="shared" si="18"/>
        <v>17729470</v>
      </c>
    </row>
    <row r="31">
      <c r="A31" s="5">
        <v>30.0</v>
      </c>
      <c r="B31" s="6">
        <v>247386.0</v>
      </c>
      <c r="C31" s="6">
        <v>15311.0</v>
      </c>
      <c r="D31" s="7">
        <f t="shared" si="16"/>
        <v>262697</v>
      </c>
      <c r="E31" s="6">
        <v>473000.0</v>
      </c>
      <c r="F31" s="7">
        <f t="shared" si="17"/>
        <v>720386</v>
      </c>
      <c r="G31" s="7">
        <f t="shared" si="18"/>
        <v>18449856</v>
      </c>
    </row>
    <row r="32">
      <c r="A32" s="5"/>
      <c r="B32" s="6">
        <v>119333.0</v>
      </c>
      <c r="C32" s="6">
        <v>5967.0</v>
      </c>
      <c r="D32" s="7">
        <f t="shared" si="16"/>
        <v>125300</v>
      </c>
      <c r="E32" s="6">
        <v>575000.0</v>
      </c>
      <c r="F32" s="7">
        <f t="shared" si="17"/>
        <v>694333</v>
      </c>
      <c r="G32" s="7">
        <f t="shared" si="18"/>
        <v>19144189</v>
      </c>
    </row>
    <row r="33">
      <c r="A33" s="5" t="s">
        <v>6</v>
      </c>
      <c r="B33" s="6">
        <f>SUM(B3:B32)</f>
        <v>4540189</v>
      </c>
      <c r="C33" s="6"/>
      <c r="D33" s="7"/>
      <c r="E33" s="6">
        <f t="shared" ref="E33:F33" si="19">SUM(E3:E32)</f>
        <v>14604000</v>
      </c>
      <c r="F33" s="7">
        <f t="shared" si="19"/>
        <v>19144189</v>
      </c>
      <c r="G33" s="7"/>
    </row>
    <row r="34">
      <c r="A34" s="19"/>
      <c r="B34" s="17"/>
      <c r="C34" s="17"/>
      <c r="D34" s="17"/>
      <c r="E34" s="17"/>
      <c r="F34" s="17"/>
      <c r="G34" s="17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3" max="3" width="16.75"/>
  </cols>
  <sheetData>
    <row r="1">
      <c r="A1" s="1"/>
      <c r="B1" s="2" t="s">
        <v>0</v>
      </c>
      <c r="C1" s="2" t="s">
        <v>3</v>
      </c>
    </row>
    <row r="2">
      <c r="A2" s="3">
        <v>1.0</v>
      </c>
      <c r="B2" s="8"/>
      <c r="C2" s="8"/>
    </row>
    <row r="3">
      <c r="A3" s="5">
        <v>2.0</v>
      </c>
      <c r="B3" s="10">
        <v>86000.0</v>
      </c>
      <c r="C3" s="10">
        <v>307000.0</v>
      </c>
      <c r="D3" s="11">
        <v>1122500.0</v>
      </c>
    </row>
    <row r="4">
      <c r="A4" s="5">
        <v>3.0</v>
      </c>
      <c r="B4" s="10">
        <v>46500.0</v>
      </c>
      <c r="C4" s="10">
        <v>245000.0</v>
      </c>
    </row>
    <row r="5">
      <c r="A5" s="3">
        <v>4.0</v>
      </c>
      <c r="B5" s="8"/>
      <c r="C5" s="8"/>
    </row>
    <row r="6">
      <c r="A6" s="5">
        <v>5.0</v>
      </c>
      <c r="B6" s="10">
        <v>32473.0</v>
      </c>
      <c r="C6" s="10">
        <v>205000.0</v>
      </c>
      <c r="D6" s="11">
        <v>1601200.0</v>
      </c>
    </row>
    <row r="7">
      <c r="A7" s="5">
        <v>6.0</v>
      </c>
      <c r="B7" s="10">
        <v>5000.0</v>
      </c>
      <c r="C7" s="24">
        <v>280000.0</v>
      </c>
    </row>
    <row r="8">
      <c r="A8" s="5">
        <v>7.0</v>
      </c>
      <c r="B8" s="10">
        <v>24198.0</v>
      </c>
      <c r="C8" s="10">
        <v>500000.0</v>
      </c>
    </row>
    <row r="9">
      <c r="A9" s="5">
        <v>8.0</v>
      </c>
      <c r="B9" s="10">
        <v>105400.0</v>
      </c>
      <c r="C9" s="10">
        <v>470000.0</v>
      </c>
      <c r="D9" s="11">
        <v>1661000.0</v>
      </c>
    </row>
    <row r="10">
      <c r="A10" s="5">
        <v>9.0</v>
      </c>
      <c r="B10" s="10">
        <v>55000.0</v>
      </c>
      <c r="C10" s="24">
        <v>180000.0</v>
      </c>
      <c r="D10" s="11">
        <v>945300.0</v>
      </c>
    </row>
    <row r="11">
      <c r="A11" s="5">
        <v>10.0</v>
      </c>
      <c r="B11" s="10">
        <v>102300.0</v>
      </c>
      <c r="C11" s="24">
        <v>315000.0</v>
      </c>
      <c r="D11" s="11">
        <v>881900.0</v>
      </c>
      <c r="E11" s="11">
        <v>1154900.0</v>
      </c>
    </row>
    <row r="12">
      <c r="A12" s="3">
        <v>11.0</v>
      </c>
      <c r="B12" s="8"/>
      <c r="C12" s="8"/>
      <c r="D12" s="17"/>
    </row>
    <row r="13">
      <c r="A13" s="5">
        <v>12.0</v>
      </c>
      <c r="B13" s="10">
        <v>142800.0</v>
      </c>
      <c r="C13" s="10">
        <v>425000.0</v>
      </c>
      <c r="D13" s="12">
        <v>1000000.0</v>
      </c>
    </row>
    <row r="14">
      <c r="A14" s="5">
        <v>13.0</v>
      </c>
      <c r="B14" s="10">
        <v>67900.0</v>
      </c>
      <c r="C14" s="10">
        <v>285000.0</v>
      </c>
      <c r="D14" s="11">
        <v>1315400.0</v>
      </c>
    </row>
    <row r="15">
      <c r="A15" s="5">
        <v>14.0</v>
      </c>
      <c r="B15" s="10">
        <v>30500.0</v>
      </c>
      <c r="C15" s="10">
        <v>260000.0</v>
      </c>
    </row>
    <row r="16">
      <c r="A16" s="5">
        <v>15.0</v>
      </c>
      <c r="B16" s="10">
        <v>115901.0</v>
      </c>
      <c r="C16" s="10">
        <v>210000.0</v>
      </c>
      <c r="D16" s="18"/>
    </row>
    <row r="17">
      <c r="A17" s="5">
        <v>16.0</v>
      </c>
      <c r="B17" s="10">
        <v>226205.0</v>
      </c>
      <c r="C17" s="10">
        <v>400000.0</v>
      </c>
    </row>
    <row r="18">
      <c r="A18" s="5">
        <v>17.0</v>
      </c>
      <c r="B18" s="10">
        <v>14142.0</v>
      </c>
      <c r="C18" s="10">
        <v>185000.0</v>
      </c>
    </row>
    <row r="19">
      <c r="A19" s="3">
        <v>18.0</v>
      </c>
      <c r="B19" s="8"/>
      <c r="C19" s="8"/>
    </row>
    <row r="20">
      <c r="A20" s="5">
        <v>19.0</v>
      </c>
      <c r="B20" s="10">
        <v>51000.0</v>
      </c>
      <c r="C20" s="10">
        <v>160000.0</v>
      </c>
    </row>
    <row r="21">
      <c r="A21" s="5">
        <v>20.0</v>
      </c>
      <c r="B21" s="6">
        <v>0.0</v>
      </c>
      <c r="C21" s="10">
        <v>305000.0</v>
      </c>
      <c r="D21" s="11">
        <v>762700.0</v>
      </c>
    </row>
    <row r="22">
      <c r="A22" s="5">
        <v>21.0</v>
      </c>
      <c r="B22" s="10">
        <v>25700.0</v>
      </c>
      <c r="C22" s="10">
        <v>235000.0</v>
      </c>
      <c r="D22" s="11">
        <v>1008100.0</v>
      </c>
    </row>
    <row r="23">
      <c r="A23" s="5">
        <v>22.0</v>
      </c>
      <c r="B23" s="10">
        <v>15000.0</v>
      </c>
      <c r="C23" s="10">
        <v>300000.0</v>
      </c>
      <c r="D23" s="11">
        <v>767700.0</v>
      </c>
    </row>
    <row r="24">
      <c r="A24" s="5">
        <v>23.0</v>
      </c>
      <c r="B24" s="10">
        <v>65100.0</v>
      </c>
      <c r="C24" s="10">
        <v>160000.0</v>
      </c>
      <c r="D24" s="11">
        <v>772600.0</v>
      </c>
    </row>
    <row r="25">
      <c r="A25" s="5">
        <v>24.0</v>
      </c>
      <c r="B25" s="10">
        <v>132700.0</v>
      </c>
      <c r="C25" s="10">
        <v>470000.0</v>
      </c>
      <c r="D25" s="11">
        <v>1351700.0</v>
      </c>
      <c r="E25" s="12">
        <v>525000.0</v>
      </c>
    </row>
    <row r="26">
      <c r="A26" s="3">
        <v>25.0</v>
      </c>
      <c r="B26" s="8"/>
      <c r="C26" s="8"/>
      <c r="D26" s="11">
        <v>469900.0</v>
      </c>
    </row>
    <row r="27">
      <c r="A27" s="5">
        <v>26.0</v>
      </c>
      <c r="B27" s="10">
        <v>3500.0</v>
      </c>
      <c r="C27" s="10">
        <v>165000.0</v>
      </c>
      <c r="D27" s="11">
        <v>669900.0</v>
      </c>
    </row>
    <row r="28">
      <c r="A28" s="5">
        <v>27.0</v>
      </c>
      <c r="B28" s="10">
        <v>20100.0</v>
      </c>
      <c r="C28" s="10">
        <v>308000.0</v>
      </c>
      <c r="D28" s="12">
        <v>707400.0</v>
      </c>
    </row>
    <row r="29">
      <c r="A29" s="5">
        <v>28.0</v>
      </c>
      <c r="B29" s="10">
        <v>85600.0</v>
      </c>
      <c r="C29" s="10">
        <v>270000.0</v>
      </c>
      <c r="D29" s="11">
        <v>870300.0</v>
      </c>
    </row>
    <row r="30">
      <c r="A30" s="5">
        <v>29.0</v>
      </c>
      <c r="B30" s="10">
        <v>145300.0</v>
      </c>
      <c r="C30" s="10">
        <v>228000.0</v>
      </c>
      <c r="D30" s="11">
        <v>1248500.0</v>
      </c>
    </row>
    <row r="31">
      <c r="A31" s="5">
        <v>30.0</v>
      </c>
      <c r="B31" s="6">
        <v>0.0</v>
      </c>
      <c r="C31" s="10">
        <v>218000.0</v>
      </c>
      <c r="D31" s="12">
        <v>705400.0</v>
      </c>
    </row>
    <row r="32">
      <c r="A32" s="5"/>
      <c r="B32" s="10">
        <v>125300.0</v>
      </c>
      <c r="C32" s="10">
        <v>330000.0</v>
      </c>
      <c r="D32" s="11">
        <v>1061400.0</v>
      </c>
    </row>
    <row r="33">
      <c r="A33" s="5" t="s">
        <v>6</v>
      </c>
      <c r="B33" s="6"/>
      <c r="C33" s="6"/>
    </row>
    <row r="34">
      <c r="A34" s="19"/>
      <c r="B34" s="17"/>
      <c r="C34" s="17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5" max="5" width="16.75"/>
    <col customWidth="1" min="7" max="7" width="19.63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>
      <c r="A2" s="3">
        <v>1.0</v>
      </c>
      <c r="B2" s="8"/>
      <c r="C2" s="8"/>
      <c r="D2" s="4"/>
      <c r="E2" s="8"/>
      <c r="F2" s="4"/>
      <c r="G2" s="4"/>
    </row>
    <row r="3">
      <c r="A3" s="3">
        <v>2.0</v>
      </c>
      <c r="B3" s="8"/>
      <c r="C3" s="8"/>
      <c r="D3" s="4"/>
      <c r="E3" s="8"/>
      <c r="F3" s="4"/>
      <c r="G3" s="4"/>
    </row>
    <row r="4">
      <c r="A4" s="5">
        <v>3.0</v>
      </c>
      <c r="B4" s="6">
        <v>588148.0</v>
      </c>
      <c r="C4" s="6">
        <v>48737.0</v>
      </c>
      <c r="D4" s="7">
        <f t="shared" ref="D4:D8" si="1">C4+B4</f>
        <v>636885</v>
      </c>
      <c r="E4" s="6">
        <v>705000.0</v>
      </c>
      <c r="F4" s="7">
        <f t="shared" ref="F4:F8" si="2">E4+B4</f>
        <v>1293148</v>
      </c>
      <c r="G4" s="7">
        <f>F4</f>
        <v>1293148</v>
      </c>
    </row>
    <row r="5">
      <c r="A5" s="5">
        <v>4.0</v>
      </c>
      <c r="B5" s="6">
        <v>5048.0</v>
      </c>
      <c r="C5" s="6">
        <v>252.0</v>
      </c>
      <c r="D5" s="7">
        <f t="shared" si="1"/>
        <v>5300</v>
      </c>
      <c r="E5" s="6">
        <v>615000.0</v>
      </c>
      <c r="F5" s="7">
        <f t="shared" si="2"/>
        <v>620048</v>
      </c>
      <c r="G5" s="7">
        <f t="shared" ref="G5:G8" si="3">G4+F5</f>
        <v>1913196</v>
      </c>
    </row>
    <row r="6">
      <c r="A6" s="5">
        <v>5.0</v>
      </c>
      <c r="B6" s="6">
        <v>208319.0</v>
      </c>
      <c r="C6" s="6">
        <v>39581.0</v>
      </c>
      <c r="D6" s="7">
        <f t="shared" si="1"/>
        <v>247900</v>
      </c>
      <c r="E6" s="6">
        <v>480000.0</v>
      </c>
      <c r="F6" s="7">
        <f t="shared" si="2"/>
        <v>688319</v>
      </c>
      <c r="G6" s="7">
        <f t="shared" si="3"/>
        <v>2601515</v>
      </c>
      <c r="J6" s="6">
        <v>555000.0</v>
      </c>
    </row>
    <row r="7">
      <c r="A7" s="5">
        <v>6.0</v>
      </c>
      <c r="B7" s="6">
        <v>67718.0</v>
      </c>
      <c r="C7" s="6">
        <v>8202.0</v>
      </c>
      <c r="D7" s="7">
        <f t="shared" si="1"/>
        <v>75920</v>
      </c>
      <c r="E7" s="6">
        <v>560000.0</v>
      </c>
      <c r="F7" s="7">
        <f t="shared" si="2"/>
        <v>627718</v>
      </c>
      <c r="G7" s="7">
        <f t="shared" si="3"/>
        <v>3229233</v>
      </c>
    </row>
    <row r="8">
      <c r="A8" s="5">
        <v>7.0</v>
      </c>
      <c r="B8" s="6">
        <v>132077.0</v>
      </c>
      <c r="C8" s="6">
        <v>8321.0</v>
      </c>
      <c r="D8" s="6">
        <f t="shared" si="1"/>
        <v>140398</v>
      </c>
      <c r="E8" s="6">
        <v>565000.0</v>
      </c>
      <c r="F8" s="7">
        <f t="shared" si="2"/>
        <v>697077</v>
      </c>
      <c r="G8" s="7">
        <f t="shared" si="3"/>
        <v>3926310</v>
      </c>
    </row>
    <row r="9">
      <c r="A9" s="3">
        <v>8.0</v>
      </c>
      <c r="B9" s="8"/>
      <c r="C9" s="8"/>
      <c r="D9" s="4"/>
      <c r="E9" s="8"/>
      <c r="F9" s="4"/>
      <c r="G9" s="4"/>
    </row>
    <row r="10">
      <c r="A10" s="5">
        <v>9.0</v>
      </c>
      <c r="B10" s="6">
        <v>88472.0</v>
      </c>
      <c r="C10" s="6">
        <v>1224.0</v>
      </c>
      <c r="D10" s="7">
        <f t="shared" ref="D10:D15" si="4">C10+B10</f>
        <v>89696</v>
      </c>
      <c r="E10" s="6">
        <v>415000.0</v>
      </c>
      <c r="F10" s="7">
        <f t="shared" ref="F10:F15" si="5">E10+B10</f>
        <v>503472</v>
      </c>
      <c r="G10" s="7">
        <f>G8+F10</f>
        <v>4429782</v>
      </c>
    </row>
    <row r="11">
      <c r="A11" s="5">
        <v>10.0</v>
      </c>
      <c r="B11" s="6">
        <v>93046.0</v>
      </c>
      <c r="C11" s="6">
        <v>6253.0</v>
      </c>
      <c r="D11" s="7">
        <f t="shared" si="4"/>
        <v>99299</v>
      </c>
      <c r="E11" s="6">
        <v>466000.0</v>
      </c>
      <c r="F11" s="7">
        <f t="shared" si="5"/>
        <v>559046</v>
      </c>
      <c r="G11" s="7">
        <f t="shared" ref="G11:G15" si="6">G10+F11</f>
        <v>4988828</v>
      </c>
    </row>
    <row r="12">
      <c r="A12" s="5">
        <v>11.0</v>
      </c>
      <c r="B12" s="6">
        <v>151878.0</v>
      </c>
      <c r="C12" s="6">
        <f>18591</f>
        <v>18591</v>
      </c>
      <c r="D12" s="6">
        <f t="shared" si="4"/>
        <v>170469</v>
      </c>
      <c r="E12" s="6">
        <v>500000.0</v>
      </c>
      <c r="F12" s="6">
        <f t="shared" si="5"/>
        <v>651878</v>
      </c>
      <c r="G12" s="7">
        <f t="shared" si="6"/>
        <v>5640706</v>
      </c>
      <c r="H12" s="17"/>
    </row>
    <row r="13">
      <c r="A13" s="5">
        <v>12.0</v>
      </c>
      <c r="B13" s="6">
        <v>89733.0</v>
      </c>
      <c r="C13" s="6">
        <v>2167.0</v>
      </c>
      <c r="D13" s="7">
        <f t="shared" si="4"/>
        <v>91900</v>
      </c>
      <c r="E13" s="6">
        <v>405000.0</v>
      </c>
      <c r="F13" s="7">
        <f t="shared" si="5"/>
        <v>494733</v>
      </c>
      <c r="G13" s="7">
        <f t="shared" si="6"/>
        <v>6135439</v>
      </c>
    </row>
    <row r="14">
      <c r="A14" s="5">
        <v>13.0</v>
      </c>
      <c r="B14" s="6">
        <v>115712.0</v>
      </c>
      <c r="C14" s="6">
        <v>10629.0</v>
      </c>
      <c r="D14" s="7">
        <f t="shared" si="4"/>
        <v>126341</v>
      </c>
      <c r="E14" s="6">
        <v>465000.0</v>
      </c>
      <c r="F14" s="7">
        <f t="shared" si="5"/>
        <v>580712</v>
      </c>
      <c r="G14" s="7">
        <f t="shared" si="6"/>
        <v>6716151</v>
      </c>
    </row>
    <row r="15">
      <c r="A15" s="5">
        <v>14.0</v>
      </c>
      <c r="B15" s="6">
        <v>250597.0</v>
      </c>
      <c r="C15" s="6">
        <v>23588.0</v>
      </c>
      <c r="D15" s="7">
        <f t="shared" si="4"/>
        <v>274185</v>
      </c>
      <c r="E15" s="6">
        <v>570000.0</v>
      </c>
      <c r="F15" s="7">
        <f t="shared" si="5"/>
        <v>820597</v>
      </c>
      <c r="G15" s="7">
        <f t="shared" si="6"/>
        <v>7536748</v>
      </c>
    </row>
    <row r="16">
      <c r="A16" s="3">
        <v>15.0</v>
      </c>
      <c r="B16" s="8"/>
      <c r="C16" s="8"/>
      <c r="D16" s="8"/>
      <c r="E16" s="8"/>
      <c r="F16" s="8"/>
      <c r="G16" s="4"/>
      <c r="H16" s="18"/>
    </row>
    <row r="17">
      <c r="A17" s="5">
        <v>16.0</v>
      </c>
      <c r="B17" s="6">
        <v>353099.0</v>
      </c>
      <c r="C17" s="6">
        <v>26329.0</v>
      </c>
      <c r="D17" s="7">
        <f t="shared" ref="D17:D18" si="7">B17+C17</f>
        <v>379428</v>
      </c>
      <c r="E17" s="6">
        <v>375000.0</v>
      </c>
      <c r="F17" s="7">
        <f t="shared" ref="F17:F18" si="8">B17+E17</f>
        <v>728099</v>
      </c>
      <c r="G17" s="7">
        <f>G15+F17</f>
        <v>8264847</v>
      </c>
    </row>
    <row r="18">
      <c r="A18" s="5">
        <v>17.0</v>
      </c>
      <c r="B18" s="6">
        <v>274011.0</v>
      </c>
      <c r="C18" s="6">
        <v>20089.0</v>
      </c>
      <c r="D18" s="7">
        <f t="shared" si="7"/>
        <v>294100</v>
      </c>
      <c r="E18" s="6">
        <v>425000.0</v>
      </c>
      <c r="F18" s="7">
        <f t="shared" si="8"/>
        <v>699011</v>
      </c>
      <c r="G18" s="7">
        <f t="shared" ref="G18:G22" si="9">G17+F18</f>
        <v>8963858</v>
      </c>
    </row>
    <row r="19">
      <c r="A19" s="5">
        <v>18.0</v>
      </c>
      <c r="B19" s="6">
        <v>174446.0</v>
      </c>
      <c r="C19" s="6">
        <v>14354.0</v>
      </c>
      <c r="D19" s="7">
        <f t="shared" ref="D19:D21" si="10">C19+B19</f>
        <v>188800</v>
      </c>
      <c r="E19" s="6">
        <v>500000.0</v>
      </c>
      <c r="F19" s="7">
        <f t="shared" ref="F19:F21" si="11">E19+B19</f>
        <v>674446</v>
      </c>
      <c r="G19" s="7">
        <f t="shared" si="9"/>
        <v>9638304</v>
      </c>
      <c r="J19" s="12">
        <v>555000.0</v>
      </c>
    </row>
    <row r="20">
      <c r="A20" s="5">
        <v>19.0</v>
      </c>
      <c r="B20" s="6">
        <v>47047.0</v>
      </c>
      <c r="C20" s="6">
        <v>2352.0</v>
      </c>
      <c r="D20" s="6">
        <f t="shared" si="10"/>
        <v>49399</v>
      </c>
      <c r="E20" s="6">
        <v>535000.0</v>
      </c>
      <c r="F20" s="7">
        <f t="shared" si="11"/>
        <v>582047</v>
      </c>
      <c r="G20" s="7">
        <f t="shared" si="9"/>
        <v>10220351</v>
      </c>
    </row>
    <row r="21">
      <c r="A21" s="5">
        <v>20.0</v>
      </c>
      <c r="B21" s="6">
        <v>3333.0</v>
      </c>
      <c r="C21" s="6">
        <v>167.0</v>
      </c>
      <c r="D21" s="7">
        <f t="shared" si="10"/>
        <v>3500</v>
      </c>
      <c r="E21" s="6">
        <v>615000.0</v>
      </c>
      <c r="F21" s="7">
        <f t="shared" si="11"/>
        <v>618333</v>
      </c>
      <c r="G21" s="7">
        <f t="shared" si="9"/>
        <v>10838684</v>
      </c>
    </row>
    <row r="22">
      <c r="A22" s="5">
        <v>21.0</v>
      </c>
      <c r="B22" s="6">
        <v>249990.0</v>
      </c>
      <c r="C22" s="6">
        <v>22419.0</v>
      </c>
      <c r="D22" s="7">
        <f>B22+C22</f>
        <v>272409</v>
      </c>
      <c r="E22" s="6">
        <v>798000.0</v>
      </c>
      <c r="F22" s="7">
        <f>B22+E22</f>
        <v>1047990</v>
      </c>
      <c r="G22" s="7">
        <f t="shared" si="9"/>
        <v>11886674</v>
      </c>
    </row>
    <row r="23">
      <c r="A23" s="3">
        <v>22.0</v>
      </c>
      <c r="B23" s="8"/>
      <c r="C23" s="8"/>
      <c r="D23" s="4"/>
      <c r="E23" s="8"/>
      <c r="F23" s="4"/>
      <c r="G23" s="4"/>
    </row>
    <row r="24">
      <c r="A24" s="3">
        <v>23.0</v>
      </c>
      <c r="B24" s="8"/>
      <c r="C24" s="8"/>
      <c r="D24" s="4"/>
      <c r="E24" s="8"/>
      <c r="F24" s="4"/>
      <c r="G24" s="4"/>
    </row>
    <row r="25">
      <c r="A25" s="5">
        <v>24.0</v>
      </c>
      <c r="B25" s="6">
        <v>184831.0</v>
      </c>
      <c r="C25" s="6">
        <v>9242.0</v>
      </c>
      <c r="D25" s="7">
        <f t="shared" ref="D25:D29" si="12">C25+B25</f>
        <v>194073</v>
      </c>
      <c r="E25" s="6">
        <v>450000.0</v>
      </c>
      <c r="F25" s="7">
        <f t="shared" ref="F25:F29" si="13">E25+B25</f>
        <v>634831</v>
      </c>
      <c r="G25" s="7">
        <f>F25+G22</f>
        <v>12521505</v>
      </c>
    </row>
    <row r="26">
      <c r="A26" s="5">
        <v>25.0</v>
      </c>
      <c r="B26" s="6">
        <v>127163.0</v>
      </c>
      <c r="C26" s="6">
        <f>7198</f>
        <v>7198</v>
      </c>
      <c r="D26" s="7">
        <f t="shared" si="12"/>
        <v>134361</v>
      </c>
      <c r="E26" s="6">
        <v>642000.0</v>
      </c>
      <c r="F26" s="7">
        <f t="shared" si="13"/>
        <v>769163</v>
      </c>
      <c r="G26" s="7">
        <f t="shared" ref="G26:G29" si="14">G25+F26</f>
        <v>13290668</v>
      </c>
    </row>
    <row r="27">
      <c r="A27" s="5">
        <v>26.0</v>
      </c>
      <c r="B27" s="6">
        <v>75485.0</v>
      </c>
      <c r="C27" s="6">
        <v>4115.0</v>
      </c>
      <c r="D27" s="7">
        <f t="shared" si="12"/>
        <v>79600</v>
      </c>
      <c r="E27" s="6">
        <v>520000.0</v>
      </c>
      <c r="F27" s="7">
        <f t="shared" si="13"/>
        <v>595485</v>
      </c>
      <c r="G27" s="7">
        <f t="shared" si="14"/>
        <v>13886153</v>
      </c>
    </row>
    <row r="28">
      <c r="A28" s="5">
        <v>27.0</v>
      </c>
      <c r="B28" s="6">
        <v>262997.0</v>
      </c>
      <c r="C28" s="6">
        <v>43383.0</v>
      </c>
      <c r="D28" s="6">
        <f t="shared" si="12"/>
        <v>306380</v>
      </c>
      <c r="E28" s="6">
        <v>628000.0</v>
      </c>
      <c r="F28" s="7">
        <f t="shared" si="13"/>
        <v>890997</v>
      </c>
      <c r="G28" s="7">
        <f t="shared" si="14"/>
        <v>14777150</v>
      </c>
    </row>
    <row r="29">
      <c r="A29" s="5">
        <v>28.0</v>
      </c>
      <c r="B29" s="6">
        <v>190014.0</v>
      </c>
      <c r="C29" s="6">
        <v>7879.0</v>
      </c>
      <c r="D29" s="7">
        <f t="shared" si="12"/>
        <v>197893</v>
      </c>
      <c r="E29" s="6">
        <v>905000.0</v>
      </c>
      <c r="F29" s="7">
        <f t="shared" si="13"/>
        <v>1095014</v>
      </c>
      <c r="G29" s="7">
        <f t="shared" si="14"/>
        <v>15872164</v>
      </c>
    </row>
    <row r="30">
      <c r="A30" s="3">
        <v>29.0</v>
      </c>
      <c r="B30" s="8"/>
      <c r="C30" s="8"/>
      <c r="D30" s="4"/>
      <c r="E30" s="8"/>
      <c r="F30" s="4"/>
      <c r="G30" s="4"/>
    </row>
    <row r="31">
      <c r="A31" s="5">
        <v>30.0</v>
      </c>
      <c r="B31" s="6"/>
      <c r="C31" s="6"/>
      <c r="D31" s="7"/>
      <c r="E31" s="6"/>
      <c r="F31" s="7"/>
      <c r="G31" s="7"/>
    </row>
    <row r="32">
      <c r="A32" s="5" t="s">
        <v>6</v>
      </c>
      <c r="B32" s="6">
        <f>SUM(B3:B31)</f>
        <v>3733164</v>
      </c>
      <c r="C32" s="6"/>
      <c r="D32" s="7"/>
      <c r="E32" s="6">
        <f t="shared" ref="E32:F32" si="15">SUM(E3:E31)</f>
        <v>12139000</v>
      </c>
      <c r="F32" s="7">
        <f t="shared" si="15"/>
        <v>15872164</v>
      </c>
      <c r="G32" s="7"/>
    </row>
    <row r="33">
      <c r="A33" s="19"/>
      <c r="B33" s="17"/>
      <c r="C33" s="17"/>
      <c r="D33" s="17"/>
      <c r="E33" s="17"/>
      <c r="F33" s="17"/>
      <c r="G33" s="17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3" max="3" width="16.63"/>
  </cols>
  <sheetData>
    <row r="1">
      <c r="A1" s="1"/>
      <c r="B1" s="2" t="s">
        <v>8</v>
      </c>
      <c r="C1" s="2" t="s">
        <v>9</v>
      </c>
    </row>
    <row r="2">
      <c r="A2" s="3">
        <v>1.0</v>
      </c>
      <c r="B2" s="8"/>
      <c r="C2" s="8"/>
    </row>
    <row r="3">
      <c r="A3" s="3">
        <v>2.0</v>
      </c>
      <c r="B3" s="8"/>
      <c r="C3" s="8"/>
    </row>
    <row r="4">
      <c r="A4" s="5">
        <v>3.0</v>
      </c>
      <c r="B4" s="10">
        <v>190000.0</v>
      </c>
      <c r="C4" s="10">
        <v>440000.0</v>
      </c>
      <c r="D4" s="11">
        <v>1117700.0</v>
      </c>
      <c r="E4" s="11">
        <v>1656700.0</v>
      </c>
    </row>
    <row r="5">
      <c r="A5" s="5">
        <v>4.0</v>
      </c>
      <c r="B5" s="10">
        <v>0.0</v>
      </c>
      <c r="C5" s="10">
        <v>535000.0</v>
      </c>
      <c r="D5" s="12">
        <v>780100.0</v>
      </c>
      <c r="E5" s="11">
        <v>1519100.0</v>
      </c>
    </row>
    <row r="6">
      <c r="A6" s="5">
        <v>5.0</v>
      </c>
      <c r="B6" s="10">
        <v>75000.0</v>
      </c>
      <c r="C6" s="10">
        <v>270000.0</v>
      </c>
      <c r="G6" s="12">
        <v>270000.0</v>
      </c>
    </row>
    <row r="7">
      <c r="A7" s="5">
        <v>6.0</v>
      </c>
      <c r="B7" s="10">
        <v>23700.0</v>
      </c>
      <c r="C7" s="10">
        <v>290000.0</v>
      </c>
    </row>
    <row r="8">
      <c r="A8" s="5">
        <v>7.0</v>
      </c>
      <c r="B8" s="10">
        <v>125800.0</v>
      </c>
      <c r="C8" s="10">
        <v>150000.0</v>
      </c>
      <c r="D8" s="11">
        <v>1053000.0</v>
      </c>
      <c r="E8" s="11">
        <v>617000.0</v>
      </c>
    </row>
    <row r="9">
      <c r="A9" s="3">
        <v>8.0</v>
      </c>
      <c r="B9" s="8"/>
      <c r="C9" s="8"/>
    </row>
    <row r="10">
      <c r="A10" s="5">
        <v>9.0</v>
      </c>
      <c r="B10" s="10">
        <v>25700.0</v>
      </c>
      <c r="C10" s="10">
        <v>230000.0</v>
      </c>
      <c r="D10" s="12">
        <v>830600.0</v>
      </c>
    </row>
    <row r="11">
      <c r="A11" s="5">
        <v>10.0</v>
      </c>
      <c r="B11" s="10">
        <v>57200.0</v>
      </c>
      <c r="C11" s="10">
        <v>333000.0</v>
      </c>
      <c r="D11" s="12">
        <v>756200.0</v>
      </c>
    </row>
    <row r="12">
      <c r="A12" s="5">
        <v>11.0</v>
      </c>
      <c r="B12" s="10">
        <v>54700.0</v>
      </c>
      <c r="C12" s="10">
        <v>155000.0</v>
      </c>
      <c r="D12" s="20">
        <v>560100.0</v>
      </c>
    </row>
    <row r="13">
      <c r="A13" s="5">
        <v>12.0</v>
      </c>
      <c r="B13" s="10">
        <v>91900.0</v>
      </c>
      <c r="C13" s="10">
        <v>270000.0</v>
      </c>
    </row>
    <row r="14">
      <c r="A14" s="5">
        <v>13.0</v>
      </c>
      <c r="B14" s="10">
        <v>72150.0</v>
      </c>
      <c r="C14" s="10">
        <v>130000.0</v>
      </c>
      <c r="D14" s="11">
        <v>594800.0</v>
      </c>
    </row>
    <row r="15">
      <c r="A15" s="5">
        <v>14.0</v>
      </c>
      <c r="B15" s="10">
        <v>174200.0</v>
      </c>
      <c r="C15" s="10">
        <v>210000.0</v>
      </c>
      <c r="D15" s="12">
        <v>922000.0</v>
      </c>
    </row>
    <row r="16">
      <c r="A16" s="3">
        <v>15.0</v>
      </c>
      <c r="B16" s="8"/>
      <c r="C16" s="8"/>
      <c r="D16" s="18"/>
    </row>
    <row r="17">
      <c r="A17" s="5">
        <v>16.0</v>
      </c>
      <c r="B17" s="10">
        <v>261528.0</v>
      </c>
      <c r="C17" s="10">
        <v>185000.0</v>
      </c>
    </row>
    <row r="18">
      <c r="A18" s="5">
        <v>17.0</v>
      </c>
      <c r="B18" s="10">
        <v>144900.0</v>
      </c>
      <c r="C18" s="10">
        <v>215000.0</v>
      </c>
      <c r="D18" s="11">
        <v>1075000.0</v>
      </c>
    </row>
    <row r="19">
      <c r="A19" s="5">
        <v>18.0</v>
      </c>
      <c r="B19" s="10">
        <v>140900.0</v>
      </c>
      <c r="C19" s="10">
        <v>210000.0</v>
      </c>
    </row>
    <row r="20">
      <c r="A20" s="5">
        <v>19.0</v>
      </c>
      <c r="B20" s="6"/>
      <c r="C20" s="10">
        <v>370000.0</v>
      </c>
    </row>
    <row r="21">
      <c r="A21" s="5">
        <v>20.0</v>
      </c>
      <c r="B21" s="10">
        <v>3500.0</v>
      </c>
      <c r="C21" s="10">
        <v>285000.0</v>
      </c>
    </row>
    <row r="22">
      <c r="A22" s="5">
        <v>21.0</v>
      </c>
      <c r="B22" s="10">
        <v>59300.0</v>
      </c>
      <c r="C22" s="10">
        <v>418000.0</v>
      </c>
      <c r="D22" s="12">
        <v>734100.0</v>
      </c>
    </row>
    <row r="23">
      <c r="A23" s="3">
        <v>22.0</v>
      </c>
      <c r="B23" s="8"/>
      <c r="C23" s="8"/>
    </row>
    <row r="24">
      <c r="A24" s="3">
        <v>23.0</v>
      </c>
      <c r="B24" s="8"/>
      <c r="C24" s="8"/>
    </row>
    <row r="25">
      <c r="A25" s="5">
        <v>24.0</v>
      </c>
      <c r="B25" s="10">
        <v>120600.0</v>
      </c>
      <c r="C25" s="10">
        <v>220000.0</v>
      </c>
    </row>
    <row r="26">
      <c r="A26" s="5">
        <v>25.0</v>
      </c>
      <c r="B26" s="10">
        <v>83000.0</v>
      </c>
      <c r="C26" s="10">
        <v>157000.0</v>
      </c>
    </row>
    <row r="27">
      <c r="A27" s="5">
        <v>26.0</v>
      </c>
      <c r="B27" s="10">
        <v>2900.0</v>
      </c>
      <c r="C27" s="10">
        <v>295000.0</v>
      </c>
      <c r="D27" s="12">
        <v>1662200.0</v>
      </c>
    </row>
    <row r="28">
      <c r="A28" s="5">
        <v>27.0</v>
      </c>
      <c r="B28" s="10">
        <v>209100.0</v>
      </c>
      <c r="C28" s="10">
        <v>470000.0</v>
      </c>
    </row>
    <row r="29">
      <c r="A29" s="5">
        <v>28.0</v>
      </c>
      <c r="B29" s="6">
        <v>54200.0</v>
      </c>
      <c r="C29" s="10">
        <v>620000.0</v>
      </c>
    </row>
    <row r="30">
      <c r="A30" s="3">
        <v>29.0</v>
      </c>
      <c r="B30" s="8"/>
      <c r="C30" s="8"/>
    </row>
    <row r="31">
      <c r="A31" s="5">
        <v>30.0</v>
      </c>
      <c r="B31" s="6"/>
      <c r="C31" s="6"/>
    </row>
    <row r="32">
      <c r="A32" s="5" t="s">
        <v>6</v>
      </c>
      <c r="B32" s="6">
        <f>SUM(B3:B31)</f>
        <v>1970278</v>
      </c>
      <c r="C32" s="6"/>
    </row>
    <row r="33">
      <c r="A33" s="19"/>
      <c r="B33" s="17"/>
      <c r="C33" s="17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5" max="5" width="16.75"/>
    <col customWidth="1" min="7" max="7" width="19.63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>
      <c r="A2" s="5">
        <v>1.0</v>
      </c>
      <c r="B2" s="6">
        <v>298170.0</v>
      </c>
      <c r="C2" s="6">
        <v>37999.0</v>
      </c>
      <c r="D2" s="7">
        <f t="shared" ref="D2:D6" si="1">C2+B2</f>
        <v>336169</v>
      </c>
      <c r="E2" s="6">
        <v>495000.0</v>
      </c>
      <c r="F2" s="7">
        <f t="shared" ref="F2:F5" si="2">E2+B2</f>
        <v>793170</v>
      </c>
      <c r="G2" s="7">
        <f>F2</f>
        <v>793170</v>
      </c>
    </row>
    <row r="3">
      <c r="A3" s="5">
        <v>2.0</v>
      </c>
      <c r="B3" s="6">
        <v>705482.0</v>
      </c>
      <c r="C3" s="6">
        <v>40121.0</v>
      </c>
      <c r="D3" s="7">
        <f t="shared" si="1"/>
        <v>745603</v>
      </c>
      <c r="E3" s="6">
        <v>655000.0</v>
      </c>
      <c r="F3" s="7">
        <f t="shared" si="2"/>
        <v>1360482</v>
      </c>
      <c r="G3" s="7">
        <f t="shared" ref="G3:G6" si="3">G2+F3</f>
        <v>2153652</v>
      </c>
    </row>
    <row r="4">
      <c r="A4" s="5">
        <v>3.0</v>
      </c>
      <c r="B4" s="6">
        <v>68502.0</v>
      </c>
      <c r="C4" s="6">
        <v>1030.0</v>
      </c>
      <c r="D4" s="7">
        <f t="shared" si="1"/>
        <v>69532</v>
      </c>
      <c r="E4" s="6">
        <v>1010000.0</v>
      </c>
      <c r="F4" s="7">
        <f t="shared" si="2"/>
        <v>1078502</v>
      </c>
      <c r="G4" s="7">
        <f t="shared" si="3"/>
        <v>3232154</v>
      </c>
    </row>
    <row r="5">
      <c r="A5" s="5">
        <v>4.0</v>
      </c>
      <c r="B5" s="6">
        <v>225270.0</v>
      </c>
      <c r="C5" s="6">
        <v>35535.0</v>
      </c>
      <c r="D5" s="7">
        <f t="shared" si="1"/>
        <v>260805</v>
      </c>
      <c r="E5" s="6">
        <v>810000.0</v>
      </c>
      <c r="F5" s="7">
        <f t="shared" si="2"/>
        <v>1035270</v>
      </c>
      <c r="G5" s="7">
        <f t="shared" si="3"/>
        <v>4267424</v>
      </c>
    </row>
    <row r="6">
      <c r="A6" s="5">
        <v>5.0</v>
      </c>
      <c r="B6" s="6">
        <v>166630.0</v>
      </c>
      <c r="C6" s="6">
        <v>10669.0</v>
      </c>
      <c r="D6" s="7">
        <f t="shared" si="1"/>
        <v>177299</v>
      </c>
      <c r="E6" s="6">
        <v>1020000.0</v>
      </c>
      <c r="F6" s="7">
        <f>B6+E6</f>
        <v>1186630</v>
      </c>
      <c r="G6" s="7">
        <f t="shared" si="3"/>
        <v>5454054</v>
      </c>
      <c r="J6" s="6"/>
    </row>
    <row r="7">
      <c r="A7" s="3">
        <v>6.0</v>
      </c>
      <c r="B7" s="8"/>
      <c r="C7" s="8"/>
      <c r="D7" s="4"/>
      <c r="E7" s="8"/>
      <c r="F7" s="4"/>
      <c r="G7" s="4"/>
    </row>
    <row r="8">
      <c r="A8" s="5">
        <v>7.0</v>
      </c>
      <c r="B8" s="6">
        <f>45142+24476+46666+47047+28437+47047</f>
        <v>238815</v>
      </c>
      <c r="C8" s="6">
        <f>2257+1224+2333+2352+5403+2352</f>
        <v>15921</v>
      </c>
      <c r="D8" s="6">
        <f t="shared" ref="D8:D10" si="4">C8+B8</f>
        <v>254736</v>
      </c>
      <c r="E8" s="6">
        <v>693000.0</v>
      </c>
      <c r="F8" s="7">
        <f t="shared" ref="F8:F10" si="5">E8+B8</f>
        <v>931815</v>
      </c>
      <c r="G8" s="7">
        <f>G6+F8</f>
        <v>6385869</v>
      </c>
    </row>
    <row r="9">
      <c r="A9" s="5">
        <v>8.0</v>
      </c>
      <c r="B9" s="6">
        <v>143433.0</v>
      </c>
      <c r="C9" s="6">
        <v>9319.0</v>
      </c>
      <c r="D9" s="7">
        <f t="shared" si="4"/>
        <v>152752</v>
      </c>
      <c r="E9" s="6">
        <v>510000.0</v>
      </c>
      <c r="F9" s="7">
        <f t="shared" si="5"/>
        <v>653433</v>
      </c>
      <c r="G9" s="7">
        <f t="shared" ref="G9:G13" si="6">G8+F9</f>
        <v>7039302</v>
      </c>
    </row>
    <row r="10">
      <c r="A10" s="5">
        <v>9.0</v>
      </c>
      <c r="B10" s="6">
        <v>468788.0</v>
      </c>
      <c r="C10" s="6">
        <v>55937.0</v>
      </c>
      <c r="D10" s="7">
        <f t="shared" si="4"/>
        <v>524725</v>
      </c>
      <c r="E10" s="6">
        <v>843000.0</v>
      </c>
      <c r="F10" s="7">
        <f t="shared" si="5"/>
        <v>1311788</v>
      </c>
      <c r="G10" s="7">
        <f t="shared" si="6"/>
        <v>8351090</v>
      </c>
    </row>
    <row r="11">
      <c r="A11" s="5">
        <v>10.0</v>
      </c>
      <c r="B11" s="6">
        <v>229778.0</v>
      </c>
      <c r="C11" s="6">
        <v>17688.0</v>
      </c>
      <c r="D11" s="7">
        <f t="shared" ref="D11:D13" si="7">B11+C11</f>
        <v>247466</v>
      </c>
      <c r="E11" s="6">
        <v>455000.0</v>
      </c>
      <c r="F11" s="7">
        <f t="shared" ref="F11:F13" si="8">B11+E11</f>
        <v>684778</v>
      </c>
      <c r="G11" s="7">
        <f t="shared" si="6"/>
        <v>9035868</v>
      </c>
    </row>
    <row r="12">
      <c r="A12" s="5">
        <v>11.0</v>
      </c>
      <c r="B12" s="6">
        <v>92565.0</v>
      </c>
      <c r="C12" s="6">
        <v>16299.0</v>
      </c>
      <c r="D12" s="6">
        <f t="shared" si="7"/>
        <v>108864</v>
      </c>
      <c r="E12" s="6">
        <v>825000.0</v>
      </c>
      <c r="F12" s="6">
        <f t="shared" si="8"/>
        <v>917565</v>
      </c>
      <c r="G12" s="7">
        <f t="shared" si="6"/>
        <v>9953433</v>
      </c>
      <c r="H12" s="17"/>
    </row>
    <row r="13">
      <c r="A13" s="5">
        <v>12.0</v>
      </c>
      <c r="B13" s="6">
        <v>220908.0</v>
      </c>
      <c r="C13" s="6">
        <v>23210.0</v>
      </c>
      <c r="D13" s="7">
        <f t="shared" si="7"/>
        <v>244118</v>
      </c>
      <c r="E13" s="6">
        <v>805000.0</v>
      </c>
      <c r="F13" s="7">
        <f t="shared" si="8"/>
        <v>1025908</v>
      </c>
      <c r="G13" s="7">
        <f t="shared" si="6"/>
        <v>10979341</v>
      </c>
    </row>
    <row r="14">
      <c r="A14" s="3">
        <v>13.0</v>
      </c>
      <c r="B14" s="8"/>
      <c r="C14" s="8"/>
      <c r="D14" s="4"/>
      <c r="E14" s="8"/>
      <c r="F14" s="4"/>
      <c r="G14" s="4"/>
    </row>
    <row r="15">
      <c r="A15" s="5">
        <v>14.0</v>
      </c>
      <c r="B15" s="6">
        <v>542571.0</v>
      </c>
      <c r="C15" s="6">
        <v>89529.0</v>
      </c>
      <c r="D15" s="7">
        <f t="shared" ref="D15:D16" si="9">C15+B15</f>
        <v>632100</v>
      </c>
      <c r="E15" s="6">
        <v>510000.0</v>
      </c>
      <c r="F15" s="7">
        <f t="shared" ref="F15:F16" si="10">E15+B15</f>
        <v>1052571</v>
      </c>
      <c r="G15" s="7">
        <f>G13+F15</f>
        <v>12031912</v>
      </c>
    </row>
    <row r="16">
      <c r="A16" s="5">
        <v>15.0</v>
      </c>
      <c r="B16" s="6">
        <v>325368.0</v>
      </c>
      <c r="C16" s="6">
        <v>31491.0</v>
      </c>
      <c r="D16" s="6">
        <f t="shared" si="9"/>
        <v>356859</v>
      </c>
      <c r="E16" s="6">
        <v>425000.0</v>
      </c>
      <c r="F16" s="6">
        <f t="shared" si="10"/>
        <v>750368</v>
      </c>
      <c r="G16" s="7">
        <f t="shared" ref="G16:G20" si="11">G15+F16</f>
        <v>12782280</v>
      </c>
      <c r="H16" s="18"/>
    </row>
    <row r="17">
      <c r="A17" s="5">
        <v>16.0</v>
      </c>
      <c r="B17" s="6">
        <v>175143.0</v>
      </c>
      <c r="C17" s="6">
        <v>17557.0</v>
      </c>
      <c r="D17" s="7">
        <f t="shared" ref="D17:D20" si="12">B17+C17</f>
        <v>192700</v>
      </c>
      <c r="E17" s="6">
        <v>605000.0</v>
      </c>
      <c r="F17" s="7">
        <f t="shared" ref="F17:F20" si="13">B17+E17</f>
        <v>780143</v>
      </c>
      <c r="G17" s="7">
        <f t="shared" si="11"/>
        <v>13562423</v>
      </c>
    </row>
    <row r="18">
      <c r="A18" s="5">
        <v>17.0</v>
      </c>
      <c r="B18" s="6">
        <v>99961.0</v>
      </c>
      <c r="C18" s="6">
        <v>12673.0</v>
      </c>
      <c r="D18" s="7">
        <f t="shared" si="12"/>
        <v>112634</v>
      </c>
      <c r="E18" s="6">
        <v>645000.0</v>
      </c>
      <c r="F18" s="7">
        <f t="shared" si="13"/>
        <v>744961</v>
      </c>
      <c r="G18" s="7">
        <f t="shared" si="11"/>
        <v>14307384</v>
      </c>
    </row>
    <row r="19">
      <c r="A19" s="5">
        <v>18.0</v>
      </c>
      <c r="B19" s="6">
        <v>190188.0</v>
      </c>
      <c r="C19" s="6">
        <v>9509.0</v>
      </c>
      <c r="D19" s="7">
        <f t="shared" si="12"/>
        <v>199697</v>
      </c>
      <c r="E19" s="6">
        <v>535000.0</v>
      </c>
      <c r="F19" s="7">
        <f t="shared" si="13"/>
        <v>725188</v>
      </c>
      <c r="G19" s="7">
        <f t="shared" si="11"/>
        <v>15032572</v>
      </c>
    </row>
    <row r="20">
      <c r="A20" s="5">
        <v>19.0</v>
      </c>
      <c r="B20" s="6">
        <v>81046.0</v>
      </c>
      <c r="C20" s="6">
        <v>4052.0</v>
      </c>
      <c r="D20" s="6">
        <f t="shared" si="12"/>
        <v>85098</v>
      </c>
      <c r="E20" s="6">
        <v>725000.0</v>
      </c>
      <c r="F20" s="7">
        <f t="shared" si="13"/>
        <v>806046</v>
      </c>
      <c r="G20" s="7">
        <f t="shared" si="11"/>
        <v>15838618</v>
      </c>
    </row>
    <row r="21">
      <c r="A21" s="3">
        <v>20.0</v>
      </c>
      <c r="B21" s="8"/>
      <c r="C21" s="8"/>
      <c r="D21" s="4"/>
      <c r="E21" s="8"/>
      <c r="F21" s="4"/>
      <c r="G21" s="4"/>
    </row>
    <row r="22">
      <c r="A22" s="5">
        <v>21.0</v>
      </c>
      <c r="B22" s="6">
        <v>32301.0</v>
      </c>
      <c r="C22" s="6">
        <f>3855</f>
        <v>3855</v>
      </c>
      <c r="D22" s="7">
        <f t="shared" ref="D22:D26" si="14">C22+B22</f>
        <v>36156</v>
      </c>
      <c r="E22" s="6">
        <v>505000.0</v>
      </c>
      <c r="F22" s="7">
        <f t="shared" ref="F22:F27" si="15">E22+B22</f>
        <v>537301</v>
      </c>
      <c r="G22" s="7">
        <f>G20+F22</f>
        <v>16375919</v>
      </c>
    </row>
    <row r="23">
      <c r="A23" s="5">
        <v>22.0</v>
      </c>
      <c r="B23" s="6">
        <v>127690.0</v>
      </c>
      <c r="C23" s="6">
        <v>11408.0</v>
      </c>
      <c r="D23" s="7">
        <f t="shared" si="14"/>
        <v>139098</v>
      </c>
      <c r="E23" s="6">
        <v>395000.0</v>
      </c>
      <c r="F23" s="7">
        <f t="shared" si="15"/>
        <v>522690</v>
      </c>
      <c r="G23" s="7">
        <f t="shared" ref="G23:G27" si="16">G22+F23</f>
        <v>16898609</v>
      </c>
    </row>
    <row r="24">
      <c r="A24" s="5">
        <v>23.0</v>
      </c>
      <c r="B24" s="6">
        <v>56352.0</v>
      </c>
      <c r="C24" s="6">
        <v>6347.0</v>
      </c>
      <c r="D24" s="7">
        <f t="shared" si="14"/>
        <v>62699</v>
      </c>
      <c r="E24" s="6">
        <v>345000.0</v>
      </c>
      <c r="F24" s="7">
        <f t="shared" si="15"/>
        <v>401352</v>
      </c>
      <c r="G24" s="7">
        <f t="shared" si="16"/>
        <v>17299961</v>
      </c>
    </row>
    <row r="25">
      <c r="A25" s="5">
        <v>24.0</v>
      </c>
      <c r="B25" s="6">
        <v>96284.0</v>
      </c>
      <c r="C25" s="6">
        <v>4814.0</v>
      </c>
      <c r="D25" s="7">
        <f t="shared" si="14"/>
        <v>101098</v>
      </c>
      <c r="E25" s="6">
        <v>520000.0</v>
      </c>
      <c r="F25" s="7">
        <f t="shared" si="15"/>
        <v>616284</v>
      </c>
      <c r="G25" s="7">
        <f t="shared" si="16"/>
        <v>17916245</v>
      </c>
    </row>
    <row r="26">
      <c r="A26" s="5">
        <v>25.0</v>
      </c>
      <c r="B26" s="6">
        <v>327405.0</v>
      </c>
      <c r="C26" s="6">
        <v>55315.0</v>
      </c>
      <c r="D26" s="7">
        <f t="shared" si="14"/>
        <v>382720</v>
      </c>
      <c r="E26" s="6">
        <v>662000.0</v>
      </c>
      <c r="F26" s="7">
        <f t="shared" si="15"/>
        <v>989405</v>
      </c>
      <c r="G26" s="7">
        <f t="shared" si="16"/>
        <v>18905650</v>
      </c>
    </row>
    <row r="27">
      <c r="A27" s="5">
        <v>26.0</v>
      </c>
      <c r="B27" s="6">
        <v>410461.0</v>
      </c>
      <c r="C27" s="6">
        <v>45188.0</v>
      </c>
      <c r="D27" s="7">
        <f>B27+C27</f>
        <v>455649</v>
      </c>
      <c r="E27" s="6">
        <v>1185000.0</v>
      </c>
      <c r="F27" s="7">
        <f t="shared" si="15"/>
        <v>1595461</v>
      </c>
      <c r="G27" s="7">
        <f t="shared" si="16"/>
        <v>20501111</v>
      </c>
    </row>
    <row r="28">
      <c r="A28" s="3">
        <v>27.0</v>
      </c>
      <c r="B28" s="8"/>
      <c r="C28" s="8"/>
      <c r="D28" s="8"/>
      <c r="E28" s="8"/>
      <c r="F28" s="4"/>
      <c r="G28" s="4"/>
    </row>
    <row r="29">
      <c r="A29" s="5">
        <v>28.0</v>
      </c>
      <c r="B29" s="6">
        <v>213474.0</v>
      </c>
      <c r="C29" s="6">
        <v>10674.0</v>
      </c>
      <c r="D29" s="7">
        <f t="shared" ref="D29:D31" si="17">C29+B29</f>
        <v>224148</v>
      </c>
      <c r="E29" s="6">
        <v>395000.0</v>
      </c>
      <c r="F29" s="7">
        <f t="shared" ref="F29:F31" si="18">E29+B29</f>
        <v>608474</v>
      </c>
      <c r="G29" s="7">
        <f>G27+F29</f>
        <v>21109585</v>
      </c>
    </row>
    <row r="30">
      <c r="A30" s="5">
        <v>29.0</v>
      </c>
      <c r="B30" s="6">
        <v>108765.0</v>
      </c>
      <c r="C30" s="6">
        <v>5779.0</v>
      </c>
      <c r="D30" s="7">
        <f t="shared" si="17"/>
        <v>114544</v>
      </c>
      <c r="E30" s="6">
        <v>555000.0</v>
      </c>
      <c r="F30" s="7">
        <f t="shared" si="18"/>
        <v>663765</v>
      </c>
      <c r="G30" s="7">
        <f t="shared" ref="G30:G32" si="19">G29+F30</f>
        <v>21773350</v>
      </c>
    </row>
    <row r="31">
      <c r="A31" s="5">
        <v>30.0</v>
      </c>
      <c r="B31" s="6">
        <v>142296.0</v>
      </c>
      <c r="C31" s="6">
        <v>10503.0</v>
      </c>
      <c r="D31" s="7">
        <f t="shared" si="17"/>
        <v>152799</v>
      </c>
      <c r="E31" s="6">
        <v>438000.0</v>
      </c>
      <c r="F31" s="7">
        <f t="shared" si="18"/>
        <v>580296</v>
      </c>
      <c r="G31" s="7">
        <f t="shared" si="19"/>
        <v>22353646</v>
      </c>
    </row>
    <row r="32">
      <c r="A32" s="5">
        <v>31.0</v>
      </c>
      <c r="B32" s="6">
        <v>281309.0</v>
      </c>
      <c r="C32" s="6">
        <v>42289.0</v>
      </c>
      <c r="D32" s="7">
        <f>B32+C32</f>
        <v>323598</v>
      </c>
      <c r="E32" s="6">
        <v>365000.0</v>
      </c>
      <c r="F32" s="7">
        <f>B32+E32</f>
        <v>646309</v>
      </c>
      <c r="G32" s="7">
        <f t="shared" si="19"/>
        <v>22999955</v>
      </c>
    </row>
    <row r="33">
      <c r="A33" s="5" t="s">
        <v>6</v>
      </c>
      <c r="B33" s="6">
        <f>SUM(B2:B32)</f>
        <v>6068955</v>
      </c>
      <c r="C33" s="6"/>
      <c r="D33" s="7"/>
      <c r="E33" s="6">
        <f>SUM(E2:E32)</f>
        <v>16931000</v>
      </c>
      <c r="F33" s="7"/>
      <c r="G33" s="7"/>
    </row>
    <row r="34">
      <c r="A34" s="19"/>
      <c r="B34" s="17"/>
      <c r="C34" s="17"/>
      <c r="D34" s="17"/>
      <c r="E34" s="17"/>
      <c r="F34" s="17"/>
      <c r="G34" s="17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3" max="3" width="16.75"/>
  </cols>
  <sheetData>
    <row r="1">
      <c r="A1" s="1"/>
      <c r="B1" s="2" t="s">
        <v>0</v>
      </c>
      <c r="C1" s="2" t="s">
        <v>3</v>
      </c>
    </row>
    <row r="2">
      <c r="A2" s="5">
        <v>1.0</v>
      </c>
      <c r="B2" s="10">
        <v>141500.0</v>
      </c>
      <c r="C2" s="10">
        <v>181000.0</v>
      </c>
    </row>
    <row r="3">
      <c r="A3" s="5">
        <v>2.0</v>
      </c>
      <c r="B3" s="10">
        <v>38200.0</v>
      </c>
      <c r="C3" s="10">
        <v>255000.0</v>
      </c>
      <c r="D3" s="11">
        <v>668350.0</v>
      </c>
    </row>
    <row r="4">
      <c r="A4" s="5">
        <v>3.0</v>
      </c>
      <c r="B4" s="10">
        <v>10600.0</v>
      </c>
      <c r="C4" s="10">
        <v>485000.0</v>
      </c>
    </row>
    <row r="5">
      <c r="A5" s="5">
        <v>4.0</v>
      </c>
      <c r="B5" s="10">
        <v>0.0</v>
      </c>
      <c r="C5" s="10">
        <v>310000.0</v>
      </c>
      <c r="D5" s="12">
        <v>544800.0</v>
      </c>
      <c r="E5" s="11">
        <v>1324100.0</v>
      </c>
    </row>
    <row r="6">
      <c r="A6" s="5">
        <v>5.0</v>
      </c>
      <c r="B6" s="10">
        <v>49000.0</v>
      </c>
      <c r="C6" s="10">
        <v>210000.0</v>
      </c>
      <c r="D6" s="12">
        <v>1086050.0</v>
      </c>
      <c r="F6" s="6"/>
    </row>
    <row r="7">
      <c r="A7" s="3">
        <v>6.0</v>
      </c>
      <c r="B7" s="8"/>
      <c r="C7" s="8"/>
    </row>
    <row r="8">
      <c r="A8" s="5">
        <v>7.0</v>
      </c>
      <c r="B8" s="10">
        <f>47400+25700+49000+49400</f>
        <v>171500</v>
      </c>
      <c r="C8" s="10">
        <v>268000.0</v>
      </c>
    </row>
    <row r="9">
      <c r="A9" s="5">
        <v>8.0</v>
      </c>
      <c r="B9" s="10">
        <v>52800.0</v>
      </c>
      <c r="C9" s="10">
        <v>320000.0</v>
      </c>
      <c r="D9" s="11">
        <v>1302150.0</v>
      </c>
    </row>
    <row r="10">
      <c r="A10" s="5">
        <v>9.0</v>
      </c>
      <c r="B10" s="10">
        <v>221300.0</v>
      </c>
      <c r="C10" s="10">
        <v>563000.0</v>
      </c>
      <c r="D10" s="11">
        <v>1468150.0</v>
      </c>
    </row>
    <row r="11">
      <c r="A11" s="5">
        <v>10.0</v>
      </c>
      <c r="B11" s="10">
        <v>70000.0</v>
      </c>
      <c r="C11" s="10">
        <v>375000.0</v>
      </c>
      <c r="D11" s="11">
        <v>1011600.0</v>
      </c>
    </row>
    <row r="12">
      <c r="A12" s="5">
        <v>11.0</v>
      </c>
      <c r="B12" s="10">
        <v>56563.0</v>
      </c>
      <c r="C12" s="10">
        <v>760000.0</v>
      </c>
      <c r="D12" s="17"/>
    </row>
    <row r="13">
      <c r="A13" s="5">
        <v>12.0</v>
      </c>
      <c r="B13" s="10">
        <v>128400.0</v>
      </c>
      <c r="C13" s="10">
        <v>405000.0</v>
      </c>
      <c r="D13" s="11">
        <v>2082300.0</v>
      </c>
    </row>
    <row r="14">
      <c r="A14" s="3">
        <v>13.0</v>
      </c>
      <c r="B14" s="8"/>
      <c r="C14" s="8"/>
    </row>
    <row r="15">
      <c r="A15" s="5">
        <v>14.0</v>
      </c>
      <c r="B15" s="10">
        <v>101700.0</v>
      </c>
      <c r="C15" s="10">
        <v>30000.0</v>
      </c>
      <c r="D15" s="11">
        <v>1252550.0</v>
      </c>
    </row>
    <row r="16">
      <c r="A16" s="5">
        <v>15.0</v>
      </c>
      <c r="B16" s="10">
        <v>59900.0</v>
      </c>
      <c r="C16" s="10">
        <v>265000.0</v>
      </c>
      <c r="D16" s="18"/>
    </row>
    <row r="17">
      <c r="A17" s="5">
        <v>16.0</v>
      </c>
      <c r="B17" s="6">
        <v>0.0</v>
      </c>
      <c r="C17" s="10">
        <v>320000.0</v>
      </c>
      <c r="D17" s="11">
        <v>967100.0</v>
      </c>
    </row>
    <row r="18">
      <c r="A18" s="5">
        <v>17.0</v>
      </c>
      <c r="B18" s="10">
        <v>62400.0</v>
      </c>
      <c r="C18" s="10">
        <v>385000.0</v>
      </c>
    </row>
    <row r="19">
      <c r="A19" s="5">
        <v>18.0</v>
      </c>
      <c r="B19" s="10">
        <v>126199.0</v>
      </c>
      <c r="C19" s="10">
        <v>155000.0</v>
      </c>
    </row>
    <row r="20">
      <c r="A20" s="5">
        <v>19.0</v>
      </c>
      <c r="B20" s="6">
        <v>0.0</v>
      </c>
      <c r="C20" s="10">
        <v>310000.0</v>
      </c>
      <c r="D20" s="12" t="s">
        <v>10</v>
      </c>
    </row>
    <row r="21">
      <c r="A21" s="3">
        <v>20.0</v>
      </c>
      <c r="B21" s="8"/>
      <c r="C21" s="8"/>
    </row>
    <row r="22">
      <c r="A22" s="5">
        <v>21.0</v>
      </c>
      <c r="B22" s="10">
        <v>17200.0</v>
      </c>
      <c r="C22" s="10">
        <v>440000.0</v>
      </c>
    </row>
    <row r="23">
      <c r="A23" s="5">
        <v>22.0</v>
      </c>
      <c r="B23" s="10">
        <v>139100.0</v>
      </c>
      <c r="C23" s="10">
        <v>210000.0</v>
      </c>
    </row>
    <row r="24">
      <c r="A24" s="5">
        <v>23.0</v>
      </c>
      <c r="B24" s="10">
        <v>32700.0</v>
      </c>
      <c r="C24" s="10">
        <v>205000.0</v>
      </c>
    </row>
    <row r="25">
      <c r="A25" s="5">
        <v>24.0</v>
      </c>
      <c r="B25" s="10">
        <v>30000.0</v>
      </c>
      <c r="C25" s="10">
        <v>295000.0</v>
      </c>
    </row>
    <row r="26">
      <c r="A26" s="5">
        <v>25.0</v>
      </c>
      <c r="B26" s="10">
        <v>333100.0</v>
      </c>
      <c r="C26" s="10">
        <v>582000.0</v>
      </c>
    </row>
    <row r="27">
      <c r="A27" s="5">
        <v>26.0</v>
      </c>
      <c r="B27" s="10">
        <v>283600.0</v>
      </c>
      <c r="C27" s="10">
        <v>605000.0</v>
      </c>
    </row>
    <row r="28">
      <c r="A28" s="3">
        <v>27.0</v>
      </c>
      <c r="B28" s="8"/>
      <c r="C28" s="8"/>
    </row>
    <row r="29">
      <c r="A29" s="5">
        <v>28.0</v>
      </c>
      <c r="B29" s="10">
        <v>129500.0</v>
      </c>
      <c r="C29" s="10">
        <v>150000.0</v>
      </c>
      <c r="D29" s="11">
        <v>2428900.0</v>
      </c>
    </row>
    <row r="30">
      <c r="A30" s="5">
        <v>29.0</v>
      </c>
      <c r="B30" s="10">
        <v>63600.0</v>
      </c>
      <c r="C30" s="10">
        <v>185000.0</v>
      </c>
      <c r="D30" s="12">
        <v>938600.0</v>
      </c>
    </row>
    <row r="31">
      <c r="A31" s="5">
        <v>30.0</v>
      </c>
      <c r="B31" s="10">
        <v>24500.0</v>
      </c>
      <c r="C31" s="10">
        <v>220000.0</v>
      </c>
    </row>
    <row r="32">
      <c r="A32" s="5">
        <v>31.0</v>
      </c>
      <c r="B32" s="10">
        <v>287300.0</v>
      </c>
      <c r="C32" s="6">
        <v>125000.0</v>
      </c>
    </row>
    <row r="33">
      <c r="A33" s="5" t="s">
        <v>6</v>
      </c>
      <c r="B33" s="6"/>
      <c r="C33" s="6"/>
    </row>
    <row r="34">
      <c r="A34" s="19"/>
      <c r="B34" s="17"/>
      <c r="C34" s="17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>
      <c r="A2" s="13">
        <v>1.0</v>
      </c>
      <c r="B2" s="14">
        <v>556017.0</v>
      </c>
      <c r="C2" s="14">
        <v>47418.0</v>
      </c>
      <c r="D2" s="15">
        <f t="shared" ref="D2:D3" si="1">B2+C2</f>
        <v>603435</v>
      </c>
      <c r="E2" s="14">
        <v>645000.0</v>
      </c>
      <c r="F2" s="15">
        <f t="shared" ref="F2:F3" si="2">D2+E2</f>
        <v>1248435</v>
      </c>
      <c r="G2" s="15">
        <f>F2</f>
        <v>1248435</v>
      </c>
    </row>
    <row r="3">
      <c r="A3" s="13">
        <v>2.0</v>
      </c>
      <c r="B3" s="14">
        <v>578259.0</v>
      </c>
      <c r="C3" s="14">
        <v>51185.0</v>
      </c>
      <c r="D3" s="15">
        <f t="shared" si="1"/>
        <v>629444</v>
      </c>
      <c r="E3" s="14">
        <v>820000.0</v>
      </c>
      <c r="F3" s="15">
        <f t="shared" si="2"/>
        <v>1449444</v>
      </c>
      <c r="G3" s="15">
        <f>G2+F3</f>
        <v>2697879</v>
      </c>
    </row>
    <row r="4">
      <c r="A4" s="3">
        <v>3.0</v>
      </c>
      <c r="B4" s="8"/>
      <c r="C4" s="8"/>
      <c r="D4" s="4"/>
      <c r="E4" s="8"/>
      <c r="F4" s="4"/>
      <c r="G4" s="4"/>
    </row>
    <row r="5">
      <c r="A5" s="13">
        <v>4.0</v>
      </c>
      <c r="B5" s="14">
        <v>322824.0</v>
      </c>
      <c r="C5" s="14">
        <v>51590.0</v>
      </c>
      <c r="D5" s="15">
        <f>B5+C5</f>
        <v>374414</v>
      </c>
      <c r="E5" s="14">
        <v>657000.0</v>
      </c>
      <c r="F5" s="15">
        <f>D5+E5</f>
        <v>1031414</v>
      </c>
      <c r="G5" s="15">
        <f>G3+F5</f>
        <v>3729293</v>
      </c>
    </row>
    <row r="6">
      <c r="A6" s="13">
        <v>5.0</v>
      </c>
      <c r="B6" s="14">
        <v>133440.0</v>
      </c>
      <c r="C6" s="14">
        <v>11661.0</v>
      </c>
      <c r="D6" s="15">
        <f t="shared" ref="D6:D7" si="3">C6+B6</f>
        <v>145101</v>
      </c>
      <c r="E6" s="14">
        <v>505000.0</v>
      </c>
      <c r="F6" s="15">
        <f t="shared" ref="F6:F7" si="4">E6+B6</f>
        <v>638440</v>
      </c>
      <c r="G6" s="15">
        <f t="shared" ref="G6:G7" si="5">G5+F6</f>
        <v>4367733</v>
      </c>
    </row>
    <row r="7">
      <c r="A7" s="13">
        <v>6.0</v>
      </c>
      <c r="B7" s="14">
        <v>159027.0</v>
      </c>
      <c r="C7" s="14">
        <v>7951.0</v>
      </c>
      <c r="D7" s="15">
        <f t="shared" si="3"/>
        <v>166978</v>
      </c>
      <c r="E7" s="14">
        <v>725000.0</v>
      </c>
      <c r="F7" s="15">
        <f t="shared" si="4"/>
        <v>884027</v>
      </c>
      <c r="G7" s="15">
        <f t="shared" si="5"/>
        <v>5251760</v>
      </c>
    </row>
    <row r="8">
      <c r="A8" s="3">
        <v>7.0</v>
      </c>
      <c r="B8" s="8"/>
      <c r="C8" s="8"/>
      <c r="D8" s="8"/>
      <c r="E8" s="8"/>
      <c r="F8" s="4"/>
      <c r="G8" s="4"/>
    </row>
    <row r="9">
      <c r="A9" s="13">
        <v>8.0</v>
      </c>
      <c r="B9" s="14">
        <v>361355.0</v>
      </c>
      <c r="C9" s="14">
        <v>38044.0</v>
      </c>
      <c r="D9" s="15">
        <f t="shared" ref="D9:D10" si="6">C9+B9</f>
        <v>399399</v>
      </c>
      <c r="E9" s="14">
        <v>603000.0</v>
      </c>
      <c r="F9" s="15">
        <f t="shared" ref="F9:F10" si="7">E9+B9</f>
        <v>964355</v>
      </c>
      <c r="G9" s="15">
        <f>G7+F9</f>
        <v>6216115</v>
      </c>
    </row>
    <row r="10">
      <c r="A10" s="13">
        <v>9.0</v>
      </c>
      <c r="B10" s="14">
        <v>191330.0</v>
      </c>
      <c r="C10" s="14">
        <v>9567.0</v>
      </c>
      <c r="D10" s="15">
        <f t="shared" si="6"/>
        <v>200897</v>
      </c>
      <c r="E10" s="14">
        <v>680000.0</v>
      </c>
      <c r="F10" s="15">
        <f t="shared" si="7"/>
        <v>871330</v>
      </c>
      <c r="G10" s="15">
        <f>G9+F10</f>
        <v>7087445</v>
      </c>
    </row>
    <row r="11">
      <c r="A11" s="3">
        <v>10.0</v>
      </c>
      <c r="B11" s="8"/>
      <c r="C11" s="8"/>
      <c r="D11" s="4"/>
      <c r="E11" s="8"/>
      <c r="F11" s="4"/>
      <c r="G11" s="4"/>
    </row>
    <row r="12">
      <c r="A12" s="13">
        <v>11.0</v>
      </c>
      <c r="B12" s="14">
        <v>390469.0</v>
      </c>
      <c r="C12" s="14">
        <v>48923.0</v>
      </c>
      <c r="D12" s="14">
        <f t="shared" ref="D12:D13" si="8">C12+B12</f>
        <v>439392</v>
      </c>
      <c r="E12" s="14">
        <v>405000.0</v>
      </c>
      <c r="F12" s="14">
        <f t="shared" ref="F12:F13" si="9">E12+B12</f>
        <v>795469</v>
      </c>
      <c r="G12" s="15">
        <f>G10+F12</f>
        <v>7882914</v>
      </c>
      <c r="M12" s="12" t="s">
        <v>11</v>
      </c>
    </row>
    <row r="13">
      <c r="A13" s="13">
        <v>12.0</v>
      </c>
      <c r="B13" s="14">
        <v>22571.0</v>
      </c>
      <c r="C13" s="14">
        <v>1129.0</v>
      </c>
      <c r="D13" s="15">
        <f t="shared" si="8"/>
        <v>23700</v>
      </c>
      <c r="E13" s="14">
        <v>420000.0</v>
      </c>
      <c r="F13" s="15">
        <f t="shared" si="9"/>
        <v>442571</v>
      </c>
      <c r="G13" s="15">
        <f t="shared" ref="G13:G17" si="10">G12+F13</f>
        <v>8325485</v>
      </c>
    </row>
    <row r="14">
      <c r="A14" s="13">
        <v>13.0</v>
      </c>
      <c r="B14" s="14">
        <v>0.0</v>
      </c>
      <c r="C14" s="14">
        <v>0.0</v>
      </c>
      <c r="D14" s="14">
        <v>0.0</v>
      </c>
      <c r="E14" s="14">
        <v>210000.0</v>
      </c>
      <c r="F14" s="15">
        <f t="shared" ref="F14:F15" si="11">E14</f>
        <v>210000</v>
      </c>
      <c r="G14" s="15">
        <f t="shared" si="10"/>
        <v>8535485</v>
      </c>
    </row>
    <row r="15">
      <c r="A15" s="13">
        <v>14.0</v>
      </c>
      <c r="B15" s="14"/>
      <c r="C15" s="14"/>
      <c r="D15" s="15"/>
      <c r="E15" s="14">
        <v>247000.0</v>
      </c>
      <c r="F15" s="14">
        <f t="shared" si="11"/>
        <v>247000</v>
      </c>
      <c r="G15" s="15">
        <f t="shared" si="10"/>
        <v>8782485</v>
      </c>
    </row>
    <row r="16">
      <c r="A16" s="13">
        <v>15.0</v>
      </c>
      <c r="B16" s="14">
        <v>955829.0</v>
      </c>
      <c r="C16" s="14">
        <v>146593.0</v>
      </c>
      <c r="D16" s="14">
        <f t="shared" ref="D16:D17" si="12">C16+B16</f>
        <v>1102422</v>
      </c>
      <c r="E16" s="14">
        <v>320000.0</v>
      </c>
      <c r="F16" s="14">
        <f>B16</f>
        <v>955829</v>
      </c>
      <c r="G16" s="15">
        <f t="shared" si="10"/>
        <v>9738314</v>
      </c>
    </row>
    <row r="17">
      <c r="A17" s="13">
        <v>16.0</v>
      </c>
      <c r="B17" s="14">
        <v>246595.0</v>
      </c>
      <c r="C17" s="14">
        <v>20565.0</v>
      </c>
      <c r="D17" s="15">
        <f t="shared" si="12"/>
        <v>267160</v>
      </c>
      <c r="E17" s="14">
        <v>425000.0</v>
      </c>
      <c r="F17" s="15">
        <f>E17+B17</f>
        <v>671595</v>
      </c>
      <c r="G17" s="15">
        <f t="shared" si="10"/>
        <v>10409909</v>
      </c>
    </row>
    <row r="18">
      <c r="A18" s="3">
        <v>17.0</v>
      </c>
      <c r="B18" s="8"/>
      <c r="C18" s="8"/>
      <c r="D18" s="4"/>
      <c r="E18" s="8"/>
      <c r="F18" s="4"/>
      <c r="G18" s="4"/>
    </row>
    <row r="19">
      <c r="A19" s="3">
        <v>18.0</v>
      </c>
      <c r="B19" s="8"/>
      <c r="C19" s="8"/>
      <c r="D19" s="4"/>
      <c r="E19" s="8"/>
      <c r="F19" s="4"/>
      <c r="G19" s="4"/>
    </row>
    <row r="20">
      <c r="A20" s="13">
        <v>19.0</v>
      </c>
      <c r="B20" s="14">
        <v>113388.0</v>
      </c>
      <c r="C20" s="14">
        <v>12610.0</v>
      </c>
      <c r="D20" s="14">
        <f>C20+B20</f>
        <v>125998</v>
      </c>
      <c r="E20" s="14">
        <v>305000.0</v>
      </c>
      <c r="F20" s="15">
        <f>E20+B20</f>
        <v>418388</v>
      </c>
      <c r="G20" s="15">
        <f>G17+F20</f>
        <v>10828297</v>
      </c>
    </row>
    <row r="21">
      <c r="A21" s="13">
        <v>20.0</v>
      </c>
      <c r="B21" s="14">
        <v>256279.0</v>
      </c>
      <c r="C21" s="14">
        <v>6024.0</v>
      </c>
      <c r="D21" s="15">
        <f t="shared" ref="D21:D24" si="13">B21+C21</f>
        <v>262303</v>
      </c>
      <c r="E21" s="14">
        <v>400000.0</v>
      </c>
      <c r="F21" s="15">
        <f t="shared" ref="F21:F24" si="14">B21+E21</f>
        <v>656279</v>
      </c>
      <c r="G21" s="15">
        <f t="shared" ref="G21:G24" si="15">G20+F21</f>
        <v>11484576</v>
      </c>
    </row>
    <row r="22">
      <c r="A22" s="13">
        <v>21.0</v>
      </c>
      <c r="B22" s="14">
        <v>167927.0</v>
      </c>
      <c r="C22" s="14">
        <v>762.0</v>
      </c>
      <c r="D22" s="15">
        <f t="shared" si="13"/>
        <v>168689</v>
      </c>
      <c r="E22" s="14">
        <v>260000.0</v>
      </c>
      <c r="F22" s="15">
        <f t="shared" si="14"/>
        <v>427927</v>
      </c>
      <c r="G22" s="15">
        <f t="shared" si="15"/>
        <v>11912503</v>
      </c>
    </row>
    <row r="23">
      <c r="A23" s="13">
        <v>22.0</v>
      </c>
      <c r="B23" s="14">
        <v>186447.0</v>
      </c>
      <c r="C23" s="14">
        <v>19028.0</v>
      </c>
      <c r="D23" s="15">
        <f t="shared" si="13"/>
        <v>205475</v>
      </c>
      <c r="E23" s="14">
        <v>565000.0</v>
      </c>
      <c r="F23" s="15">
        <f t="shared" si="14"/>
        <v>751447</v>
      </c>
      <c r="G23" s="15">
        <f t="shared" si="15"/>
        <v>12663950</v>
      </c>
    </row>
    <row r="24">
      <c r="A24" s="13">
        <v>23.0</v>
      </c>
      <c r="B24" s="14">
        <v>112431.0</v>
      </c>
      <c r="C24" s="14">
        <v>12699.0</v>
      </c>
      <c r="D24" s="15">
        <f t="shared" si="13"/>
        <v>125130</v>
      </c>
      <c r="E24" s="14">
        <v>690000.0</v>
      </c>
      <c r="F24" s="15">
        <f t="shared" si="14"/>
        <v>802431</v>
      </c>
      <c r="G24" s="15">
        <f t="shared" si="15"/>
        <v>13466381</v>
      </c>
    </row>
    <row r="25">
      <c r="A25" s="3">
        <v>24.0</v>
      </c>
      <c r="B25" s="8"/>
      <c r="C25" s="8"/>
      <c r="D25" s="4"/>
      <c r="E25" s="8"/>
      <c r="F25" s="4"/>
      <c r="G25" s="4"/>
    </row>
    <row r="26">
      <c r="A26" s="13">
        <v>25.0</v>
      </c>
      <c r="B26" s="14">
        <v>115403.0</v>
      </c>
      <c r="C26" s="14">
        <v>15542.0</v>
      </c>
      <c r="D26" s="15">
        <f t="shared" ref="D26:D31" si="16">C26+B26</f>
        <v>130945</v>
      </c>
      <c r="E26" s="14">
        <v>185000.0</v>
      </c>
      <c r="F26" s="15">
        <f t="shared" ref="F26:F31" si="17">E26+B26</f>
        <v>300403</v>
      </c>
      <c r="G26" s="15">
        <f>G24+F26</f>
        <v>13766784</v>
      </c>
    </row>
    <row r="27">
      <c r="A27" s="13">
        <v>26.0</v>
      </c>
      <c r="B27" s="14">
        <v>132195.0</v>
      </c>
      <c r="C27" s="14">
        <v>11904.0</v>
      </c>
      <c r="D27" s="15">
        <f t="shared" si="16"/>
        <v>144099</v>
      </c>
      <c r="E27" s="14">
        <v>680000.0</v>
      </c>
      <c r="F27" s="15">
        <f t="shared" si="17"/>
        <v>812195</v>
      </c>
      <c r="G27" s="15">
        <f t="shared" ref="G27:G31" si="18">G26+F27</f>
        <v>14578979</v>
      </c>
    </row>
    <row r="28">
      <c r="A28" s="13">
        <v>27.0</v>
      </c>
      <c r="B28" s="14">
        <v>227953.0</v>
      </c>
      <c r="C28" s="14">
        <v>27258.0</v>
      </c>
      <c r="D28" s="14">
        <f t="shared" si="16"/>
        <v>255211</v>
      </c>
      <c r="E28" s="14">
        <v>420000.0</v>
      </c>
      <c r="F28" s="15">
        <f t="shared" si="17"/>
        <v>647953</v>
      </c>
      <c r="G28" s="15">
        <f t="shared" si="18"/>
        <v>15226932</v>
      </c>
    </row>
    <row r="29">
      <c r="A29" s="13">
        <v>28.0</v>
      </c>
      <c r="B29" s="14">
        <v>115809.0</v>
      </c>
      <c r="C29" s="14">
        <v>5790.0</v>
      </c>
      <c r="D29" s="15">
        <f t="shared" si="16"/>
        <v>121599</v>
      </c>
      <c r="E29" s="14">
        <v>325000.0</v>
      </c>
      <c r="F29" s="15">
        <f t="shared" si="17"/>
        <v>440809</v>
      </c>
      <c r="G29" s="15">
        <f t="shared" si="18"/>
        <v>15667741</v>
      </c>
    </row>
    <row r="30">
      <c r="A30" s="13">
        <v>29.0</v>
      </c>
      <c r="B30" s="14">
        <v>252269.0</v>
      </c>
      <c r="C30" s="14">
        <v>47131.0</v>
      </c>
      <c r="D30" s="15">
        <f t="shared" si="16"/>
        <v>299400</v>
      </c>
      <c r="E30" s="14">
        <v>705000.0</v>
      </c>
      <c r="F30" s="15">
        <f t="shared" si="17"/>
        <v>957269</v>
      </c>
      <c r="G30" s="15">
        <f t="shared" si="18"/>
        <v>16625010</v>
      </c>
    </row>
    <row r="31">
      <c r="A31" s="13">
        <v>30.0</v>
      </c>
      <c r="B31" s="14">
        <v>240327.0</v>
      </c>
      <c r="C31" s="14">
        <v>7071.0</v>
      </c>
      <c r="D31" s="15">
        <f t="shared" si="16"/>
        <v>247398</v>
      </c>
      <c r="E31" s="14">
        <v>812000.0</v>
      </c>
      <c r="F31" s="15">
        <f t="shared" si="17"/>
        <v>1052327</v>
      </c>
      <c r="G31" s="15">
        <f t="shared" si="18"/>
        <v>17677337</v>
      </c>
    </row>
    <row r="32">
      <c r="A32" s="3" t="s">
        <v>12</v>
      </c>
      <c r="B32" s="8">
        <f t="shared" ref="B32:F32" si="19">SUM(B2:B31)</f>
        <v>5838144</v>
      </c>
      <c r="C32" s="8">
        <f t="shared" si="19"/>
        <v>600445</v>
      </c>
      <c r="D32" s="8">
        <f t="shared" si="19"/>
        <v>6438589</v>
      </c>
      <c r="E32" s="8">
        <f t="shared" si="19"/>
        <v>12009000</v>
      </c>
      <c r="F32" s="8">
        <f t="shared" si="19"/>
        <v>17677337</v>
      </c>
      <c r="G32" s="4"/>
    </row>
    <row r="33">
      <c r="A33" s="13"/>
      <c r="B33" s="14"/>
      <c r="C33" s="14"/>
      <c r="D33" s="15"/>
      <c r="E33" s="14"/>
      <c r="F33" s="15"/>
      <c r="G33" s="15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5" t="s">
        <v>13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>
      <c r="A2" s="5">
        <v>1.0</v>
      </c>
      <c r="B2" s="6">
        <v>380014.0</v>
      </c>
      <c r="C2" s="6">
        <v>48950.0</v>
      </c>
      <c r="D2" s="7">
        <f>C2+B2</f>
        <v>428964</v>
      </c>
      <c r="E2" s="6">
        <v>595000.0</v>
      </c>
      <c r="F2" s="7">
        <f>E2+B2</f>
        <v>975014</v>
      </c>
      <c r="G2" s="6">
        <f>F2</f>
        <v>975014</v>
      </c>
    </row>
    <row r="3">
      <c r="A3" s="5">
        <v>2.0</v>
      </c>
      <c r="B3" s="6">
        <v>353403.0</v>
      </c>
      <c r="C3" s="6">
        <v>53411.0</v>
      </c>
      <c r="D3" s="7">
        <f t="shared" ref="D3:D4" si="1">B3+C3</f>
        <v>406814</v>
      </c>
      <c r="E3" s="6">
        <v>465000.0</v>
      </c>
      <c r="F3" s="7">
        <f t="shared" ref="F3:F4" si="2">B3+E3</f>
        <v>818403</v>
      </c>
      <c r="G3" s="7">
        <f t="shared" ref="G3:G7" si="3">G2+F3</f>
        <v>1793417</v>
      </c>
    </row>
    <row r="4">
      <c r="A4" s="5">
        <v>3.0</v>
      </c>
      <c r="B4" s="6">
        <v>103361.0</v>
      </c>
      <c r="C4" s="6">
        <v>19639.0</v>
      </c>
      <c r="D4" s="7">
        <f t="shared" si="1"/>
        <v>123000</v>
      </c>
      <c r="E4" s="6">
        <v>585000.0</v>
      </c>
      <c r="F4" s="7">
        <f t="shared" si="2"/>
        <v>688361</v>
      </c>
      <c r="G4" s="7">
        <f t="shared" si="3"/>
        <v>2481778</v>
      </c>
    </row>
    <row r="5">
      <c r="A5" s="5">
        <v>4.0</v>
      </c>
      <c r="B5" s="6">
        <v>479978.0</v>
      </c>
      <c r="C5" s="6">
        <v>34158.0</v>
      </c>
      <c r="D5" s="7">
        <f t="shared" ref="D5:D6" si="4">C5+B5</f>
        <v>514136</v>
      </c>
      <c r="E5" s="6">
        <v>292000.0</v>
      </c>
      <c r="F5" s="7">
        <f t="shared" ref="F5:F6" si="5">E5+B5</f>
        <v>771978</v>
      </c>
      <c r="G5" s="7">
        <f t="shared" si="3"/>
        <v>3253756</v>
      </c>
    </row>
    <row r="6">
      <c r="A6" s="5">
        <v>5.0</v>
      </c>
      <c r="B6" s="6">
        <v>185587.0</v>
      </c>
      <c r="C6" s="6">
        <v>16908.0</v>
      </c>
      <c r="D6" s="7">
        <f t="shared" si="4"/>
        <v>202495</v>
      </c>
      <c r="E6" s="6">
        <v>780000.0</v>
      </c>
      <c r="F6" s="7">
        <f t="shared" si="5"/>
        <v>965587</v>
      </c>
      <c r="G6" s="7">
        <f t="shared" si="3"/>
        <v>4219343</v>
      </c>
    </row>
    <row r="7">
      <c r="A7" s="5">
        <v>6.0</v>
      </c>
      <c r="B7" s="6">
        <v>142883.0</v>
      </c>
      <c r="C7" s="6">
        <v>7615.0</v>
      </c>
      <c r="D7" s="7">
        <f>B7+C7</f>
        <v>150498</v>
      </c>
      <c r="E7" s="6">
        <v>525000.0</v>
      </c>
      <c r="F7" s="7">
        <f>B7+E7</f>
        <v>667883</v>
      </c>
      <c r="G7" s="7">
        <f t="shared" si="3"/>
        <v>4887226</v>
      </c>
    </row>
    <row r="8">
      <c r="A8" s="3">
        <v>7.0</v>
      </c>
      <c r="B8" s="8"/>
      <c r="C8" s="8"/>
      <c r="D8" s="8"/>
      <c r="E8" s="8"/>
      <c r="F8" s="4"/>
      <c r="G8" s="4"/>
    </row>
    <row r="9">
      <c r="A9" s="5">
        <v>8.0</v>
      </c>
      <c r="B9" s="6">
        <v>237088.0</v>
      </c>
      <c r="C9" s="6">
        <v>17760.0</v>
      </c>
      <c r="D9" s="7">
        <f>C9+B9</f>
        <v>254848</v>
      </c>
      <c r="E9" s="10">
        <v>735000.0</v>
      </c>
      <c r="F9" s="7">
        <f>E9+B9</f>
        <v>972088</v>
      </c>
      <c r="G9" s="7">
        <f>G7+F9</f>
        <v>5859314</v>
      </c>
      <c r="H9" s="12">
        <v>735000.0</v>
      </c>
    </row>
    <row r="10">
      <c r="A10" s="5">
        <v>9.0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f t="shared" ref="G10:G14" si="6">G9+F10</f>
        <v>5859314</v>
      </c>
    </row>
    <row r="11">
      <c r="A11" s="5">
        <v>10.0</v>
      </c>
      <c r="B11" s="6">
        <v>0.0</v>
      </c>
      <c r="C11" s="6">
        <v>0.0</v>
      </c>
      <c r="D11" s="6">
        <v>0.0</v>
      </c>
      <c r="E11" s="10">
        <v>365000.0</v>
      </c>
      <c r="F11" s="6">
        <v>365000.0</v>
      </c>
      <c r="G11" s="7">
        <f t="shared" si="6"/>
        <v>6224314</v>
      </c>
      <c r="I11" s="12">
        <v>365000.0</v>
      </c>
    </row>
    <row r="12">
      <c r="A12" s="5">
        <v>11.0</v>
      </c>
      <c r="B12" s="6">
        <v>85198.0</v>
      </c>
      <c r="C12" s="6">
        <v>4202.0</v>
      </c>
      <c r="D12" s="6">
        <f t="shared" ref="D12:D13" si="7">C12+B12</f>
        <v>89400</v>
      </c>
      <c r="E12" s="10">
        <v>685000.0</v>
      </c>
      <c r="F12" s="10">
        <f t="shared" ref="F12:F13" si="8">E12+B12</f>
        <v>770198</v>
      </c>
      <c r="G12" s="7">
        <f t="shared" si="6"/>
        <v>6994512</v>
      </c>
      <c r="H12" s="12">
        <v>685000.0</v>
      </c>
    </row>
    <row r="13">
      <c r="A13" s="5">
        <v>12.0</v>
      </c>
      <c r="B13" s="6">
        <v>221453.0</v>
      </c>
      <c r="C13" s="6">
        <v>24236.0</v>
      </c>
      <c r="D13" s="7">
        <f t="shared" si="7"/>
        <v>245689</v>
      </c>
      <c r="E13" s="6">
        <v>240000.0</v>
      </c>
      <c r="F13" s="7">
        <f t="shared" si="8"/>
        <v>461453</v>
      </c>
      <c r="G13" s="7">
        <f t="shared" si="6"/>
        <v>7455965</v>
      </c>
    </row>
    <row r="14">
      <c r="A14" s="5">
        <v>13.0</v>
      </c>
      <c r="B14" s="6">
        <v>251898.0</v>
      </c>
      <c r="C14" s="6">
        <v>22344.0</v>
      </c>
      <c r="D14" s="6">
        <f>B14+C14</f>
        <v>274242</v>
      </c>
      <c r="E14" s="6">
        <v>625000.0</v>
      </c>
      <c r="F14" s="7">
        <f>B14+E14</f>
        <v>876898</v>
      </c>
      <c r="G14" s="7">
        <f t="shared" si="6"/>
        <v>8332863</v>
      </c>
    </row>
    <row r="15">
      <c r="A15" s="3">
        <v>14.0</v>
      </c>
      <c r="B15" s="8"/>
      <c r="C15" s="8"/>
      <c r="D15" s="4"/>
      <c r="E15" s="8"/>
      <c r="F15" s="8"/>
      <c r="G15" s="4"/>
    </row>
    <row r="16">
      <c r="A16" s="5">
        <v>15.0</v>
      </c>
      <c r="B16" s="6">
        <v>112855.0</v>
      </c>
      <c r="C16" s="6">
        <v>5643.0</v>
      </c>
      <c r="D16" s="6">
        <f t="shared" ref="D16:D17" si="9">B16+C16</f>
        <v>118498</v>
      </c>
      <c r="E16" s="6">
        <v>525000.0</v>
      </c>
      <c r="F16" s="6">
        <f t="shared" ref="F16:F17" si="10">B16+E16</f>
        <v>637855</v>
      </c>
      <c r="G16" s="7">
        <f>G14+F16</f>
        <v>8970718</v>
      </c>
    </row>
    <row r="17">
      <c r="A17" s="5">
        <v>16.0</v>
      </c>
      <c r="B17" s="6">
        <v>70952.0</v>
      </c>
      <c r="C17" s="6">
        <v>3548.0</v>
      </c>
      <c r="D17" s="7">
        <f t="shared" si="9"/>
        <v>74500</v>
      </c>
      <c r="E17" s="6">
        <v>495000.0</v>
      </c>
      <c r="F17" s="7">
        <f t="shared" si="10"/>
        <v>565952</v>
      </c>
      <c r="G17" s="7">
        <f t="shared" ref="G17:G21" si="11">G16+F17</f>
        <v>9536670</v>
      </c>
    </row>
    <row r="18">
      <c r="A18" s="5">
        <v>17.0</v>
      </c>
      <c r="B18" s="6">
        <v>320856.0</v>
      </c>
      <c r="C18" s="6">
        <v>57536.0</v>
      </c>
      <c r="D18" s="7">
        <f t="shared" ref="D18:D20" si="12">C18+B18</f>
        <v>378392</v>
      </c>
      <c r="E18" s="6">
        <v>450000.0</v>
      </c>
      <c r="F18" s="7">
        <f t="shared" ref="F18:F20" si="13">E18+B18</f>
        <v>770856</v>
      </c>
      <c r="G18" s="7">
        <f t="shared" si="11"/>
        <v>10307526</v>
      </c>
    </row>
    <row r="19">
      <c r="A19" s="5">
        <v>18.0</v>
      </c>
      <c r="B19" s="6">
        <v>26095.0</v>
      </c>
      <c r="C19" s="6">
        <v>1305.0</v>
      </c>
      <c r="D19" s="7">
        <f t="shared" si="12"/>
        <v>27400</v>
      </c>
      <c r="E19" s="6">
        <v>360000.0</v>
      </c>
      <c r="F19" s="7">
        <f t="shared" si="13"/>
        <v>386095</v>
      </c>
      <c r="G19" s="7">
        <f t="shared" si="11"/>
        <v>10693621</v>
      </c>
    </row>
    <row r="20">
      <c r="A20" s="5">
        <v>19.0</v>
      </c>
      <c r="B20" s="6">
        <v>553023.0</v>
      </c>
      <c r="C20" s="6">
        <v>90811.0</v>
      </c>
      <c r="D20" s="6">
        <f t="shared" si="12"/>
        <v>643834</v>
      </c>
      <c r="E20" s="6">
        <v>573000.0</v>
      </c>
      <c r="F20" s="7">
        <f t="shared" si="13"/>
        <v>1126023</v>
      </c>
      <c r="G20" s="7">
        <f t="shared" si="11"/>
        <v>11819644</v>
      </c>
    </row>
    <row r="21">
      <c r="A21" s="5">
        <v>20.0</v>
      </c>
      <c r="B21" s="6">
        <v>205768.0</v>
      </c>
      <c r="C21" s="6">
        <v>13781.0</v>
      </c>
      <c r="D21" s="7">
        <f>B21+C21</f>
        <v>219549</v>
      </c>
      <c r="E21" s="10">
        <v>850000.0</v>
      </c>
      <c r="F21" s="7">
        <f>B21+E21</f>
        <v>1055768</v>
      </c>
      <c r="G21" s="7">
        <f t="shared" si="11"/>
        <v>12875412</v>
      </c>
      <c r="H21" s="12">
        <v>850000.0</v>
      </c>
    </row>
    <row r="22">
      <c r="A22" s="3">
        <v>21.0</v>
      </c>
      <c r="B22" s="8"/>
      <c r="C22" s="8"/>
      <c r="D22" s="4"/>
      <c r="E22" s="8"/>
      <c r="F22" s="4"/>
      <c r="G22" s="4"/>
    </row>
    <row r="23">
      <c r="A23" s="5">
        <v>22.0</v>
      </c>
      <c r="B23" s="6">
        <v>193385.0</v>
      </c>
      <c r="C23" s="6">
        <v>20944.0</v>
      </c>
      <c r="D23" s="7">
        <f>B23+C23</f>
        <v>214329</v>
      </c>
      <c r="E23" s="6">
        <v>270000.0</v>
      </c>
      <c r="F23" s="7">
        <f>B23+E23</f>
        <v>463385</v>
      </c>
      <c r="G23" s="7">
        <f>G21+F23</f>
        <v>13338797</v>
      </c>
    </row>
    <row r="24">
      <c r="A24" s="5">
        <v>23.0</v>
      </c>
      <c r="B24" s="6">
        <v>217717.0</v>
      </c>
      <c r="C24" s="6">
        <v>8804.0</v>
      </c>
      <c r="D24" s="7">
        <f t="shared" ref="D24:D28" si="14">C24+B24</f>
        <v>226521</v>
      </c>
      <c r="E24" s="6">
        <v>565000.0</v>
      </c>
      <c r="F24" s="7">
        <f t="shared" ref="F24:F28" si="15">E24+B24</f>
        <v>782717</v>
      </c>
      <c r="G24" s="7">
        <f t="shared" ref="G24:G28" si="16">G23+F24</f>
        <v>14121514</v>
      </c>
    </row>
    <row r="25">
      <c r="A25" s="5">
        <v>24.0</v>
      </c>
      <c r="B25" s="6">
        <v>71474.0</v>
      </c>
      <c r="C25" s="6">
        <v>2726.0</v>
      </c>
      <c r="D25" s="7">
        <f t="shared" si="14"/>
        <v>74200</v>
      </c>
      <c r="E25" s="6">
        <v>385000.0</v>
      </c>
      <c r="F25" s="7">
        <f t="shared" si="15"/>
        <v>456474</v>
      </c>
      <c r="G25" s="7">
        <f t="shared" si="16"/>
        <v>14577988</v>
      </c>
    </row>
    <row r="26">
      <c r="A26" s="5">
        <v>25.0</v>
      </c>
      <c r="B26" s="6">
        <v>149956.0</v>
      </c>
      <c r="C26" s="6">
        <v>12892.0</v>
      </c>
      <c r="D26" s="7">
        <f t="shared" si="14"/>
        <v>162848</v>
      </c>
      <c r="E26" s="6">
        <v>300000.0</v>
      </c>
      <c r="F26" s="7">
        <f t="shared" si="15"/>
        <v>449956</v>
      </c>
      <c r="G26" s="7">
        <f t="shared" si="16"/>
        <v>15027944</v>
      </c>
    </row>
    <row r="27">
      <c r="A27" s="5">
        <v>26.0</v>
      </c>
      <c r="B27" s="6">
        <v>329070.0</v>
      </c>
      <c r="C27" s="6">
        <v>19177.0</v>
      </c>
      <c r="D27" s="7">
        <f t="shared" si="14"/>
        <v>348247</v>
      </c>
      <c r="E27" s="6">
        <v>690000.0</v>
      </c>
      <c r="F27" s="7">
        <f t="shared" si="15"/>
        <v>1019070</v>
      </c>
      <c r="G27" s="7">
        <f t="shared" si="16"/>
        <v>16047014</v>
      </c>
    </row>
    <row r="28">
      <c r="A28" s="5">
        <v>27.0</v>
      </c>
      <c r="B28" s="6">
        <v>150744.0</v>
      </c>
      <c r="C28" s="6">
        <v>19055.0</v>
      </c>
      <c r="D28" s="6">
        <f t="shared" si="14"/>
        <v>169799</v>
      </c>
      <c r="E28" s="10">
        <v>700000.0</v>
      </c>
      <c r="F28" s="7">
        <f t="shared" si="15"/>
        <v>850744</v>
      </c>
      <c r="G28" s="7">
        <f t="shared" si="16"/>
        <v>16897758</v>
      </c>
      <c r="H28" s="12">
        <v>640000.0</v>
      </c>
    </row>
    <row r="29">
      <c r="A29" s="3">
        <v>28.0</v>
      </c>
      <c r="B29" s="8"/>
      <c r="C29" s="8"/>
      <c r="D29" s="4"/>
      <c r="E29" s="8"/>
      <c r="F29" s="4"/>
      <c r="G29" s="4"/>
    </row>
    <row r="30">
      <c r="A30" s="5">
        <v>29.0</v>
      </c>
      <c r="B30" s="6">
        <v>7429.0</v>
      </c>
      <c r="C30" s="6">
        <v>371.0</v>
      </c>
      <c r="D30" s="7">
        <f t="shared" ref="D30:D31" si="17">C30+B30</f>
        <v>7800</v>
      </c>
      <c r="E30" s="6">
        <v>430000.0</v>
      </c>
      <c r="F30" s="7">
        <f t="shared" ref="F30:F31" si="18">E30+B30</f>
        <v>437429</v>
      </c>
      <c r="G30" s="7">
        <f>G28+F30</f>
        <v>17335187</v>
      </c>
    </row>
    <row r="31">
      <c r="A31" s="5">
        <v>30.0</v>
      </c>
      <c r="B31" s="6">
        <v>118794.0</v>
      </c>
      <c r="C31" s="6">
        <v>8651.0</v>
      </c>
      <c r="D31" s="7">
        <f t="shared" si="17"/>
        <v>127445</v>
      </c>
      <c r="E31" s="6">
        <v>360000.0</v>
      </c>
      <c r="F31" s="7">
        <f t="shared" si="18"/>
        <v>478794</v>
      </c>
      <c r="G31" s="7">
        <f>G30+F31</f>
        <v>17813981</v>
      </c>
    </row>
    <row r="32">
      <c r="A32" s="5" t="s">
        <v>12</v>
      </c>
      <c r="B32" s="6">
        <f>SUM(B2:B31)</f>
        <v>4968981</v>
      </c>
      <c r="C32" s="6"/>
      <c r="D32" s="6"/>
      <c r="E32" s="6"/>
      <c r="F32" s="6"/>
      <c r="G32" s="7"/>
    </row>
    <row r="33">
      <c r="A33" s="13"/>
      <c r="B33" s="14"/>
      <c r="C33" s="14"/>
      <c r="D33" s="15"/>
      <c r="E33" s="14">
        <f>SUM(E2:E31)</f>
        <v>12845000</v>
      </c>
      <c r="F33" s="15"/>
      <c r="G33" s="15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>
      <c r="A2" s="5">
        <v>1.0</v>
      </c>
      <c r="B2" s="6">
        <v>157116.0</v>
      </c>
      <c r="C2" s="6">
        <v>14959.0</v>
      </c>
      <c r="D2" s="7">
        <f t="shared" ref="D2:D4" si="1">C2+B2</f>
        <v>172075</v>
      </c>
      <c r="E2" s="6">
        <v>465000.0</v>
      </c>
      <c r="F2" s="7">
        <f t="shared" ref="F2:F3" si="2">E2+B2</f>
        <v>622116</v>
      </c>
      <c r="G2" s="6">
        <f>F2</f>
        <v>622116</v>
      </c>
    </row>
    <row r="3">
      <c r="A3" s="5">
        <v>2.0</v>
      </c>
      <c r="B3" s="6">
        <v>201199.0</v>
      </c>
      <c r="C3" s="6">
        <v>34801.0</v>
      </c>
      <c r="D3" s="7">
        <f t="shared" si="1"/>
        <v>236000</v>
      </c>
      <c r="E3" s="6">
        <v>355000.0</v>
      </c>
      <c r="F3" s="7">
        <f t="shared" si="2"/>
        <v>556199</v>
      </c>
      <c r="G3" s="7">
        <f t="shared" ref="G3:G5" si="3">G2+F3</f>
        <v>1178315</v>
      </c>
    </row>
    <row r="4">
      <c r="A4" s="5">
        <v>3.0</v>
      </c>
      <c r="B4" s="6">
        <v>121329.0</v>
      </c>
      <c r="C4" s="6">
        <v>12455.0</v>
      </c>
      <c r="D4" s="7">
        <f t="shared" si="1"/>
        <v>133784</v>
      </c>
      <c r="E4" s="6">
        <v>283000.0</v>
      </c>
      <c r="F4" s="7">
        <f>E4+B3</f>
        <v>484199</v>
      </c>
      <c r="G4" s="7">
        <f t="shared" si="3"/>
        <v>1662514</v>
      </c>
    </row>
    <row r="5">
      <c r="A5" s="5">
        <v>4.0</v>
      </c>
      <c r="B5" s="6">
        <v>112008.0</v>
      </c>
      <c r="C5" s="6">
        <v>6782.0</v>
      </c>
      <c r="D5" s="7">
        <f>B5+C5</f>
        <v>118790</v>
      </c>
      <c r="E5" s="6">
        <v>665000.0</v>
      </c>
      <c r="F5" s="7">
        <f>B5+E5</f>
        <v>777008</v>
      </c>
      <c r="G5" s="7">
        <f t="shared" si="3"/>
        <v>2439522</v>
      </c>
    </row>
    <row r="6">
      <c r="A6" s="3">
        <v>5.0</v>
      </c>
      <c r="B6" s="8"/>
      <c r="C6" s="8"/>
      <c r="D6" s="4"/>
      <c r="E6" s="8"/>
      <c r="F6" s="4"/>
      <c r="G6" s="4"/>
    </row>
    <row r="7">
      <c r="A7" s="5">
        <v>6.0</v>
      </c>
      <c r="B7" s="6">
        <v>6667.0</v>
      </c>
      <c r="C7" s="6">
        <v>333.0</v>
      </c>
      <c r="D7" s="7">
        <f t="shared" ref="D7:D10" si="4">C7+B7</f>
        <v>7000</v>
      </c>
      <c r="E7" s="6">
        <v>338000.0</v>
      </c>
      <c r="F7" s="7">
        <f t="shared" ref="F7:F10" si="5">E7+B7</f>
        <v>344667</v>
      </c>
      <c r="G7" s="7">
        <f>F7+G5</f>
        <v>2784189</v>
      </c>
    </row>
    <row r="8">
      <c r="A8" s="5">
        <v>7.0</v>
      </c>
      <c r="B8" s="6">
        <v>164046.0</v>
      </c>
      <c r="C8" s="6">
        <v>8202.0</v>
      </c>
      <c r="D8" s="6">
        <f t="shared" si="4"/>
        <v>172248</v>
      </c>
      <c r="E8" s="6">
        <v>485000.0</v>
      </c>
      <c r="F8" s="7">
        <f t="shared" si="5"/>
        <v>649046</v>
      </c>
      <c r="G8" s="7">
        <f t="shared" ref="G8:G12" si="6">G7+F8</f>
        <v>3433235</v>
      </c>
    </row>
    <row r="9">
      <c r="A9" s="5">
        <v>8.0</v>
      </c>
      <c r="B9" s="6">
        <v>330778.0</v>
      </c>
      <c r="C9" s="6">
        <v>16539.0</v>
      </c>
      <c r="D9" s="7">
        <f t="shared" si="4"/>
        <v>347317</v>
      </c>
      <c r="E9" s="6">
        <v>355000.0</v>
      </c>
      <c r="F9" s="7">
        <f t="shared" si="5"/>
        <v>685778</v>
      </c>
      <c r="G9" s="7">
        <f t="shared" si="6"/>
        <v>4119013</v>
      </c>
    </row>
    <row r="10">
      <c r="A10" s="5">
        <v>9.0</v>
      </c>
      <c r="B10" s="6">
        <v>612148.0</v>
      </c>
      <c r="C10" s="6">
        <v>31837.0</v>
      </c>
      <c r="D10" s="6">
        <f t="shared" si="4"/>
        <v>643985</v>
      </c>
      <c r="E10" s="6">
        <v>345000.0</v>
      </c>
      <c r="F10" s="6">
        <f t="shared" si="5"/>
        <v>957148</v>
      </c>
      <c r="G10" s="6">
        <f t="shared" si="6"/>
        <v>5076161</v>
      </c>
    </row>
    <row r="11">
      <c r="A11" s="5">
        <v>10.0</v>
      </c>
      <c r="B11" s="6">
        <v>213486.0</v>
      </c>
      <c r="C11" s="6">
        <v>19813.0</v>
      </c>
      <c r="D11" s="6">
        <f>B11+C11</f>
        <v>233299</v>
      </c>
      <c r="E11" s="6">
        <v>500000.0</v>
      </c>
      <c r="F11" s="6">
        <f>B11+E11</f>
        <v>713486</v>
      </c>
      <c r="G11" s="7">
        <f t="shared" si="6"/>
        <v>5789647</v>
      </c>
    </row>
    <row r="12">
      <c r="A12" s="5">
        <v>11.0</v>
      </c>
      <c r="B12" s="6">
        <v>0.0</v>
      </c>
      <c r="C12" s="6">
        <v>0.0</v>
      </c>
      <c r="D12" s="6">
        <v>0.0</v>
      </c>
      <c r="E12" s="6">
        <v>415000.0</v>
      </c>
      <c r="F12" s="6">
        <v>415000.0</v>
      </c>
      <c r="G12" s="7">
        <f t="shared" si="6"/>
        <v>6204647</v>
      </c>
    </row>
    <row r="13">
      <c r="A13" s="3">
        <v>12.0</v>
      </c>
      <c r="B13" s="8"/>
      <c r="C13" s="8"/>
      <c r="D13" s="4"/>
      <c r="E13" s="8"/>
      <c r="F13" s="4"/>
      <c r="G13" s="4"/>
    </row>
    <row r="14">
      <c r="A14" s="3">
        <v>13.0</v>
      </c>
      <c r="B14" s="8"/>
      <c r="C14" s="8"/>
      <c r="D14" s="8"/>
      <c r="E14" s="8"/>
      <c r="F14" s="4"/>
      <c r="G14" s="4"/>
    </row>
    <row r="15">
      <c r="A15" s="5">
        <v>14.0</v>
      </c>
      <c r="B15" s="6">
        <v>334527.0</v>
      </c>
      <c r="C15" s="6">
        <v>23750.0</v>
      </c>
      <c r="D15" s="7">
        <f t="shared" ref="D15:D18" si="7">B15+C15</f>
        <v>358277</v>
      </c>
      <c r="E15" s="6">
        <v>110000.0</v>
      </c>
      <c r="F15" s="6">
        <f t="shared" ref="F15:F18" si="8">B15+E15</f>
        <v>444527</v>
      </c>
      <c r="G15" s="7">
        <f>G12+F15</f>
        <v>6649174</v>
      </c>
    </row>
    <row r="16">
      <c r="A16" s="5">
        <v>15.0</v>
      </c>
      <c r="B16" s="6">
        <v>49748.0</v>
      </c>
      <c r="C16" s="6">
        <v>6052.0</v>
      </c>
      <c r="D16" s="6">
        <f t="shared" si="7"/>
        <v>55800</v>
      </c>
      <c r="E16" s="6">
        <v>20000.0</v>
      </c>
      <c r="F16" s="6">
        <f t="shared" si="8"/>
        <v>69748</v>
      </c>
      <c r="G16" s="7">
        <f t="shared" ref="G16:G19" si="9">G15+F16</f>
        <v>6718922</v>
      </c>
    </row>
    <row r="17">
      <c r="A17" s="5">
        <v>16.0</v>
      </c>
      <c r="B17" s="6">
        <v>479453.0</v>
      </c>
      <c r="C17" s="6">
        <v>54406.0</v>
      </c>
      <c r="D17" s="7">
        <f t="shared" si="7"/>
        <v>533859</v>
      </c>
      <c r="E17" s="6">
        <v>695000.0</v>
      </c>
      <c r="F17" s="7">
        <f t="shared" si="8"/>
        <v>1174453</v>
      </c>
      <c r="G17" s="7">
        <f t="shared" si="9"/>
        <v>7893375</v>
      </c>
    </row>
    <row r="18">
      <c r="A18" s="5">
        <v>17.0</v>
      </c>
      <c r="B18" s="6">
        <v>263418.0</v>
      </c>
      <c r="C18" s="6">
        <v>48583.0</v>
      </c>
      <c r="D18" s="7">
        <f t="shared" si="7"/>
        <v>312001</v>
      </c>
      <c r="E18" s="6">
        <v>445000.0</v>
      </c>
      <c r="F18" s="7">
        <f t="shared" si="8"/>
        <v>708418</v>
      </c>
      <c r="G18" s="7">
        <f t="shared" si="9"/>
        <v>8601793</v>
      </c>
    </row>
    <row r="19">
      <c r="A19" s="5">
        <v>18.0</v>
      </c>
      <c r="B19" s="6">
        <v>290066.0</v>
      </c>
      <c r="C19" s="6">
        <v>26853.0</v>
      </c>
      <c r="D19" s="7">
        <f>C19+B19</f>
        <v>316919</v>
      </c>
      <c r="E19" s="6">
        <v>605000.0</v>
      </c>
      <c r="F19" s="7">
        <f>E19+B19</f>
        <v>895066</v>
      </c>
      <c r="G19" s="7">
        <f t="shared" si="9"/>
        <v>9496859</v>
      </c>
    </row>
    <row r="20">
      <c r="A20" s="3">
        <v>19.0</v>
      </c>
      <c r="B20" s="8"/>
      <c r="C20" s="8"/>
      <c r="D20" s="8"/>
      <c r="E20" s="8"/>
      <c r="F20" s="4"/>
      <c r="G20" s="4"/>
    </row>
    <row r="21">
      <c r="A21" s="5">
        <v>20.0</v>
      </c>
      <c r="B21" s="6">
        <v>230231.0</v>
      </c>
      <c r="C21" s="6">
        <v>25135.0</v>
      </c>
      <c r="D21" s="7">
        <f t="shared" ref="D21:D26" si="10">C21+B21</f>
        <v>255366</v>
      </c>
      <c r="E21" s="6">
        <v>130000.0</v>
      </c>
      <c r="F21" s="7">
        <f t="shared" ref="F21:F26" si="11">E21+B21</f>
        <v>360231</v>
      </c>
      <c r="G21" s="7">
        <f>G19+F21</f>
        <v>9857090</v>
      </c>
    </row>
    <row r="22">
      <c r="A22" s="5">
        <v>21.0</v>
      </c>
      <c r="B22" s="6">
        <v>133836.0</v>
      </c>
      <c r="C22" s="6">
        <v>13536.0</v>
      </c>
      <c r="D22" s="7">
        <f t="shared" si="10"/>
        <v>147372</v>
      </c>
      <c r="E22" s="6">
        <v>500000.0</v>
      </c>
      <c r="F22" s="7">
        <f t="shared" si="11"/>
        <v>633836</v>
      </c>
      <c r="G22" s="7">
        <f t="shared" ref="G22:G26" si="12">G21+F22</f>
        <v>10490926</v>
      </c>
    </row>
    <row r="23">
      <c r="A23" s="5">
        <v>22.0</v>
      </c>
      <c r="B23" s="6">
        <v>33529.0</v>
      </c>
      <c r="C23" s="6">
        <v>6371.0</v>
      </c>
      <c r="D23" s="7">
        <f t="shared" si="10"/>
        <v>39900</v>
      </c>
      <c r="E23" s="6">
        <v>300000.0</v>
      </c>
      <c r="F23" s="7">
        <f t="shared" si="11"/>
        <v>333529</v>
      </c>
      <c r="G23" s="7">
        <f t="shared" si="12"/>
        <v>10824455</v>
      </c>
    </row>
    <row r="24">
      <c r="A24" s="5">
        <v>23.0</v>
      </c>
      <c r="B24" s="6">
        <v>432759.0</v>
      </c>
      <c r="C24" s="6">
        <v>41037.0</v>
      </c>
      <c r="D24" s="7">
        <f t="shared" si="10"/>
        <v>473796</v>
      </c>
      <c r="E24" s="6">
        <v>480000.0</v>
      </c>
      <c r="F24" s="7">
        <f t="shared" si="11"/>
        <v>912759</v>
      </c>
      <c r="G24" s="7">
        <f t="shared" si="12"/>
        <v>11737214</v>
      </c>
    </row>
    <row r="25">
      <c r="A25" s="5">
        <v>24.0</v>
      </c>
      <c r="B25" s="6">
        <v>72436.0</v>
      </c>
      <c r="C25" s="6">
        <v>3963.0</v>
      </c>
      <c r="D25" s="7">
        <f t="shared" si="10"/>
        <v>76399</v>
      </c>
      <c r="E25" s="6">
        <v>460000.0</v>
      </c>
      <c r="F25" s="7">
        <f t="shared" si="11"/>
        <v>532436</v>
      </c>
      <c r="G25" s="7">
        <f t="shared" si="12"/>
        <v>12269650</v>
      </c>
    </row>
    <row r="26">
      <c r="A26" s="5">
        <v>25.0</v>
      </c>
      <c r="B26" s="6">
        <v>204109.0</v>
      </c>
      <c r="C26" s="6">
        <v>10755.0</v>
      </c>
      <c r="D26" s="7">
        <f t="shared" si="10"/>
        <v>214864</v>
      </c>
      <c r="E26" s="6">
        <v>585000.0</v>
      </c>
      <c r="F26" s="7">
        <f t="shared" si="11"/>
        <v>789109</v>
      </c>
      <c r="G26" s="7">
        <f t="shared" si="12"/>
        <v>13058759</v>
      </c>
    </row>
    <row r="27">
      <c r="A27" s="3">
        <v>26.0</v>
      </c>
      <c r="B27" s="8"/>
      <c r="C27" s="8"/>
      <c r="D27" s="4"/>
      <c r="E27" s="8"/>
      <c r="F27" s="4"/>
      <c r="G27" s="4"/>
    </row>
    <row r="28">
      <c r="A28" s="5">
        <v>27.0</v>
      </c>
      <c r="B28" s="6">
        <v>62762.0</v>
      </c>
      <c r="C28" s="6">
        <v>11138.0</v>
      </c>
      <c r="D28" s="6">
        <f t="shared" ref="D28:D32" si="13">C28+B28</f>
        <v>73900</v>
      </c>
      <c r="E28" s="6">
        <v>470000.0</v>
      </c>
      <c r="F28" s="7">
        <f t="shared" ref="F28:F32" si="14">E28+B28</f>
        <v>532762</v>
      </c>
      <c r="G28" s="7">
        <f>G26+F28</f>
        <v>13591521</v>
      </c>
    </row>
    <row r="29">
      <c r="A29" s="5">
        <v>28.0</v>
      </c>
      <c r="B29" s="6">
        <v>220523.0</v>
      </c>
      <c r="C29" s="6">
        <v>17074.0</v>
      </c>
      <c r="D29" s="7">
        <f t="shared" si="13"/>
        <v>237597</v>
      </c>
      <c r="E29" s="6">
        <v>545000.0</v>
      </c>
      <c r="F29" s="7">
        <f t="shared" si="14"/>
        <v>765523</v>
      </c>
      <c r="G29" s="7">
        <f t="shared" ref="G29:G32" si="15">G28+F29</f>
        <v>14357044</v>
      </c>
    </row>
    <row r="30">
      <c r="A30" s="5">
        <v>29.0</v>
      </c>
      <c r="B30" s="6">
        <v>127640.0</v>
      </c>
      <c r="C30" s="6">
        <v>18135.0</v>
      </c>
      <c r="D30" s="7">
        <f t="shared" si="13"/>
        <v>145775</v>
      </c>
      <c r="E30" s="6">
        <v>525000.0</v>
      </c>
      <c r="F30" s="7">
        <f t="shared" si="14"/>
        <v>652640</v>
      </c>
      <c r="G30" s="7">
        <f t="shared" si="15"/>
        <v>15009684</v>
      </c>
    </row>
    <row r="31">
      <c r="A31" s="5">
        <v>30.0</v>
      </c>
      <c r="B31" s="6">
        <v>200340.0</v>
      </c>
      <c r="C31" s="6">
        <v>25158.0</v>
      </c>
      <c r="D31" s="7">
        <f t="shared" si="13"/>
        <v>225498</v>
      </c>
      <c r="E31" s="6">
        <v>552000.0</v>
      </c>
      <c r="F31" s="7">
        <f t="shared" si="14"/>
        <v>752340</v>
      </c>
      <c r="G31" s="7">
        <f t="shared" si="15"/>
        <v>15762024</v>
      </c>
    </row>
    <row r="32">
      <c r="A32" s="5">
        <v>31.0</v>
      </c>
      <c r="B32" s="6">
        <v>4762.0</v>
      </c>
      <c r="C32" s="6">
        <v>238.0</v>
      </c>
      <c r="D32" s="6">
        <f t="shared" si="13"/>
        <v>5000</v>
      </c>
      <c r="E32" s="6">
        <v>660000.0</v>
      </c>
      <c r="F32" s="6">
        <f t="shared" si="14"/>
        <v>664762</v>
      </c>
      <c r="G32" s="7">
        <f t="shared" si="15"/>
        <v>16426786</v>
      </c>
    </row>
    <row r="33">
      <c r="A33" s="5" t="s">
        <v>12</v>
      </c>
      <c r="B33" s="6">
        <f t="shared" ref="B33:F33" si="16">SUM(B2:B32)</f>
        <v>5058916</v>
      </c>
      <c r="C33" s="6">
        <f t="shared" si="16"/>
        <v>477905</v>
      </c>
      <c r="D33" s="6">
        <f t="shared" si="16"/>
        <v>5536821</v>
      </c>
      <c r="E33" s="6">
        <f t="shared" si="16"/>
        <v>11288000</v>
      </c>
      <c r="F33" s="6">
        <f t="shared" si="16"/>
        <v>16426786</v>
      </c>
      <c r="G33" s="7"/>
    </row>
    <row r="34">
      <c r="A34" s="13"/>
      <c r="B34" s="14"/>
      <c r="C34" s="14"/>
      <c r="D34" s="15"/>
      <c r="E34" s="14"/>
      <c r="F34" s="15"/>
      <c r="G34" s="15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>
      <c r="A2" s="5">
        <v>1.0</v>
      </c>
      <c r="B2" s="6">
        <v>326453.0</v>
      </c>
      <c r="C2" s="6">
        <v>35701.0</v>
      </c>
      <c r="D2" s="7">
        <f>C2+B2</f>
        <v>362154</v>
      </c>
      <c r="E2" s="6">
        <v>665000.0</v>
      </c>
      <c r="F2" s="7">
        <f>E2+B2</f>
        <v>991453</v>
      </c>
      <c r="G2" s="6">
        <f>F2</f>
        <v>991453</v>
      </c>
    </row>
    <row r="3">
      <c r="A3" s="3">
        <v>2.0</v>
      </c>
      <c r="B3" s="8"/>
      <c r="C3" s="8"/>
      <c r="D3" s="4"/>
      <c r="E3" s="8"/>
      <c r="F3" s="4"/>
      <c r="G3" s="4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>
      <c r="A4" s="3">
        <v>3.0</v>
      </c>
      <c r="B4" s="8"/>
      <c r="C4" s="8"/>
      <c r="D4" s="4"/>
      <c r="E4" s="8"/>
      <c r="F4" s="4"/>
      <c r="G4" s="4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>
      <c r="A5" s="5">
        <v>4.0</v>
      </c>
      <c r="B5" s="6">
        <v>518575.0</v>
      </c>
      <c r="C5" s="6">
        <v>56423.0</v>
      </c>
      <c r="D5" s="7">
        <f>C5+B5</f>
        <v>574998</v>
      </c>
      <c r="E5" s="6">
        <v>530000.0</v>
      </c>
      <c r="F5" s="7">
        <f>E5+B5</f>
        <v>1048575</v>
      </c>
      <c r="G5" s="7">
        <f>G2+F5</f>
        <v>2040028</v>
      </c>
      <c r="H5" s="12">
        <v>595000.0</v>
      </c>
    </row>
    <row r="6">
      <c r="A6" s="5">
        <v>5.0</v>
      </c>
      <c r="B6" s="6">
        <v>45142.0</v>
      </c>
      <c r="C6" s="6">
        <v>2257.0</v>
      </c>
      <c r="D6" s="7">
        <f t="shared" ref="D6:D7" si="1">B6+C6</f>
        <v>47399</v>
      </c>
      <c r="E6" s="6">
        <v>630000.0</v>
      </c>
      <c r="F6" s="7">
        <f t="shared" ref="F6:F7" si="2">B6+E6</f>
        <v>675142</v>
      </c>
      <c r="G6" s="7">
        <f t="shared" ref="G6:G9" si="3">G5+F6</f>
        <v>2715170</v>
      </c>
    </row>
    <row r="7">
      <c r="A7" s="5">
        <v>6.0</v>
      </c>
      <c r="B7" s="6">
        <v>29938.0</v>
      </c>
      <c r="C7" s="6">
        <v>2262.0</v>
      </c>
      <c r="D7" s="7">
        <f t="shared" si="1"/>
        <v>32200</v>
      </c>
      <c r="E7" s="6">
        <v>385000.0</v>
      </c>
      <c r="F7" s="7">
        <f t="shared" si="2"/>
        <v>414938</v>
      </c>
      <c r="G7" s="7">
        <f t="shared" si="3"/>
        <v>3130108</v>
      </c>
    </row>
    <row r="8">
      <c r="A8" s="5">
        <v>7.0</v>
      </c>
      <c r="B8" s="6">
        <v>0.0</v>
      </c>
      <c r="C8" s="6">
        <v>0.0</v>
      </c>
      <c r="D8" s="6">
        <v>0.0</v>
      </c>
      <c r="E8" s="6">
        <v>567000.0</v>
      </c>
      <c r="F8" s="6">
        <v>567000.0</v>
      </c>
      <c r="G8" s="7">
        <f t="shared" si="3"/>
        <v>3697108</v>
      </c>
    </row>
    <row r="9">
      <c r="A9" s="5">
        <v>8.0</v>
      </c>
      <c r="B9" s="6">
        <v>222510.0</v>
      </c>
      <c r="C9" s="6">
        <v>23997.0</v>
      </c>
      <c r="D9" s="7">
        <f>C9+B9</f>
        <v>246507</v>
      </c>
      <c r="E9" s="6">
        <v>910000.0</v>
      </c>
      <c r="F9" s="7">
        <f>E9+B9</f>
        <v>1132510</v>
      </c>
      <c r="G9" s="7">
        <f t="shared" si="3"/>
        <v>4829618</v>
      </c>
    </row>
    <row r="10">
      <c r="A10" s="3">
        <v>9.0</v>
      </c>
      <c r="B10" s="8"/>
      <c r="C10" s="8"/>
      <c r="D10" s="8"/>
      <c r="E10" s="8"/>
      <c r="F10" s="8"/>
      <c r="G10" s="8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>
      <c r="A11" s="5">
        <v>10.0</v>
      </c>
      <c r="B11" s="6">
        <v>302717.0</v>
      </c>
      <c r="C11" s="6">
        <v>27983.0</v>
      </c>
      <c r="D11" s="6">
        <f t="shared" ref="D11:D14" si="4">C11+B11</f>
        <v>330700</v>
      </c>
      <c r="E11" s="6">
        <v>520000.0</v>
      </c>
      <c r="F11" s="6">
        <f t="shared" ref="F11:F16" si="5">E11+B11</f>
        <v>822717</v>
      </c>
      <c r="G11" s="7">
        <f>G9+F11</f>
        <v>5652335</v>
      </c>
    </row>
    <row r="12">
      <c r="A12" s="5">
        <v>11.0</v>
      </c>
      <c r="B12" s="6">
        <v>141037.0</v>
      </c>
      <c r="C12" s="6">
        <v>16463.0</v>
      </c>
      <c r="D12" s="6">
        <f t="shared" si="4"/>
        <v>157500</v>
      </c>
      <c r="E12" s="6">
        <v>400000.0</v>
      </c>
      <c r="F12" s="6">
        <f t="shared" si="5"/>
        <v>541037</v>
      </c>
      <c r="G12" s="7">
        <f t="shared" ref="G12:G16" si="6">G11+F12</f>
        <v>6193372</v>
      </c>
    </row>
    <row r="13">
      <c r="A13" s="5">
        <v>12.0</v>
      </c>
      <c r="B13" s="6">
        <v>426128.0</v>
      </c>
      <c r="C13" s="6">
        <v>41771.0</v>
      </c>
      <c r="D13" s="7">
        <f t="shared" si="4"/>
        <v>467899</v>
      </c>
      <c r="E13" s="6">
        <v>380000.0</v>
      </c>
      <c r="F13" s="7">
        <f t="shared" si="5"/>
        <v>806128</v>
      </c>
      <c r="G13" s="7">
        <f t="shared" si="6"/>
        <v>6999500</v>
      </c>
    </row>
    <row r="14">
      <c r="A14" s="5">
        <v>13.0</v>
      </c>
      <c r="B14" s="6">
        <v>13333.0</v>
      </c>
      <c r="C14" s="6">
        <v>667.0</v>
      </c>
      <c r="D14" s="6">
        <f t="shared" si="4"/>
        <v>14000</v>
      </c>
      <c r="E14" s="6">
        <v>435000.0</v>
      </c>
      <c r="F14" s="7">
        <f t="shared" si="5"/>
        <v>448333</v>
      </c>
      <c r="G14" s="7">
        <f t="shared" si="6"/>
        <v>7447833</v>
      </c>
    </row>
    <row r="15">
      <c r="A15" s="5">
        <v>14.0</v>
      </c>
      <c r="B15" s="6">
        <v>17670.0</v>
      </c>
      <c r="C15" s="6">
        <v>1225.0</v>
      </c>
      <c r="D15" s="7">
        <f>B15+C15</f>
        <v>18895</v>
      </c>
      <c r="E15" s="6">
        <v>425000.0</v>
      </c>
      <c r="F15" s="6">
        <f t="shared" si="5"/>
        <v>442670</v>
      </c>
      <c r="G15" s="7">
        <f t="shared" si="6"/>
        <v>7890503</v>
      </c>
    </row>
    <row r="16">
      <c r="A16" s="5">
        <v>15.0</v>
      </c>
      <c r="B16" s="6">
        <v>524122.0</v>
      </c>
      <c r="C16" s="6">
        <v>34972.0</v>
      </c>
      <c r="D16" s="6">
        <f>C16+B16</f>
        <v>559094</v>
      </c>
      <c r="E16" s="6">
        <v>850000.0</v>
      </c>
      <c r="F16" s="6">
        <f t="shared" si="5"/>
        <v>1374122</v>
      </c>
      <c r="G16" s="7">
        <f t="shared" si="6"/>
        <v>9264625</v>
      </c>
    </row>
    <row r="17">
      <c r="A17" s="3">
        <v>16.0</v>
      </c>
      <c r="B17" s="8"/>
      <c r="C17" s="8"/>
      <c r="D17" s="4"/>
      <c r="E17" s="8"/>
      <c r="F17" s="4"/>
      <c r="G17" s="4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>
      <c r="A18" s="3">
        <v>17.0</v>
      </c>
      <c r="B18" s="8"/>
      <c r="C18" s="8"/>
      <c r="D18" s="4"/>
      <c r="E18" s="8"/>
      <c r="F18" s="4"/>
      <c r="G18" s="4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>
      <c r="A19" s="5">
        <v>18.0</v>
      </c>
      <c r="B19" s="6">
        <v>154852.0</v>
      </c>
      <c r="C19" s="6">
        <v>8355.0</v>
      </c>
      <c r="D19" s="7">
        <f t="shared" ref="D19:D23" si="7">C19+B19</f>
        <v>163207</v>
      </c>
      <c r="E19" s="6">
        <v>370000.0</v>
      </c>
      <c r="F19" s="7">
        <f t="shared" ref="F19:F23" si="8">E19+B19</f>
        <v>524852</v>
      </c>
      <c r="G19" s="7">
        <f>G16+F19</f>
        <v>9789477</v>
      </c>
    </row>
    <row r="20">
      <c r="A20" s="5">
        <v>19.0</v>
      </c>
      <c r="B20" s="6">
        <v>18406.0</v>
      </c>
      <c r="C20" s="6">
        <v>3497.0</v>
      </c>
      <c r="D20" s="6">
        <f t="shared" si="7"/>
        <v>21903</v>
      </c>
      <c r="E20" s="6">
        <v>485000.0</v>
      </c>
      <c r="F20" s="7">
        <f t="shared" si="8"/>
        <v>503406</v>
      </c>
      <c r="G20" s="7">
        <f t="shared" ref="G20:G23" si="9">G19+F20</f>
        <v>10292883</v>
      </c>
    </row>
    <row r="21">
      <c r="A21" s="5">
        <v>20.0</v>
      </c>
      <c r="B21" s="6">
        <v>23333.0</v>
      </c>
      <c r="C21" s="6">
        <v>1167.0</v>
      </c>
      <c r="D21" s="7">
        <f t="shared" si="7"/>
        <v>24500</v>
      </c>
      <c r="E21" s="6">
        <v>395000.0</v>
      </c>
      <c r="F21" s="7">
        <f t="shared" si="8"/>
        <v>418333</v>
      </c>
      <c r="G21" s="7">
        <f t="shared" si="9"/>
        <v>10711216</v>
      </c>
    </row>
    <row r="22">
      <c r="A22" s="5">
        <v>21.0</v>
      </c>
      <c r="B22" s="6">
        <v>305306.0</v>
      </c>
      <c r="C22" s="6">
        <v>15265.0</v>
      </c>
      <c r="D22" s="7">
        <f t="shared" si="7"/>
        <v>320571</v>
      </c>
      <c r="E22" s="6">
        <v>225000.0</v>
      </c>
      <c r="F22" s="7">
        <f t="shared" si="8"/>
        <v>530306</v>
      </c>
      <c r="G22" s="7">
        <f t="shared" si="9"/>
        <v>11241522</v>
      </c>
    </row>
    <row r="23">
      <c r="A23" s="5">
        <v>22.0</v>
      </c>
      <c r="B23" s="6">
        <v>208868.0</v>
      </c>
      <c r="C23" s="6">
        <v>21032.0</v>
      </c>
      <c r="D23" s="7">
        <f t="shared" si="7"/>
        <v>229900</v>
      </c>
      <c r="E23" s="6">
        <v>480000.0</v>
      </c>
      <c r="F23" s="7">
        <f t="shared" si="8"/>
        <v>688868</v>
      </c>
      <c r="G23" s="7">
        <f t="shared" si="9"/>
        <v>11930390</v>
      </c>
    </row>
    <row r="24">
      <c r="A24" s="3">
        <v>23.0</v>
      </c>
      <c r="B24" s="8"/>
      <c r="C24" s="8"/>
      <c r="D24" s="4"/>
      <c r="E24" s="8"/>
      <c r="F24" s="4"/>
      <c r="G24" s="4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>
      <c r="A25" s="5">
        <v>24.0</v>
      </c>
      <c r="B25" s="6">
        <v>196236.0</v>
      </c>
      <c r="C25" s="6">
        <v>9812.0</v>
      </c>
      <c r="D25" s="7">
        <f t="shared" ref="D25:D28" si="10">C25+B25</f>
        <v>206048</v>
      </c>
      <c r="E25" s="6">
        <v>255000.0</v>
      </c>
      <c r="F25" s="7">
        <f t="shared" ref="F25:F28" si="11">E25+B25</f>
        <v>451236</v>
      </c>
      <c r="G25" s="7">
        <f>G23+F25</f>
        <v>12381626</v>
      </c>
    </row>
    <row r="26">
      <c r="A26" s="5">
        <v>25.0</v>
      </c>
      <c r="B26" s="6">
        <v>90190.0</v>
      </c>
      <c r="C26" s="6">
        <v>4510.0</v>
      </c>
      <c r="D26" s="7">
        <f t="shared" si="10"/>
        <v>94700</v>
      </c>
      <c r="E26" s="6">
        <v>375000.0</v>
      </c>
      <c r="F26" s="7">
        <f t="shared" si="11"/>
        <v>465190</v>
      </c>
      <c r="G26" s="7">
        <f t="shared" ref="G26:G30" si="12">G25+F26</f>
        <v>12846816</v>
      </c>
    </row>
    <row r="27">
      <c r="A27" s="5">
        <v>26.0</v>
      </c>
      <c r="B27" s="6">
        <v>251737.0</v>
      </c>
      <c r="C27" s="6">
        <v>21113.0</v>
      </c>
      <c r="D27" s="7">
        <f t="shared" si="10"/>
        <v>272850</v>
      </c>
      <c r="E27" s="6">
        <v>472000.0</v>
      </c>
      <c r="F27" s="7">
        <f t="shared" si="11"/>
        <v>723737</v>
      </c>
      <c r="G27" s="7">
        <f t="shared" si="12"/>
        <v>13570553</v>
      </c>
    </row>
    <row r="28">
      <c r="A28" s="5">
        <v>27.0</v>
      </c>
      <c r="B28" s="6">
        <v>308770.0</v>
      </c>
      <c r="C28" s="6">
        <v>18613.0</v>
      </c>
      <c r="D28" s="6">
        <f t="shared" si="10"/>
        <v>327383</v>
      </c>
      <c r="E28" s="6">
        <v>517000.0</v>
      </c>
      <c r="F28" s="7">
        <f t="shared" si="11"/>
        <v>825770</v>
      </c>
      <c r="G28" s="7">
        <f t="shared" si="12"/>
        <v>14396323</v>
      </c>
    </row>
    <row r="29">
      <c r="A29" s="5">
        <v>28.0</v>
      </c>
      <c r="B29" s="6">
        <v>0.0</v>
      </c>
      <c r="C29" s="6">
        <v>0.0</v>
      </c>
      <c r="D29" s="6">
        <v>0.0</v>
      </c>
      <c r="E29" s="6">
        <v>300000.0</v>
      </c>
      <c r="F29" s="7">
        <f>E29</f>
        <v>300000</v>
      </c>
      <c r="G29" s="7">
        <f t="shared" si="12"/>
        <v>14696323</v>
      </c>
    </row>
    <row r="30">
      <c r="A30" s="5">
        <v>29.0</v>
      </c>
      <c r="B30" s="6">
        <v>68081.0</v>
      </c>
      <c r="C30" s="6">
        <v>11469.0</v>
      </c>
      <c r="D30" s="7">
        <f>C30+B30</f>
        <v>79550</v>
      </c>
      <c r="E30" s="6">
        <v>490000.0</v>
      </c>
      <c r="F30" s="7">
        <f>E30+B30</f>
        <v>558081</v>
      </c>
      <c r="G30" s="7">
        <f t="shared" si="12"/>
        <v>15254404</v>
      </c>
    </row>
    <row r="31">
      <c r="A31" s="3">
        <v>30.0</v>
      </c>
      <c r="B31" s="8"/>
      <c r="C31" s="8"/>
      <c r="D31" s="4"/>
      <c r="E31" s="8"/>
      <c r="F31" s="4"/>
      <c r="G31" s="4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>
      <c r="A32" s="5" t="s">
        <v>12</v>
      </c>
      <c r="B32" s="6">
        <f t="shared" ref="B32:F32" si="13">SUM(B2:B31)</f>
        <v>4193404</v>
      </c>
      <c r="C32" s="6">
        <f t="shared" si="13"/>
        <v>358554</v>
      </c>
      <c r="D32" s="6">
        <f t="shared" si="13"/>
        <v>4551958</v>
      </c>
      <c r="E32" s="6">
        <f t="shared" si="13"/>
        <v>11061000</v>
      </c>
      <c r="F32" s="6">
        <f t="shared" si="13"/>
        <v>15254404</v>
      </c>
      <c r="G32" s="7"/>
    </row>
    <row r="33">
      <c r="A33" s="13"/>
      <c r="B33" s="14"/>
      <c r="C33" s="14"/>
      <c r="D33" s="15"/>
      <c r="E33" s="14"/>
      <c r="F33" s="15"/>
      <c r="G33" s="15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>
      <c r="A2" s="5">
        <v>1.0</v>
      </c>
      <c r="B2" s="6">
        <v>255349.0</v>
      </c>
      <c r="C2" s="6">
        <v>29196.0</v>
      </c>
      <c r="D2" s="7">
        <f>C2+B2</f>
        <v>284545</v>
      </c>
      <c r="E2" s="6">
        <v>670000.0</v>
      </c>
      <c r="F2" s="7">
        <f t="shared" ref="F2:F4" si="1">E2+B2</f>
        <v>925349</v>
      </c>
      <c r="G2" s="6">
        <f>F2</f>
        <v>925349</v>
      </c>
    </row>
    <row r="3">
      <c r="A3" s="5">
        <v>2.0</v>
      </c>
      <c r="B3" s="6">
        <v>365233.0</v>
      </c>
      <c r="C3" s="6">
        <v>52014.0</v>
      </c>
      <c r="D3" s="7">
        <f>B3+C3</f>
        <v>417247</v>
      </c>
      <c r="E3" s="6">
        <v>395000.0</v>
      </c>
      <c r="F3" s="7">
        <f t="shared" si="1"/>
        <v>760233</v>
      </c>
      <c r="G3" s="6">
        <f t="shared" ref="G3:G7" si="2">G2+F3</f>
        <v>1685582</v>
      </c>
    </row>
    <row r="4">
      <c r="A4" s="5">
        <v>3.0</v>
      </c>
      <c r="B4" s="6">
        <v>139285.0</v>
      </c>
      <c r="C4" s="6">
        <v>6964.0</v>
      </c>
      <c r="D4" s="7">
        <f>C4+B4</f>
        <v>146249</v>
      </c>
      <c r="E4" s="6">
        <v>520000.0</v>
      </c>
      <c r="F4" s="7">
        <f t="shared" si="1"/>
        <v>659285</v>
      </c>
      <c r="G4" s="7">
        <f t="shared" si="2"/>
        <v>2344867</v>
      </c>
    </row>
    <row r="5">
      <c r="A5" s="5">
        <v>4.0</v>
      </c>
      <c r="B5" s="6">
        <v>0.0</v>
      </c>
      <c r="C5" s="6">
        <v>0.0</v>
      </c>
      <c r="D5" s="6">
        <v>0.0</v>
      </c>
      <c r="E5" s="6">
        <v>695000.0</v>
      </c>
      <c r="F5" s="7">
        <f>E5</f>
        <v>695000</v>
      </c>
      <c r="G5" s="7">
        <f t="shared" si="2"/>
        <v>3039867</v>
      </c>
      <c r="H5" s="12">
        <v>595000.0</v>
      </c>
    </row>
    <row r="6">
      <c r="A6" s="5">
        <v>5.0</v>
      </c>
      <c r="B6" s="6">
        <v>714001.0</v>
      </c>
      <c r="C6" s="6">
        <v>68696.0</v>
      </c>
      <c r="D6" s="7">
        <f t="shared" ref="D6:D7" si="3">C6+B6</f>
        <v>782697</v>
      </c>
      <c r="E6" s="6">
        <v>615000.0</v>
      </c>
      <c r="F6" s="7">
        <f t="shared" ref="F6:F7" si="4">E6+B6</f>
        <v>1329001</v>
      </c>
      <c r="G6" s="7">
        <f t="shared" si="2"/>
        <v>4368868</v>
      </c>
    </row>
    <row r="7">
      <c r="A7" s="5">
        <v>6.0</v>
      </c>
      <c r="B7" s="6">
        <v>534577.0</v>
      </c>
      <c r="C7" s="6">
        <v>65789.0</v>
      </c>
      <c r="D7" s="7">
        <f t="shared" si="3"/>
        <v>600366</v>
      </c>
      <c r="E7" s="6">
        <v>995000.0</v>
      </c>
      <c r="F7" s="7">
        <f t="shared" si="4"/>
        <v>1529577</v>
      </c>
      <c r="G7" s="7">
        <f t="shared" si="2"/>
        <v>5898445</v>
      </c>
    </row>
    <row r="8">
      <c r="A8" s="3">
        <v>7.0</v>
      </c>
      <c r="B8" s="8"/>
      <c r="C8" s="8"/>
      <c r="D8" s="8"/>
      <c r="E8" s="8"/>
      <c r="F8" s="8"/>
      <c r="G8" s="4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>
      <c r="A9" s="3">
        <v>8.0</v>
      </c>
      <c r="B9" s="8"/>
      <c r="C9" s="8"/>
      <c r="D9" s="4"/>
      <c r="E9" s="8"/>
      <c r="F9" s="4"/>
      <c r="G9" s="4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>
      <c r="A10" s="5">
        <v>9.0</v>
      </c>
      <c r="B10" s="6">
        <v>300962.0</v>
      </c>
      <c r="C10" s="6">
        <v>41849.0</v>
      </c>
      <c r="D10" s="6">
        <f t="shared" ref="D10:D14" si="5">C10+B10</f>
        <v>342811</v>
      </c>
      <c r="E10" s="6">
        <v>615000.0</v>
      </c>
      <c r="F10" s="6">
        <f t="shared" ref="F10:F14" si="6">E10+B10</f>
        <v>915962</v>
      </c>
      <c r="G10" s="6">
        <f>G7+F10</f>
        <v>6814407</v>
      </c>
    </row>
    <row r="11">
      <c r="A11" s="5">
        <v>10.0</v>
      </c>
      <c r="B11" s="6">
        <v>153523.0</v>
      </c>
      <c r="C11" s="6">
        <v>14676.0</v>
      </c>
      <c r="D11" s="6">
        <f t="shared" si="5"/>
        <v>168199</v>
      </c>
      <c r="E11" s="6">
        <v>620000.0</v>
      </c>
      <c r="F11" s="6">
        <f t="shared" si="6"/>
        <v>773523</v>
      </c>
      <c r="G11" s="7">
        <f t="shared" ref="G11:G14" si="7">G10+F11</f>
        <v>7587930</v>
      </c>
    </row>
    <row r="12">
      <c r="A12" s="5">
        <v>11.0</v>
      </c>
      <c r="B12" s="6">
        <v>233769.0</v>
      </c>
      <c r="C12" s="6">
        <v>37883.0</v>
      </c>
      <c r="D12" s="6">
        <f t="shared" si="5"/>
        <v>271652</v>
      </c>
      <c r="E12" s="6">
        <v>645000.0</v>
      </c>
      <c r="F12" s="6">
        <f t="shared" si="6"/>
        <v>878769</v>
      </c>
      <c r="G12" s="7">
        <f t="shared" si="7"/>
        <v>8466699</v>
      </c>
    </row>
    <row r="13">
      <c r="A13" s="5">
        <v>12.0</v>
      </c>
      <c r="B13" s="6">
        <v>327391.0</v>
      </c>
      <c r="C13" s="6">
        <v>20281.0</v>
      </c>
      <c r="D13" s="7">
        <f t="shared" si="5"/>
        <v>347672</v>
      </c>
      <c r="E13" s="6">
        <v>777000.0</v>
      </c>
      <c r="F13" s="7">
        <f t="shared" si="6"/>
        <v>1104391</v>
      </c>
      <c r="G13" s="7">
        <f t="shared" si="7"/>
        <v>9571090</v>
      </c>
    </row>
    <row r="14">
      <c r="A14" s="5">
        <v>13.0</v>
      </c>
      <c r="B14" s="6">
        <v>134188.0</v>
      </c>
      <c r="C14" s="6">
        <v>5309.0</v>
      </c>
      <c r="D14" s="6">
        <f t="shared" si="5"/>
        <v>139497</v>
      </c>
      <c r="E14" s="6">
        <v>825000.0</v>
      </c>
      <c r="F14" s="7">
        <f t="shared" si="6"/>
        <v>959188</v>
      </c>
      <c r="G14" s="7">
        <f t="shared" si="7"/>
        <v>10530278</v>
      </c>
    </row>
    <row r="15">
      <c r="A15" s="3">
        <v>14.0</v>
      </c>
      <c r="B15" s="8"/>
      <c r="C15" s="8"/>
      <c r="D15" s="4"/>
      <c r="E15" s="8"/>
      <c r="F15" s="8"/>
      <c r="G15" s="4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>
      <c r="A16" s="5">
        <v>15.0</v>
      </c>
      <c r="B16" s="6">
        <v>238776.0</v>
      </c>
      <c r="C16" s="6">
        <v>21798.0</v>
      </c>
      <c r="D16" s="6">
        <f t="shared" ref="D16:D25" si="8">C16+B16</f>
        <v>260574</v>
      </c>
      <c r="E16" s="6">
        <v>375000.0</v>
      </c>
      <c r="F16" s="6">
        <f t="shared" ref="F16:F25" si="9">E16+B16</f>
        <v>613776</v>
      </c>
      <c r="G16" s="7">
        <f>G14+F16</f>
        <v>11144054</v>
      </c>
    </row>
    <row r="17">
      <c r="A17" s="5">
        <v>16.0</v>
      </c>
      <c r="B17" s="6">
        <v>986668.0</v>
      </c>
      <c r="C17" s="6">
        <v>83416.0</v>
      </c>
      <c r="D17" s="7">
        <f t="shared" si="8"/>
        <v>1070084</v>
      </c>
      <c r="E17" s="6">
        <v>575000.0</v>
      </c>
      <c r="F17" s="7">
        <f t="shared" si="9"/>
        <v>1561668</v>
      </c>
      <c r="G17" s="7">
        <f t="shared" ref="G17:G25" si="10">G16+F17</f>
        <v>12705722</v>
      </c>
    </row>
    <row r="18">
      <c r="A18" s="5">
        <v>17.0</v>
      </c>
      <c r="B18" s="6">
        <v>241728.0</v>
      </c>
      <c r="C18" s="6">
        <v>85440.0</v>
      </c>
      <c r="D18" s="7">
        <f t="shared" si="8"/>
        <v>327168</v>
      </c>
      <c r="E18" s="6">
        <v>715000.0</v>
      </c>
      <c r="F18" s="7">
        <f t="shared" si="9"/>
        <v>956728</v>
      </c>
      <c r="G18" s="7">
        <f t="shared" si="10"/>
        <v>13662450</v>
      </c>
    </row>
    <row r="19">
      <c r="A19" s="5">
        <v>18.0</v>
      </c>
      <c r="B19" s="6">
        <v>357032.0</v>
      </c>
      <c r="C19" s="6">
        <v>42041.0</v>
      </c>
      <c r="D19" s="7">
        <f t="shared" si="8"/>
        <v>399073</v>
      </c>
      <c r="E19" s="6">
        <v>885000.0</v>
      </c>
      <c r="F19" s="7">
        <f t="shared" si="9"/>
        <v>1242032</v>
      </c>
      <c r="G19" s="7">
        <f t="shared" si="10"/>
        <v>14904482</v>
      </c>
    </row>
    <row r="20">
      <c r="A20" s="5">
        <v>19.0</v>
      </c>
      <c r="B20" s="6">
        <v>270348.0</v>
      </c>
      <c r="C20" s="6">
        <v>40153.0</v>
      </c>
      <c r="D20" s="6">
        <f t="shared" si="8"/>
        <v>310501</v>
      </c>
      <c r="E20" s="6">
        <v>900000.0</v>
      </c>
      <c r="F20" s="7">
        <f t="shared" si="9"/>
        <v>1170348</v>
      </c>
      <c r="G20" s="7">
        <f t="shared" si="10"/>
        <v>16074830</v>
      </c>
    </row>
    <row r="21">
      <c r="A21" s="3">
        <v>20.0</v>
      </c>
      <c r="B21" s="8">
        <v>326471.0</v>
      </c>
      <c r="C21" s="8">
        <v>62029.0</v>
      </c>
      <c r="D21" s="4">
        <f t="shared" si="8"/>
        <v>388500</v>
      </c>
      <c r="E21" s="8">
        <v>715000.0</v>
      </c>
      <c r="F21" s="4">
        <f t="shared" si="9"/>
        <v>1041471</v>
      </c>
      <c r="G21" s="4">
        <f t="shared" si="10"/>
        <v>17116301</v>
      </c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>
      <c r="A22" s="5">
        <v>21.0</v>
      </c>
      <c r="B22" s="6">
        <v>197184.0</v>
      </c>
      <c r="C22" s="6">
        <v>37717.0</v>
      </c>
      <c r="D22" s="7">
        <f t="shared" si="8"/>
        <v>234901</v>
      </c>
      <c r="E22" s="6">
        <v>1040000.0</v>
      </c>
      <c r="F22" s="7">
        <f t="shared" si="9"/>
        <v>1237184</v>
      </c>
      <c r="G22" s="7">
        <f t="shared" si="10"/>
        <v>18353485</v>
      </c>
    </row>
    <row r="23">
      <c r="A23" s="5">
        <v>22.0</v>
      </c>
      <c r="B23" s="6">
        <v>297695.0</v>
      </c>
      <c r="C23" s="6">
        <v>56562.0</v>
      </c>
      <c r="D23" s="7">
        <f t="shared" si="8"/>
        <v>354257</v>
      </c>
      <c r="E23" s="6">
        <v>1185000.0</v>
      </c>
      <c r="F23" s="7">
        <f t="shared" si="9"/>
        <v>1482695</v>
      </c>
      <c r="G23" s="7">
        <f t="shared" si="10"/>
        <v>19836180</v>
      </c>
    </row>
    <row r="24">
      <c r="A24" s="5">
        <v>23.0</v>
      </c>
      <c r="B24" s="6">
        <v>1436118.0</v>
      </c>
      <c r="C24" s="6">
        <v>181395.0</v>
      </c>
      <c r="D24" s="7">
        <f t="shared" si="8"/>
        <v>1617513</v>
      </c>
      <c r="E24" s="6">
        <v>1500000.0</v>
      </c>
      <c r="F24" s="7">
        <f t="shared" si="9"/>
        <v>2936118</v>
      </c>
      <c r="G24" s="7">
        <f t="shared" si="10"/>
        <v>22772298</v>
      </c>
    </row>
    <row r="25">
      <c r="A25" s="5">
        <v>24.0</v>
      </c>
      <c r="B25" s="6">
        <v>946284.0</v>
      </c>
      <c r="C25" s="6">
        <v>160100.0</v>
      </c>
      <c r="D25" s="7">
        <f t="shared" si="8"/>
        <v>1106384</v>
      </c>
      <c r="E25" s="6">
        <v>1158000.0</v>
      </c>
      <c r="F25" s="7">
        <f t="shared" si="9"/>
        <v>2104284</v>
      </c>
      <c r="G25" s="7">
        <f t="shared" si="10"/>
        <v>24876582</v>
      </c>
    </row>
    <row r="26">
      <c r="A26" s="3">
        <v>25.0</v>
      </c>
      <c r="B26" s="8"/>
      <c r="C26" s="8"/>
      <c r="D26" s="4"/>
      <c r="E26" s="8"/>
      <c r="F26" s="4"/>
      <c r="G26" s="4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>
      <c r="A27" s="5">
        <v>26.0</v>
      </c>
      <c r="B27" s="6">
        <v>1021053.0</v>
      </c>
      <c r="C27" s="6">
        <v>107699.0</v>
      </c>
      <c r="D27" s="7">
        <f t="shared" ref="D27:D28" si="11">C27+B27</f>
        <v>1128752</v>
      </c>
      <c r="E27" s="6">
        <v>875000.0</v>
      </c>
      <c r="F27" s="7">
        <f t="shared" ref="F27:F28" si="12">E27+B27</f>
        <v>1896053</v>
      </c>
      <c r="G27" s="7">
        <f>G25+F27</f>
        <v>26772635</v>
      </c>
    </row>
    <row r="28">
      <c r="A28" s="5">
        <v>27.0</v>
      </c>
      <c r="B28" s="6">
        <v>309224.0</v>
      </c>
      <c r="C28" s="6">
        <v>40219.0</v>
      </c>
      <c r="D28" s="6">
        <f t="shared" si="11"/>
        <v>349443</v>
      </c>
      <c r="E28" s="6">
        <v>775000.0</v>
      </c>
      <c r="F28" s="7">
        <f t="shared" si="12"/>
        <v>1084224</v>
      </c>
      <c r="G28" s="7">
        <f>G27+F28</f>
        <v>27856859</v>
      </c>
    </row>
    <row r="29">
      <c r="A29" s="3">
        <v>28.0</v>
      </c>
      <c r="B29" s="8"/>
      <c r="C29" s="8"/>
      <c r="D29" s="8"/>
      <c r="E29" s="8"/>
      <c r="F29" s="4"/>
      <c r="G29" s="4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>
      <c r="A30" s="5">
        <v>29.0</v>
      </c>
      <c r="B30" s="6">
        <v>645558.0</v>
      </c>
      <c r="C30" s="6">
        <v>90018.0</v>
      </c>
      <c r="D30" s="7">
        <f t="shared" ref="D30:D32" si="13">C30+B30</f>
        <v>735576</v>
      </c>
      <c r="E30" s="6">
        <v>1010000.0</v>
      </c>
      <c r="F30" s="7">
        <f t="shared" ref="F30:F32" si="14">E30+B30</f>
        <v>1655558</v>
      </c>
      <c r="G30" s="7">
        <f>G28+F30</f>
        <v>29512417</v>
      </c>
    </row>
    <row r="31">
      <c r="A31" s="5">
        <v>30.0</v>
      </c>
      <c r="B31" s="6">
        <v>74354.0</v>
      </c>
      <c r="C31" s="6">
        <v>10048.0</v>
      </c>
      <c r="D31" s="7">
        <f t="shared" si="13"/>
        <v>84402</v>
      </c>
      <c r="E31" s="6">
        <v>830000.0</v>
      </c>
      <c r="F31" s="7">
        <f t="shared" si="14"/>
        <v>904354</v>
      </c>
      <c r="G31" s="7">
        <f t="shared" ref="G31:G32" si="15">G30+F31</f>
        <v>30416771</v>
      </c>
    </row>
    <row r="32">
      <c r="A32" s="5">
        <v>31.0</v>
      </c>
      <c r="B32" s="6">
        <v>452441.0</v>
      </c>
      <c r="C32" s="6">
        <v>50878.0</v>
      </c>
      <c r="D32" s="6">
        <f t="shared" si="13"/>
        <v>503319</v>
      </c>
      <c r="E32" s="6">
        <v>1230000.0</v>
      </c>
      <c r="F32" s="6">
        <f t="shared" si="14"/>
        <v>1682441</v>
      </c>
      <c r="G32" s="7">
        <f t="shared" si="15"/>
        <v>32099212</v>
      </c>
    </row>
    <row r="33">
      <c r="A33" s="5" t="s">
        <v>12</v>
      </c>
      <c r="B33" s="6">
        <f>SUM(B2:B32)</f>
        <v>10959212</v>
      </c>
      <c r="C33" s="6"/>
      <c r="D33" s="6"/>
      <c r="E33" s="6">
        <f>SUM(E2:E32)</f>
        <v>21140000</v>
      </c>
      <c r="F33" s="6"/>
      <c r="G33" s="7"/>
    </row>
    <row r="34">
      <c r="A34" s="13"/>
      <c r="B34" s="14"/>
      <c r="C34" s="14"/>
      <c r="D34" s="15"/>
      <c r="E34" s="14"/>
      <c r="F34" s="15"/>
      <c r="G34" s="15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3</v>
      </c>
    </row>
    <row r="2">
      <c r="A2" s="5">
        <v>1.0</v>
      </c>
      <c r="B2" s="10">
        <v>121800.0</v>
      </c>
      <c r="C2" s="10">
        <v>410000.0</v>
      </c>
      <c r="D2" s="11">
        <v>1567750.0</v>
      </c>
    </row>
    <row r="3">
      <c r="A3" s="5">
        <v>2.0</v>
      </c>
      <c r="B3" s="10">
        <v>165850.0</v>
      </c>
      <c r="C3" s="10">
        <v>190000.0</v>
      </c>
      <c r="D3" s="11">
        <v>80000.0</v>
      </c>
    </row>
    <row r="4">
      <c r="A4" s="5">
        <v>3.0</v>
      </c>
      <c r="B4" s="10">
        <v>21150.0</v>
      </c>
      <c r="C4" s="10">
        <v>195000.0</v>
      </c>
    </row>
    <row r="5">
      <c r="A5" s="5">
        <v>4.0</v>
      </c>
      <c r="B5" s="10">
        <v>0.0</v>
      </c>
      <c r="C5" s="10">
        <v>295000.0</v>
      </c>
    </row>
    <row r="6">
      <c r="A6" s="5">
        <v>5.0</v>
      </c>
      <c r="B6" s="10">
        <v>536000.0</v>
      </c>
      <c r="C6" s="10">
        <v>220000.0</v>
      </c>
      <c r="D6" s="11">
        <v>1167200.0</v>
      </c>
    </row>
    <row r="7">
      <c r="A7" s="5">
        <v>6.0</v>
      </c>
      <c r="B7" s="10">
        <v>297000.0</v>
      </c>
      <c r="C7" s="10">
        <v>440000.0</v>
      </c>
      <c r="D7" s="11">
        <v>1913850.0</v>
      </c>
      <c r="E7" s="11">
        <v>2102650.0</v>
      </c>
    </row>
    <row r="8">
      <c r="A8" s="3">
        <v>7.0</v>
      </c>
      <c r="B8" s="8"/>
      <c r="C8" s="8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</row>
    <row r="9">
      <c r="A9" s="3">
        <v>8.0</v>
      </c>
      <c r="B9" s="8"/>
      <c r="C9" s="8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</row>
    <row r="10">
      <c r="A10" s="5">
        <v>9.0</v>
      </c>
      <c r="B10" s="10">
        <v>207800.0</v>
      </c>
      <c r="C10" s="10">
        <v>295000.0</v>
      </c>
      <c r="D10" s="12">
        <v>330.0</v>
      </c>
    </row>
    <row r="11">
      <c r="A11" s="5">
        <v>10.0</v>
      </c>
      <c r="B11" s="10">
        <v>108700.0</v>
      </c>
      <c r="C11" s="10">
        <v>295000.0</v>
      </c>
      <c r="D11" s="11">
        <v>857250.0</v>
      </c>
    </row>
    <row r="12">
      <c r="A12" s="5">
        <v>11.0</v>
      </c>
      <c r="B12" s="10">
        <v>30000.0</v>
      </c>
      <c r="C12" s="10">
        <v>250000.0</v>
      </c>
      <c r="D12" s="11">
        <v>420650.0</v>
      </c>
    </row>
    <row r="13">
      <c r="A13" s="5">
        <v>12.0</v>
      </c>
      <c r="B13" s="10">
        <v>126800.0</v>
      </c>
      <c r="C13" s="10">
        <v>255000.0</v>
      </c>
      <c r="D13" s="11">
        <v>716150.0</v>
      </c>
    </row>
    <row r="14">
      <c r="A14" s="5">
        <v>13.0</v>
      </c>
      <c r="B14" s="10">
        <v>28000.0</v>
      </c>
      <c r="C14" s="10">
        <v>380000.0</v>
      </c>
      <c r="D14" s="11">
        <v>1063800.0</v>
      </c>
      <c r="E14" s="11">
        <v>1795400.0</v>
      </c>
      <c r="F14" s="12">
        <v>35.0</v>
      </c>
    </row>
    <row r="15">
      <c r="A15" s="3">
        <v>14.0</v>
      </c>
      <c r="B15" s="8"/>
      <c r="C15" s="8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</row>
    <row r="16">
      <c r="A16" s="5">
        <v>15.0</v>
      </c>
      <c r="B16" s="10">
        <v>89900.0</v>
      </c>
      <c r="C16" s="10">
        <v>225000.0</v>
      </c>
      <c r="D16" s="11">
        <v>590550.0</v>
      </c>
    </row>
    <row r="17">
      <c r="A17" s="5">
        <v>16.0</v>
      </c>
      <c r="B17" s="10">
        <v>156900.0</v>
      </c>
      <c r="C17" s="10">
        <v>85000.0</v>
      </c>
      <c r="D17" s="11">
        <v>782250.0</v>
      </c>
    </row>
    <row r="18">
      <c r="A18" s="5">
        <v>17.0</v>
      </c>
      <c r="B18" s="10">
        <v>78900.0</v>
      </c>
      <c r="C18" s="10">
        <v>230000.0</v>
      </c>
      <c r="D18" s="11">
        <v>1180750.0</v>
      </c>
    </row>
    <row r="19">
      <c r="A19" s="5">
        <v>18.0</v>
      </c>
      <c r="B19" s="10">
        <v>70800.0</v>
      </c>
      <c r="C19" s="10">
        <v>535000.0</v>
      </c>
    </row>
    <row r="20">
      <c r="A20" s="5">
        <v>19.0</v>
      </c>
      <c r="B20" s="10">
        <v>157000.0</v>
      </c>
      <c r="C20" s="10">
        <v>270000.0</v>
      </c>
      <c r="D20" s="11">
        <v>1222150.0</v>
      </c>
    </row>
    <row r="21">
      <c r="A21" s="5">
        <v>20.0</v>
      </c>
      <c r="B21" s="10">
        <v>80000.0</v>
      </c>
      <c r="C21" s="10">
        <v>240000.0</v>
      </c>
    </row>
    <row r="22">
      <c r="A22" s="3">
        <v>21.0</v>
      </c>
      <c r="B22" s="10">
        <v>163500.0</v>
      </c>
      <c r="C22" s="10">
        <v>485000.0</v>
      </c>
      <c r="D22" s="27">
        <v>1375050.0</v>
      </c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</row>
    <row r="23">
      <c r="A23" s="5">
        <v>22.0</v>
      </c>
      <c r="B23" s="10">
        <v>186200.0</v>
      </c>
      <c r="C23" s="10">
        <v>445000.0</v>
      </c>
      <c r="D23" s="11">
        <v>1285350.0</v>
      </c>
      <c r="E23" s="11">
        <v>1246200.0</v>
      </c>
    </row>
    <row r="24">
      <c r="A24" s="5">
        <v>23.0</v>
      </c>
      <c r="B24" s="10">
        <v>329900.0</v>
      </c>
      <c r="C24" s="10">
        <v>715000.0</v>
      </c>
    </row>
    <row r="25">
      <c r="A25" s="5">
        <v>24.0</v>
      </c>
      <c r="B25" s="10">
        <v>582600.0</v>
      </c>
      <c r="C25" s="10">
        <v>478000.0</v>
      </c>
      <c r="D25" s="11">
        <v>2078550.0</v>
      </c>
    </row>
    <row r="26">
      <c r="A26" s="3">
        <v>25.0</v>
      </c>
      <c r="B26" s="8"/>
      <c r="C26" s="8"/>
      <c r="D26" s="27">
        <v>3414150.0</v>
      </c>
      <c r="E26" s="27">
        <v>3769650.0</v>
      </c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</row>
    <row r="27">
      <c r="A27" s="5">
        <v>26.0</v>
      </c>
      <c r="B27" s="10">
        <v>347400.0</v>
      </c>
      <c r="C27" s="10">
        <v>180000.0</v>
      </c>
    </row>
    <row r="28">
      <c r="A28" s="5">
        <v>27.0</v>
      </c>
      <c r="B28" s="10">
        <v>145000.0</v>
      </c>
      <c r="C28" s="10">
        <v>440000.0</v>
      </c>
      <c r="D28" s="11">
        <v>1697300.0</v>
      </c>
    </row>
    <row r="29">
      <c r="A29" s="3">
        <v>28.0</v>
      </c>
      <c r="B29" s="8"/>
      <c r="C29" s="8"/>
      <c r="D29" s="27">
        <v>1777100.0</v>
      </c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</row>
    <row r="30">
      <c r="A30" s="5">
        <v>29.0</v>
      </c>
      <c r="B30" s="10">
        <v>184800.0</v>
      </c>
      <c r="C30" s="10">
        <v>430000.0</v>
      </c>
    </row>
    <row r="31">
      <c r="A31" s="5">
        <v>30.0</v>
      </c>
      <c r="B31" s="10">
        <v>63800.0</v>
      </c>
      <c r="C31" s="10">
        <v>350000.0</v>
      </c>
    </row>
    <row r="32">
      <c r="A32" s="5">
        <v>31.0</v>
      </c>
      <c r="B32" s="10">
        <v>76000.0</v>
      </c>
      <c r="C32" s="10">
        <v>415000.0</v>
      </c>
      <c r="D32" s="11">
        <v>1399550.0</v>
      </c>
      <c r="E32" s="11">
        <v>1566050.0</v>
      </c>
    </row>
    <row r="33">
      <c r="A33" s="5" t="s">
        <v>12</v>
      </c>
      <c r="B33" s="6"/>
      <c r="C33" s="6"/>
    </row>
    <row r="34">
      <c r="A34" s="13"/>
      <c r="B34" s="14"/>
      <c r="C34" s="14"/>
      <c r="D34" s="11">
        <v>1156950.0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3</v>
      </c>
    </row>
    <row r="2">
      <c r="A2" s="5">
        <v>1.0</v>
      </c>
      <c r="B2" s="10">
        <v>193400.0</v>
      </c>
      <c r="C2" s="10">
        <v>170000.0</v>
      </c>
    </row>
    <row r="3">
      <c r="A3" s="3">
        <v>2.0</v>
      </c>
      <c r="B3" s="8"/>
      <c r="C3" s="8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</row>
    <row r="4">
      <c r="A4" s="3">
        <v>3.0</v>
      </c>
      <c r="B4" s="8"/>
      <c r="C4" s="8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</row>
    <row r="5">
      <c r="A5" s="5">
        <v>4.0</v>
      </c>
      <c r="B5" s="10">
        <v>86800.0</v>
      </c>
      <c r="C5" s="10">
        <v>275000.0</v>
      </c>
    </row>
    <row r="6">
      <c r="A6" s="5">
        <v>5.0</v>
      </c>
      <c r="B6" s="10">
        <v>0.0</v>
      </c>
      <c r="C6" s="10">
        <v>320000.0</v>
      </c>
    </row>
    <row r="7">
      <c r="A7" s="5">
        <v>6.0</v>
      </c>
      <c r="B7" s="10">
        <v>6500.0</v>
      </c>
      <c r="C7" s="10">
        <v>225000.0</v>
      </c>
    </row>
    <row r="8">
      <c r="A8" s="5">
        <v>7.0</v>
      </c>
      <c r="B8" s="6">
        <v>0.0</v>
      </c>
      <c r="C8" s="10">
        <v>487000.0</v>
      </c>
    </row>
    <row r="9">
      <c r="A9" s="5">
        <v>8.0</v>
      </c>
      <c r="B9" s="10">
        <v>153000.0</v>
      </c>
      <c r="C9" s="10">
        <v>430000.0</v>
      </c>
    </row>
    <row r="10">
      <c r="A10" s="3">
        <v>9.0</v>
      </c>
      <c r="B10" s="8"/>
      <c r="C10" s="8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</row>
    <row r="11">
      <c r="A11" s="5">
        <v>10.0</v>
      </c>
      <c r="B11" s="10">
        <v>109200.0</v>
      </c>
      <c r="C11" s="10">
        <v>165000.0</v>
      </c>
      <c r="D11" s="11">
        <v>1115400.0</v>
      </c>
    </row>
    <row r="12">
      <c r="A12" s="5">
        <v>11.0</v>
      </c>
      <c r="B12" s="10">
        <v>2500.0</v>
      </c>
      <c r="C12" s="10">
        <v>215000.0</v>
      </c>
      <c r="D12" s="11">
        <v>776700.0</v>
      </c>
    </row>
    <row r="13">
      <c r="A13" s="5">
        <v>12.0</v>
      </c>
      <c r="B13" s="10">
        <v>94700.0</v>
      </c>
      <c r="C13" s="10">
        <v>160000.0</v>
      </c>
      <c r="D13" s="11">
        <v>562000.0</v>
      </c>
    </row>
    <row r="14">
      <c r="A14" s="5">
        <v>13.0</v>
      </c>
      <c r="B14" s="6">
        <v>0.0</v>
      </c>
      <c r="C14" s="10">
        <v>370000.0</v>
      </c>
      <c r="D14" s="11">
        <v>691000.0</v>
      </c>
    </row>
    <row r="15">
      <c r="A15" s="5">
        <v>14.0</v>
      </c>
      <c r="B15" s="10">
        <v>18900.0</v>
      </c>
      <c r="C15" s="24">
        <v>185000.0</v>
      </c>
      <c r="D15" s="11">
        <v>598700.0</v>
      </c>
    </row>
    <row r="16">
      <c r="A16" s="5">
        <v>15.0</v>
      </c>
      <c r="B16" s="10">
        <v>96000.0</v>
      </c>
      <c r="C16" s="24">
        <v>595000.0</v>
      </c>
      <c r="D16" s="11">
        <v>1164100.0</v>
      </c>
    </row>
    <row r="17">
      <c r="A17" s="3">
        <v>16.0</v>
      </c>
      <c r="B17" s="8"/>
      <c r="C17" s="8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</row>
    <row r="18">
      <c r="A18" s="3">
        <v>17.0</v>
      </c>
      <c r="B18" s="8"/>
      <c r="C18" s="8"/>
      <c r="D18" s="28">
        <v>547000.0</v>
      </c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</row>
    <row r="19">
      <c r="A19" s="5">
        <v>18.0</v>
      </c>
      <c r="B19" s="10">
        <v>40000.0</v>
      </c>
      <c r="C19" s="10">
        <v>250000.0</v>
      </c>
    </row>
    <row r="20">
      <c r="A20" s="5">
        <v>19.0</v>
      </c>
      <c r="B20" s="10">
        <v>21900.0</v>
      </c>
      <c r="C20" s="10">
        <v>355000.0</v>
      </c>
    </row>
    <row r="21">
      <c r="A21" s="5">
        <v>20.0</v>
      </c>
      <c r="B21" s="10">
        <v>0.0</v>
      </c>
      <c r="C21" s="10">
        <v>90000.0</v>
      </c>
    </row>
    <row r="22">
      <c r="A22" s="5">
        <v>21.0</v>
      </c>
      <c r="B22" s="10">
        <v>144300.0</v>
      </c>
      <c r="C22" s="10">
        <v>75000.0</v>
      </c>
      <c r="D22" s="11">
        <v>915000.0</v>
      </c>
    </row>
    <row r="23">
      <c r="A23" s="5">
        <v>22.0</v>
      </c>
      <c r="B23" s="10">
        <v>87000.0</v>
      </c>
      <c r="C23" s="10">
        <v>305000.0</v>
      </c>
      <c r="D23" s="11">
        <v>665000.0</v>
      </c>
    </row>
    <row r="24">
      <c r="A24" s="3">
        <v>23.0</v>
      </c>
      <c r="B24" s="8"/>
      <c r="C24" s="8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</row>
    <row r="25">
      <c r="A25" s="5">
        <v>24.0</v>
      </c>
      <c r="B25" s="10">
        <v>182400.0</v>
      </c>
      <c r="C25" s="10">
        <v>135000.0</v>
      </c>
    </row>
    <row r="26">
      <c r="A26" s="5">
        <v>25.0</v>
      </c>
      <c r="B26" s="10">
        <v>94700.0</v>
      </c>
      <c r="C26" s="10">
        <v>310000.0</v>
      </c>
      <c r="D26" s="11">
        <v>1205450.0</v>
      </c>
    </row>
    <row r="27">
      <c r="A27" s="5">
        <v>26.0</v>
      </c>
      <c r="B27" s="10">
        <v>200000.0</v>
      </c>
      <c r="C27" s="10">
        <v>387000.0</v>
      </c>
      <c r="D27" s="11">
        <v>1549700.0</v>
      </c>
    </row>
    <row r="28">
      <c r="A28" s="5">
        <v>27.0</v>
      </c>
      <c r="B28" s="29">
        <v>128000.0</v>
      </c>
      <c r="C28" s="10">
        <v>232000.0</v>
      </c>
      <c r="D28" s="11">
        <v>878200.0</v>
      </c>
    </row>
    <row r="29">
      <c r="A29" s="5">
        <v>28.0</v>
      </c>
      <c r="B29" s="6">
        <v>0.0</v>
      </c>
      <c r="C29" s="10">
        <v>150000.0</v>
      </c>
      <c r="D29" s="11">
        <v>756450.0</v>
      </c>
    </row>
    <row r="30">
      <c r="A30" s="5">
        <v>29.0</v>
      </c>
      <c r="B30" s="6">
        <v>79600.0</v>
      </c>
      <c r="C30" s="10">
        <v>425000.0</v>
      </c>
      <c r="D30" s="11"/>
    </row>
    <row r="31">
      <c r="A31" s="3">
        <v>30.0</v>
      </c>
      <c r="B31" s="8"/>
      <c r="C31" s="8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</row>
    <row r="32">
      <c r="A32" s="5" t="s">
        <v>12</v>
      </c>
      <c r="B32" s="6">
        <f t="shared" ref="B32:C32" si="1">SUM(B2:B31)</f>
        <v>1738900</v>
      </c>
      <c r="C32" s="6">
        <f t="shared" si="1"/>
        <v>6311000</v>
      </c>
      <c r="D32" s="11">
        <v>1401950.0</v>
      </c>
    </row>
    <row r="33">
      <c r="A33" s="13"/>
      <c r="B33" s="14"/>
      <c r="C33" s="14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3</v>
      </c>
    </row>
    <row r="2">
      <c r="A2" s="5">
        <v>1.0</v>
      </c>
      <c r="B2" s="10">
        <v>214300.0</v>
      </c>
      <c r="C2" s="10">
        <v>380000.0</v>
      </c>
      <c r="D2" s="12">
        <v>1360800.0</v>
      </c>
    </row>
    <row r="3">
      <c r="A3" s="5">
        <v>2.0</v>
      </c>
      <c r="B3" s="10">
        <v>61400.0</v>
      </c>
      <c r="C3" s="10">
        <v>465000.0</v>
      </c>
    </row>
    <row r="4">
      <c r="A4" s="5">
        <v>3.0</v>
      </c>
      <c r="B4" s="10">
        <v>123000.0</v>
      </c>
      <c r="C4" s="10">
        <v>285000.0</v>
      </c>
      <c r="D4" s="11">
        <v>809400.0</v>
      </c>
    </row>
    <row r="5">
      <c r="A5" s="5">
        <v>4.0</v>
      </c>
      <c r="B5" s="10">
        <v>11650.0</v>
      </c>
      <c r="C5" s="10">
        <v>222000.0</v>
      </c>
      <c r="D5" s="11">
        <v>682150.0</v>
      </c>
    </row>
    <row r="6">
      <c r="A6" s="5">
        <v>5.0</v>
      </c>
      <c r="B6" s="10">
        <v>107200.0</v>
      </c>
      <c r="C6" s="10">
        <v>320000.0</v>
      </c>
      <c r="D6" s="11">
        <v>1055750.0</v>
      </c>
    </row>
    <row r="7">
      <c r="A7" s="5">
        <v>6.0</v>
      </c>
      <c r="B7" s="10">
        <v>28000.0</v>
      </c>
      <c r="C7" s="10">
        <v>385000.0</v>
      </c>
      <c r="D7" s="11">
        <v>882200.0</v>
      </c>
    </row>
    <row r="8">
      <c r="A8" s="3">
        <v>7.0</v>
      </c>
      <c r="B8" s="8"/>
      <c r="C8" s="8"/>
    </row>
    <row r="9">
      <c r="A9" s="5">
        <v>8.0</v>
      </c>
      <c r="B9" s="10">
        <v>130000.0</v>
      </c>
      <c r="C9" s="10">
        <v>135000.0</v>
      </c>
    </row>
    <row r="10">
      <c r="A10" s="5">
        <v>9.0</v>
      </c>
      <c r="B10" s="6" t="s">
        <v>7</v>
      </c>
      <c r="C10" s="6" t="s">
        <v>7</v>
      </c>
    </row>
    <row r="11">
      <c r="A11" s="5">
        <v>10.0</v>
      </c>
      <c r="B11" s="6">
        <v>0.0</v>
      </c>
      <c r="C11" s="10">
        <v>75000.0</v>
      </c>
    </row>
    <row r="12">
      <c r="A12" s="5">
        <v>11.0</v>
      </c>
      <c r="B12" s="10">
        <v>4000.0</v>
      </c>
      <c r="C12" s="10">
        <v>675000.0</v>
      </c>
    </row>
    <row r="13">
      <c r="A13" s="5">
        <v>12.0</v>
      </c>
      <c r="B13" s="10">
        <v>198300.0</v>
      </c>
      <c r="C13" s="10">
        <v>85000.0</v>
      </c>
    </row>
    <row r="14">
      <c r="A14" s="5">
        <v>13.0</v>
      </c>
      <c r="B14" s="10">
        <v>113700.0</v>
      </c>
      <c r="C14" s="10">
        <v>465000.0</v>
      </c>
    </row>
    <row r="15">
      <c r="A15" s="3">
        <v>14.0</v>
      </c>
      <c r="B15" s="8"/>
      <c r="C15" s="8"/>
    </row>
    <row r="16">
      <c r="A16" s="5">
        <v>15.0</v>
      </c>
      <c r="B16" s="10">
        <v>118500.0</v>
      </c>
      <c r="C16" s="10">
        <v>360000.0</v>
      </c>
    </row>
    <row r="17">
      <c r="A17" s="5">
        <v>16.0</v>
      </c>
      <c r="B17" s="10">
        <v>50800.0</v>
      </c>
      <c r="C17" s="10">
        <v>285000.0</v>
      </c>
    </row>
    <row r="18">
      <c r="A18" s="5">
        <v>17.0</v>
      </c>
      <c r="B18" s="10">
        <v>5800.0</v>
      </c>
      <c r="C18" s="10">
        <v>110000.0</v>
      </c>
    </row>
    <row r="19">
      <c r="A19" s="5">
        <v>18.0</v>
      </c>
      <c r="B19" s="10">
        <v>27400.0</v>
      </c>
      <c r="C19" s="10">
        <v>110000.0</v>
      </c>
    </row>
    <row r="20">
      <c r="A20" s="5">
        <v>19.0</v>
      </c>
      <c r="B20" s="10">
        <v>47900.0</v>
      </c>
      <c r="C20" s="10">
        <v>90000.0</v>
      </c>
      <c r="D20" s="11">
        <v>631300.0</v>
      </c>
    </row>
    <row r="21">
      <c r="A21" s="5">
        <v>20.0</v>
      </c>
      <c r="B21" s="10">
        <v>101400.0</v>
      </c>
      <c r="C21" s="10">
        <v>335000.0</v>
      </c>
    </row>
    <row r="22">
      <c r="A22" s="3">
        <v>21.0</v>
      </c>
      <c r="B22" s="8"/>
      <c r="C22" s="8"/>
    </row>
    <row r="23">
      <c r="A23" s="5">
        <v>22.0</v>
      </c>
      <c r="B23" s="10">
        <v>93600.0</v>
      </c>
      <c r="C23" s="10">
        <v>85000.0</v>
      </c>
    </row>
    <row r="24">
      <c r="A24" s="5">
        <v>23.0</v>
      </c>
      <c r="B24" s="10">
        <v>60400.0</v>
      </c>
      <c r="C24" s="10">
        <v>205000.0</v>
      </c>
    </row>
    <row r="25">
      <c r="A25" s="5">
        <v>24.0</v>
      </c>
      <c r="B25" s="10">
        <v>0.0</v>
      </c>
      <c r="C25" s="10">
        <v>160000.0</v>
      </c>
    </row>
    <row r="26">
      <c r="A26" s="5">
        <v>25.0</v>
      </c>
      <c r="B26" s="10">
        <v>162900.0</v>
      </c>
      <c r="C26" s="10">
        <v>120000.0</v>
      </c>
      <c r="D26" s="11">
        <v>1105500.0</v>
      </c>
    </row>
    <row r="27">
      <c r="A27" s="5">
        <v>26.0</v>
      </c>
      <c r="B27" s="10">
        <v>180100.0</v>
      </c>
      <c r="C27" s="10">
        <v>305000.0</v>
      </c>
    </row>
    <row r="28">
      <c r="A28" s="5">
        <v>27.0</v>
      </c>
      <c r="B28" s="10">
        <v>1900.0</v>
      </c>
      <c r="C28" s="10">
        <v>431000.0</v>
      </c>
      <c r="D28" s="11">
        <v>829800.0</v>
      </c>
      <c r="E28" s="12">
        <v>411000.0</v>
      </c>
    </row>
    <row r="29">
      <c r="A29" s="3">
        <v>28.0</v>
      </c>
      <c r="B29" s="8"/>
      <c r="C29" s="8"/>
    </row>
    <row r="30">
      <c r="A30" s="5">
        <v>29.0</v>
      </c>
      <c r="B30" s="10">
        <v>7800.0</v>
      </c>
      <c r="C30" s="10">
        <v>65000.0</v>
      </c>
      <c r="D30" s="11">
        <v>777350.0</v>
      </c>
    </row>
    <row r="31">
      <c r="A31" s="5">
        <v>30.0</v>
      </c>
      <c r="B31" s="6">
        <v>0.0</v>
      </c>
      <c r="C31" s="10">
        <v>120000.0</v>
      </c>
      <c r="D31" s="11">
        <v>659050.0</v>
      </c>
    </row>
    <row r="32">
      <c r="A32" s="5"/>
      <c r="B32" s="6">
        <v>5000.0</v>
      </c>
      <c r="C32" s="6">
        <v>355000.0</v>
      </c>
    </row>
    <row r="33">
      <c r="A33" s="5" t="s">
        <v>12</v>
      </c>
      <c r="B33" s="6"/>
      <c r="C33" s="6"/>
    </row>
    <row r="34">
      <c r="A34" s="13"/>
      <c r="B34" s="14"/>
      <c r="C34" s="14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3</v>
      </c>
    </row>
    <row r="2">
      <c r="A2" s="13">
        <v>1.0</v>
      </c>
      <c r="B2" s="10">
        <v>73100.0</v>
      </c>
      <c r="C2" s="10">
        <v>250000.0</v>
      </c>
      <c r="D2" s="12">
        <v>130000.0</v>
      </c>
    </row>
    <row r="3">
      <c r="A3" s="13">
        <v>2.0</v>
      </c>
      <c r="B3" s="10">
        <v>184100.0</v>
      </c>
      <c r="C3" s="10">
        <v>510000.0</v>
      </c>
    </row>
    <row r="4">
      <c r="A4" s="3">
        <v>3.0</v>
      </c>
      <c r="B4" s="8"/>
      <c r="C4" s="8"/>
    </row>
    <row r="5">
      <c r="A5" s="13">
        <v>4.0</v>
      </c>
      <c r="B5" s="10">
        <v>164907.0</v>
      </c>
      <c r="C5" s="10">
        <v>335000.0</v>
      </c>
    </row>
    <row r="6">
      <c r="A6" s="13">
        <v>5.0</v>
      </c>
      <c r="B6" s="10">
        <v>0.0</v>
      </c>
      <c r="C6" s="10">
        <v>345000.0</v>
      </c>
      <c r="D6" s="11">
        <v>897550.0</v>
      </c>
    </row>
    <row r="7">
      <c r="A7" s="13">
        <v>6.0</v>
      </c>
      <c r="B7" s="10">
        <v>40900.0</v>
      </c>
      <c r="C7" s="10">
        <v>445000.0</v>
      </c>
    </row>
    <row r="8">
      <c r="A8" s="3">
        <v>7.0</v>
      </c>
      <c r="B8" s="8"/>
      <c r="C8" s="8"/>
    </row>
    <row r="9">
      <c r="A9" s="13">
        <v>8.0</v>
      </c>
      <c r="B9" s="10">
        <v>178700.0</v>
      </c>
      <c r="C9" s="10">
        <v>215000.0</v>
      </c>
      <c r="D9" s="11">
        <v>1372350.0</v>
      </c>
    </row>
    <row r="10">
      <c r="A10" s="13">
        <v>9.0</v>
      </c>
      <c r="B10" s="10">
        <v>87700.0</v>
      </c>
      <c r="C10" s="10">
        <v>215000.0</v>
      </c>
      <c r="D10" s="12">
        <v>160000.0</v>
      </c>
    </row>
    <row r="11">
      <c r="A11" s="3">
        <v>10.0</v>
      </c>
      <c r="B11" s="8"/>
      <c r="C11" s="8"/>
    </row>
    <row r="12">
      <c r="A12" s="13">
        <v>11.0</v>
      </c>
      <c r="B12" s="10">
        <v>282100.0</v>
      </c>
      <c r="C12" s="10">
        <v>270000.0</v>
      </c>
      <c r="D12" s="12">
        <v>731150.0</v>
      </c>
    </row>
    <row r="13">
      <c r="A13" s="13">
        <v>12.0</v>
      </c>
      <c r="B13" s="10">
        <v>23700.0</v>
      </c>
      <c r="C13" s="10">
        <v>105000.0</v>
      </c>
      <c r="D13" s="12">
        <v>681550.0</v>
      </c>
    </row>
    <row r="14">
      <c r="A14" s="13">
        <v>13.0</v>
      </c>
      <c r="B14" s="14">
        <v>0.0</v>
      </c>
      <c r="C14" s="10">
        <v>130000.0</v>
      </c>
    </row>
    <row r="15">
      <c r="A15" s="13">
        <v>14.0</v>
      </c>
      <c r="B15" s="14">
        <v>0.0</v>
      </c>
      <c r="C15" s="10">
        <v>105000.0</v>
      </c>
      <c r="D15" s="12">
        <v>674200.0</v>
      </c>
    </row>
    <row r="16">
      <c r="A16" s="13">
        <v>15.0</v>
      </c>
      <c r="B16" s="10">
        <v>56700.0</v>
      </c>
      <c r="C16" s="10">
        <v>250000.0</v>
      </c>
      <c r="D16" s="11">
        <v>974900.0</v>
      </c>
    </row>
    <row r="17">
      <c r="A17" s="13">
        <v>16.0</v>
      </c>
      <c r="B17" s="10">
        <v>201100.0</v>
      </c>
      <c r="C17" s="10">
        <v>285000.0</v>
      </c>
      <c r="D17" s="12">
        <v>891950.0</v>
      </c>
    </row>
    <row r="18">
      <c r="A18" s="3">
        <v>17.0</v>
      </c>
      <c r="B18" s="8"/>
      <c r="C18" s="8"/>
    </row>
    <row r="19">
      <c r="A19" s="3">
        <v>18.0</v>
      </c>
      <c r="B19" s="8"/>
      <c r="C19" s="8"/>
    </row>
    <row r="20">
      <c r="A20" s="13">
        <v>19.0</v>
      </c>
      <c r="B20" s="10">
        <v>77000.0</v>
      </c>
      <c r="C20" s="10">
        <v>305000.0</v>
      </c>
    </row>
    <row r="21">
      <c r="A21" s="13">
        <v>20.0</v>
      </c>
      <c r="B21" s="10">
        <v>75100.0</v>
      </c>
      <c r="C21" s="10">
        <v>360000.0</v>
      </c>
    </row>
    <row r="22">
      <c r="A22" s="13">
        <v>21.0</v>
      </c>
      <c r="B22" s="10">
        <v>16000.0</v>
      </c>
      <c r="C22" s="10">
        <v>205000.0</v>
      </c>
    </row>
    <row r="23">
      <c r="A23" s="13">
        <v>22.0</v>
      </c>
      <c r="B23" s="10">
        <v>154075.0</v>
      </c>
      <c r="C23" s="10">
        <v>510000.0</v>
      </c>
    </row>
    <row r="24">
      <c r="A24" s="13">
        <v>23.0</v>
      </c>
      <c r="B24" s="10">
        <v>78200.0</v>
      </c>
      <c r="C24" s="10">
        <v>480000.0</v>
      </c>
    </row>
    <row r="25">
      <c r="A25" s="3">
        <v>24.0</v>
      </c>
      <c r="B25" s="8"/>
      <c r="C25" s="8"/>
    </row>
    <row r="26">
      <c r="A26" s="13">
        <v>25.0</v>
      </c>
      <c r="B26" s="10">
        <v>1000.0</v>
      </c>
      <c r="C26" s="10">
        <v>95000.0</v>
      </c>
      <c r="D26" s="11">
        <v>457500.0</v>
      </c>
    </row>
    <row r="27">
      <c r="A27" s="13">
        <v>26.0</v>
      </c>
      <c r="B27" s="10">
        <v>144100.0</v>
      </c>
      <c r="C27" s="10">
        <v>520000.0</v>
      </c>
      <c r="D27" s="11">
        <v>1120900.0</v>
      </c>
      <c r="E27" s="12">
        <v>1659000.0</v>
      </c>
    </row>
    <row r="28">
      <c r="A28" s="13">
        <v>27.0</v>
      </c>
      <c r="B28" s="10">
        <v>255200.0</v>
      </c>
      <c r="C28" s="10">
        <v>255000.0</v>
      </c>
    </row>
    <row r="29">
      <c r="A29" s="13">
        <v>28.0</v>
      </c>
      <c r="B29" s="14">
        <v>37900.0</v>
      </c>
      <c r="C29" s="10">
        <v>245000.0</v>
      </c>
    </row>
    <row r="30">
      <c r="A30" s="13">
        <v>29.0</v>
      </c>
      <c r="B30" s="14">
        <v>44700.0</v>
      </c>
      <c r="C30" s="14">
        <v>110000.0</v>
      </c>
      <c r="D30" s="11">
        <v>575100.0</v>
      </c>
      <c r="E30" s="11">
        <v>1379600.0</v>
      </c>
    </row>
    <row r="31">
      <c r="A31" s="13">
        <v>30.0</v>
      </c>
      <c r="B31" s="14">
        <v>122800.0</v>
      </c>
      <c r="C31" s="14">
        <v>252000.0</v>
      </c>
    </row>
    <row r="32">
      <c r="A32" s="3">
        <v>31.0</v>
      </c>
      <c r="B32" s="8"/>
      <c r="C32" s="8"/>
    </row>
    <row r="33">
      <c r="A33" s="13"/>
      <c r="B33" s="14"/>
      <c r="C33" s="14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3</v>
      </c>
    </row>
    <row r="2">
      <c r="A2" s="5">
        <v>1.0</v>
      </c>
      <c r="B2" s="10">
        <v>99000.0</v>
      </c>
      <c r="C2" s="10">
        <v>345000.0</v>
      </c>
    </row>
    <row r="3">
      <c r="A3" s="5">
        <v>2.0</v>
      </c>
      <c r="B3" s="10">
        <v>110000.0</v>
      </c>
      <c r="C3" s="10">
        <v>110000.0</v>
      </c>
      <c r="D3" s="12">
        <v>569750.0</v>
      </c>
    </row>
    <row r="4">
      <c r="A4" s="5">
        <v>3.0</v>
      </c>
      <c r="B4" s="10">
        <v>2000.0</v>
      </c>
      <c r="C4" s="10">
        <v>68000.0</v>
      </c>
    </row>
    <row r="5">
      <c r="A5" s="5">
        <v>4.0</v>
      </c>
      <c r="B5" s="10">
        <v>58400.0</v>
      </c>
      <c r="C5" s="10">
        <v>370000.0</v>
      </c>
    </row>
    <row r="6">
      <c r="A6" s="3">
        <v>5.0</v>
      </c>
      <c r="B6" s="8"/>
      <c r="C6" s="8"/>
    </row>
    <row r="7">
      <c r="A7" s="5">
        <v>6.0</v>
      </c>
      <c r="B7" s="10">
        <v>7000.0</v>
      </c>
      <c r="C7" s="10">
        <v>125000.0</v>
      </c>
      <c r="D7" s="11">
        <v>388000.0</v>
      </c>
    </row>
    <row r="8">
      <c r="A8" s="5">
        <v>7.0</v>
      </c>
      <c r="B8" s="10">
        <v>52150.0</v>
      </c>
      <c r="C8" s="10">
        <v>165000.0</v>
      </c>
      <c r="D8" s="11">
        <v>636500.0</v>
      </c>
    </row>
    <row r="9">
      <c r="A9" s="5">
        <v>8.0</v>
      </c>
      <c r="B9" s="10">
        <v>0.0</v>
      </c>
      <c r="C9" s="10">
        <v>80000.0</v>
      </c>
    </row>
    <row r="10">
      <c r="A10" s="5">
        <v>9.0</v>
      </c>
      <c r="B10" s="10">
        <v>25700.0</v>
      </c>
      <c r="C10" s="10">
        <v>210000.0</v>
      </c>
      <c r="D10" s="11">
        <v>707300.0</v>
      </c>
    </row>
    <row r="11">
      <c r="A11" s="5">
        <v>10.0</v>
      </c>
      <c r="B11" s="10">
        <v>162200.0</v>
      </c>
      <c r="C11" s="10">
        <v>220000.0</v>
      </c>
    </row>
    <row r="12">
      <c r="A12" s="5">
        <v>11.0</v>
      </c>
      <c r="B12" s="10">
        <v>0.0</v>
      </c>
      <c r="C12" s="10">
        <v>210000.0</v>
      </c>
    </row>
    <row r="13">
      <c r="A13" s="3">
        <v>12.0</v>
      </c>
      <c r="B13" s="8"/>
      <c r="C13" s="8"/>
    </row>
    <row r="14">
      <c r="A14" s="3">
        <v>13.0</v>
      </c>
      <c r="B14" s="8"/>
      <c r="C14" s="8"/>
    </row>
    <row r="15">
      <c r="A15" s="5">
        <v>14.0</v>
      </c>
      <c r="B15" s="10">
        <v>358300.0</v>
      </c>
      <c r="C15" s="10">
        <v>15000.0</v>
      </c>
    </row>
    <row r="16">
      <c r="A16" s="5">
        <v>15.0</v>
      </c>
      <c r="B16" s="10">
        <v>5000.0</v>
      </c>
      <c r="C16" s="10">
        <v>20000.0</v>
      </c>
    </row>
    <row r="17">
      <c r="A17" s="5">
        <v>16.0</v>
      </c>
      <c r="B17" s="10">
        <v>210000.0</v>
      </c>
      <c r="C17" s="10">
        <v>380000.0</v>
      </c>
    </row>
    <row r="18">
      <c r="A18" s="5">
        <v>17.0</v>
      </c>
      <c r="B18" s="10">
        <v>177100.0</v>
      </c>
      <c r="C18" s="10">
        <v>310000.0</v>
      </c>
    </row>
    <row r="19">
      <c r="A19" s="5">
        <v>18.0</v>
      </c>
      <c r="B19" s="10">
        <v>219900.0</v>
      </c>
      <c r="C19" s="10">
        <v>460000.0</v>
      </c>
    </row>
    <row r="20">
      <c r="A20" s="3">
        <v>19.0</v>
      </c>
      <c r="B20" s="8"/>
      <c r="C20" s="8"/>
    </row>
    <row r="21">
      <c r="A21" s="5">
        <v>20.0</v>
      </c>
      <c r="B21" s="10">
        <f>63900-50000</f>
        <v>13900</v>
      </c>
      <c r="C21" s="10">
        <v>130000.0</v>
      </c>
    </row>
    <row r="22">
      <c r="A22" s="5">
        <v>21.0</v>
      </c>
      <c r="B22" s="10">
        <v>115800.0</v>
      </c>
      <c r="C22" s="10">
        <v>410000.0</v>
      </c>
      <c r="D22" s="11">
        <v>779750.0</v>
      </c>
    </row>
    <row r="23">
      <c r="A23" s="5">
        <v>22.0</v>
      </c>
      <c r="B23" s="10">
        <v>0.0</v>
      </c>
      <c r="C23" s="10">
        <v>225000.0</v>
      </c>
      <c r="D23" s="11">
        <v>999350.0</v>
      </c>
    </row>
    <row r="24">
      <c r="A24" s="5">
        <v>23.0</v>
      </c>
      <c r="B24" s="10">
        <v>120000.0</v>
      </c>
      <c r="C24" s="10">
        <v>230000.0</v>
      </c>
      <c r="D24" s="11">
        <v>917450.0</v>
      </c>
    </row>
    <row r="25">
      <c r="A25" s="5">
        <v>24.0</v>
      </c>
      <c r="B25" s="10">
        <v>76400.0</v>
      </c>
      <c r="C25" s="10">
        <v>300000.0</v>
      </c>
    </row>
    <row r="26">
      <c r="A26" s="5">
        <v>25.0</v>
      </c>
      <c r="B26" s="10">
        <v>153800.0</v>
      </c>
      <c r="C26" s="10">
        <v>365000.0</v>
      </c>
    </row>
    <row r="27">
      <c r="A27" s="3">
        <v>26.0</v>
      </c>
      <c r="B27" s="8"/>
      <c r="C27" s="8"/>
    </row>
    <row r="28">
      <c r="A28" s="5">
        <v>27.0</v>
      </c>
      <c r="B28" s="6">
        <v>0.0</v>
      </c>
      <c r="C28" s="10">
        <v>170000.0</v>
      </c>
      <c r="D28" s="11">
        <v>1598150.0</v>
      </c>
    </row>
    <row r="29">
      <c r="A29" s="5">
        <v>28.0</v>
      </c>
      <c r="B29" s="10">
        <v>157600.0</v>
      </c>
      <c r="C29" s="10">
        <v>155000.0</v>
      </c>
      <c r="D29" s="11">
        <v>637250.0</v>
      </c>
    </row>
    <row r="30">
      <c r="A30" s="5">
        <v>29.0</v>
      </c>
      <c r="B30" s="6">
        <v>0.0</v>
      </c>
      <c r="C30" s="10">
        <v>335000.0</v>
      </c>
      <c r="D30" s="11">
        <v>720450.0</v>
      </c>
    </row>
    <row r="31">
      <c r="A31" s="5">
        <v>30.0</v>
      </c>
      <c r="B31" s="10">
        <v>121800.0</v>
      </c>
      <c r="C31" s="10">
        <v>337000.0</v>
      </c>
      <c r="D31" s="11">
        <v>969450.0</v>
      </c>
    </row>
    <row r="32">
      <c r="A32" s="5">
        <v>31.0</v>
      </c>
      <c r="B32" s="6">
        <v>5000.0</v>
      </c>
      <c r="C32" s="10">
        <v>355000.0</v>
      </c>
      <c r="D32" s="12">
        <v>540450.0</v>
      </c>
    </row>
    <row r="33">
      <c r="A33" s="5" t="s">
        <v>12</v>
      </c>
      <c r="B33" s="6"/>
      <c r="C33" s="6"/>
    </row>
    <row r="34">
      <c r="A34" s="13"/>
      <c r="B34" s="14"/>
      <c r="C34" s="14"/>
    </row>
  </sheetData>
  <drawing r:id="rId1"/>
</worksheet>
</file>