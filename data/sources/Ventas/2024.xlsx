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  <sheet state="visible" name="NOVIEMBRE" sheetId="11" r:id="rId15"/>
    <sheet state="visible" name="DICIEMBRE" sheetId="12" r:id="rId16"/>
    <sheet state="visible" name="Copia de ENERO" sheetId="13" r:id="rId17"/>
    <sheet state="visible" name="Copia de FEBRERO" sheetId="14" r:id="rId18"/>
    <sheet state="visible" name="Copia de MARZO" sheetId="15" r:id="rId19"/>
    <sheet state="visible" name="Copia de ABRIL" sheetId="16" r:id="rId20"/>
    <sheet state="visible" name="Copia de MAYO" sheetId="17" r:id="rId21"/>
    <sheet state="visible" name="Copia de JUNIO" sheetId="18" r:id="rId22"/>
    <sheet state="visible" name="Copia de JULIO" sheetId="19" r:id="rId23"/>
    <sheet state="visible" name="Copia de AGOSTO" sheetId="20" r:id="rId24"/>
    <sheet state="visible" name="Copia de SEPTIEMBRE" sheetId="21" r:id="rId25"/>
    <sheet state="visible" name="Copia de  de OCTUBRE" sheetId="22" r:id="rId26"/>
    <sheet state="visible" name="Copia de NOVIEMBRE" sheetId="23" r:id="rId27"/>
    <sheet state="visible" name="Copia de DICIEMBRE" sheetId="24" r:id="rId28"/>
  </sheets>
  <definedNames/>
  <calcPr/>
</workbook>
</file>

<file path=xl/sharedStrings.xml><?xml version="1.0" encoding="utf-8"?>
<sst xmlns="http://schemas.openxmlformats.org/spreadsheetml/2006/main" count="174" uniqueCount="40">
  <si>
    <t>VENTAS ALMACÉN ANTES IVA</t>
  </si>
  <si>
    <t>IVA</t>
  </si>
  <si>
    <t>VENTAS TOTAL ALMACÉN</t>
  </si>
  <si>
    <t>PELUQUERÍA</t>
  </si>
  <si>
    <t>TOTAL VENTAS DÍA</t>
  </si>
  <si>
    <t>VENTAS ACUMULADAS</t>
  </si>
  <si>
    <t>TOTAL</t>
  </si>
  <si>
    <t xml:space="preserve"> </t>
  </si>
  <si>
    <t>.</t>
  </si>
  <si>
    <t xml:space="preserve">se conto el corte de uñas </t>
  </si>
  <si>
    <t>según el otro excel</t>
  </si>
  <si>
    <t xml:space="preserve">TOTAL PELUQUERIA </t>
  </si>
  <si>
    <t>total real segun el otro excel</t>
  </si>
  <si>
    <t>436 perros</t>
  </si>
  <si>
    <t>ALMACEN</t>
  </si>
  <si>
    <t xml:space="preserve">PELUQUERIA </t>
  </si>
  <si>
    <t xml:space="preserve">DATAFONO </t>
  </si>
  <si>
    <t>CAJA CONTADA</t>
  </si>
  <si>
    <t>20000 wilfredo debe servicios</t>
  </si>
  <si>
    <t xml:space="preserve">faltan monedas </t>
  </si>
  <si>
    <t>-</t>
  </si>
  <si>
    <t>CONSIGNACION TIENDA SE LE DEBE $35,800</t>
  </si>
  <si>
    <t>falta consignar 38,000</t>
  </si>
  <si>
    <t>1,073.900</t>
  </si>
  <si>
    <t xml:space="preserve">ALMACEN </t>
  </si>
  <si>
    <t>DEBEN $7,400 DEVUELTA</t>
  </si>
  <si>
    <t xml:space="preserve">solo caja </t>
  </si>
  <si>
    <t>valor caja $428,200</t>
  </si>
  <si>
    <t xml:space="preserve">caja cuadrada </t>
  </si>
  <si>
    <t>1192200 CAJA</t>
  </si>
  <si>
    <t xml:space="preserve">caja </t>
  </si>
  <si>
    <t>34,300 devuelta consignar</t>
  </si>
  <si>
    <t>1.473.100</t>
  </si>
  <si>
    <t>sobrante de $51,000</t>
  </si>
  <si>
    <t>sobrante</t>
  </si>
  <si>
    <t xml:space="preserve">Real </t>
  </si>
  <si>
    <t>DEVUELTA DE 8,000</t>
  </si>
  <si>
    <t>FALTA LO DEL CUADERNO</t>
  </si>
  <si>
    <t xml:space="preserve">TAMALES </t>
  </si>
  <si>
    <t xml:space="preserve">valor solo caja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</si>
</sst>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/>
    </xf>
    <xf borderId="1" fillId="2" fontId="3" numFmtId="164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2" fontId="3" numFmtId="164" xfId="0" applyAlignment="1" applyBorder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3" fontId="3" numFmtId="3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0" fontId="3" numFmtId="164" xfId="0" applyFont="1" applyNumberFormat="1"/>
    <xf borderId="0" fillId="3" fontId="3" numFmtId="164" xfId="0" applyFont="1" applyNumberFormat="1"/>
    <xf borderId="0" fillId="3" fontId="3" numFmtId="164" xfId="0" applyAlignment="1" applyFont="1" applyNumberFormat="1">
      <alignment readingOrder="0"/>
    </xf>
    <xf borderId="1" fillId="2" fontId="3" numFmtId="0" xfId="0" applyBorder="1" applyFont="1"/>
    <xf borderId="1" fillId="0" fontId="3" numFmtId="164" xfId="0" applyAlignment="1" applyBorder="1" applyFont="1" applyNumberFormat="1">
      <alignment readingOrder="0"/>
    </xf>
    <xf borderId="0" fillId="0" fontId="3" numFmtId="164" xfId="0" applyFont="1" applyNumberFormat="1"/>
    <xf borderId="1" fillId="2" fontId="3" numFmtId="164" xfId="0" applyBorder="1" applyFont="1" applyNumberFormat="1"/>
    <xf borderId="0" fillId="4" fontId="3" numFmtId="0" xfId="0" applyAlignment="1" applyFill="1" applyFont="1">
      <alignment readingOrder="0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shrinkToFit="0" wrapText="1"/>
    </xf>
    <xf borderId="1" fillId="0" fontId="3" numFmtId="164" xfId="0" applyBorder="1" applyFont="1" applyNumberFormat="1"/>
    <xf borderId="1" fillId="2" fontId="6" numFmtId="0" xfId="0" applyAlignment="1" applyBorder="1" applyFont="1">
      <alignment horizontal="center" vertical="bottom"/>
    </xf>
    <xf borderId="1" fillId="2" fontId="4" numFmtId="164" xfId="0" applyAlignment="1" applyBorder="1" applyFont="1" applyNumberFormat="1">
      <alignment vertical="bottom"/>
    </xf>
    <xf borderId="1" fillId="0" fontId="6" numFmtId="0" xfId="0" applyAlignment="1" applyBorder="1" applyFont="1">
      <alignment horizontal="center" vertical="bottom"/>
    </xf>
    <xf borderId="1" fillId="5" fontId="4" numFmtId="164" xfId="0" applyAlignment="1" applyBorder="1" applyFill="1" applyFont="1" applyNumberFormat="1">
      <alignment horizontal="right" vertical="bottom"/>
    </xf>
    <xf borderId="1" fillId="4" fontId="4" numFmtId="164" xfId="0" applyAlignment="1" applyBorder="1" applyFont="1" applyNumberFormat="1">
      <alignment horizontal="right" readingOrder="0" vertical="bottom"/>
    </xf>
    <xf borderId="1" fillId="5" fontId="4" numFmtId="164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1" fillId="2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3" fontId="3" numFmtId="164" xfId="0" applyAlignment="1" applyBorder="1" applyFont="1" applyNumberFormat="1">
      <alignment readingOrder="0"/>
    </xf>
    <xf borderId="1" fillId="6" fontId="3" numFmtId="164" xfId="0" applyAlignment="1" applyBorder="1" applyFill="1" applyFont="1" applyNumberFormat="1">
      <alignment readingOrder="0"/>
    </xf>
    <xf borderId="0" fillId="0" fontId="3" numFmtId="0" xfId="0" applyFont="1"/>
    <xf borderId="1" fillId="3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0" fontId="3" numFmtId="3" xfId="0" applyFont="1" applyNumberFormat="1"/>
    <xf borderId="1" fillId="5" fontId="3" numFmtId="164" xfId="0" applyAlignment="1" applyBorder="1" applyFont="1" applyNumberFormat="1">
      <alignment readingOrder="0"/>
    </xf>
    <xf borderId="1" fillId="4" fontId="3" numFmtId="164" xfId="0" applyAlignment="1" applyBorder="1" applyFont="1" applyNumberFormat="1">
      <alignment readingOrder="0"/>
    </xf>
    <xf borderId="1" fillId="7" fontId="3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4"/>
      <c r="C2" s="4"/>
      <c r="D2" s="4"/>
      <c r="E2" s="4"/>
      <c r="F2" s="4"/>
      <c r="G2" s="4"/>
    </row>
    <row r="3">
      <c r="A3" s="3">
        <v>2.0</v>
      </c>
      <c r="B3" s="4"/>
      <c r="C3" s="4"/>
      <c r="D3" s="4"/>
      <c r="E3" s="4"/>
      <c r="F3" s="4"/>
      <c r="G3" s="4"/>
    </row>
    <row r="4">
      <c r="A4" s="3">
        <v>3.0</v>
      </c>
      <c r="B4" s="4"/>
      <c r="C4" s="4"/>
      <c r="D4" s="4"/>
      <c r="E4" s="4"/>
      <c r="F4" s="4"/>
      <c r="G4" s="4"/>
    </row>
    <row r="5">
      <c r="A5" s="3">
        <v>4.0</v>
      </c>
      <c r="B5" s="4"/>
      <c r="C5" s="4"/>
      <c r="D5" s="4"/>
      <c r="E5" s="4"/>
      <c r="F5" s="4"/>
      <c r="G5" s="4"/>
    </row>
    <row r="6">
      <c r="A6" s="3">
        <v>5.0</v>
      </c>
      <c r="B6" s="4"/>
      <c r="C6" s="4"/>
      <c r="D6" s="4"/>
      <c r="E6" s="4"/>
      <c r="F6" s="4"/>
      <c r="G6" s="4"/>
    </row>
    <row r="7">
      <c r="A7" s="3">
        <v>6.0</v>
      </c>
      <c r="B7" s="4"/>
      <c r="C7" s="4"/>
      <c r="D7" s="4"/>
      <c r="E7" s="4"/>
      <c r="F7" s="4"/>
      <c r="G7" s="4"/>
    </row>
    <row r="8">
      <c r="A8" s="3">
        <v>7.0</v>
      </c>
      <c r="B8" s="4"/>
      <c r="C8" s="4"/>
      <c r="D8" s="4"/>
      <c r="E8" s="4"/>
      <c r="F8" s="4"/>
      <c r="G8" s="4"/>
    </row>
    <row r="9">
      <c r="A9" s="3">
        <v>8.0</v>
      </c>
      <c r="B9" s="4"/>
      <c r="C9" s="4"/>
      <c r="D9" s="4"/>
      <c r="E9" s="4"/>
      <c r="F9" s="4"/>
      <c r="G9" s="4"/>
    </row>
    <row r="10">
      <c r="A10" s="5">
        <v>9.0</v>
      </c>
      <c r="B10" s="6">
        <v>89967.0</v>
      </c>
      <c r="C10" s="6">
        <v>16702.0</v>
      </c>
      <c r="D10" s="7">
        <f t="shared" ref="D10:D14" si="1">C10+B10</f>
        <v>106669</v>
      </c>
      <c r="E10" s="6">
        <v>430000.0</v>
      </c>
      <c r="F10" s="7">
        <f t="shared" ref="F10:F14" si="2">E10+B10</f>
        <v>519967</v>
      </c>
      <c r="G10" s="7"/>
    </row>
    <row r="11">
      <c r="A11" s="5">
        <v>10.0</v>
      </c>
      <c r="B11" s="6">
        <v>221555.0</v>
      </c>
      <c r="C11" s="6">
        <v>17195.0</v>
      </c>
      <c r="D11" s="7">
        <f t="shared" si="1"/>
        <v>238750</v>
      </c>
      <c r="E11" s="6">
        <v>384000.0</v>
      </c>
      <c r="F11" s="7">
        <f t="shared" si="2"/>
        <v>605555</v>
      </c>
      <c r="G11" s="7">
        <f>F11+F10</f>
        <v>1125522</v>
      </c>
    </row>
    <row r="12">
      <c r="A12" s="5">
        <v>11.0</v>
      </c>
      <c r="B12" s="6">
        <v>422248.0</v>
      </c>
      <c r="C12" s="6">
        <v>32881.0</v>
      </c>
      <c r="D12" s="7">
        <f t="shared" si="1"/>
        <v>455129</v>
      </c>
      <c r="E12" s="6">
        <v>437000.0</v>
      </c>
      <c r="F12" s="7">
        <f t="shared" si="2"/>
        <v>859248</v>
      </c>
      <c r="G12" s="7">
        <f t="shared" ref="G12:G14" si="3">G11+F12</f>
        <v>1984770</v>
      </c>
    </row>
    <row r="13">
      <c r="A13" s="5">
        <v>12.0</v>
      </c>
      <c r="B13" s="6">
        <v>129109.0</v>
      </c>
      <c r="C13" s="6">
        <v>10067.0</v>
      </c>
      <c r="D13" s="7">
        <f t="shared" si="1"/>
        <v>139176</v>
      </c>
      <c r="E13" s="6">
        <v>409000.0</v>
      </c>
      <c r="F13" s="7">
        <f t="shared" si="2"/>
        <v>538109</v>
      </c>
      <c r="G13" s="7">
        <f t="shared" si="3"/>
        <v>2522879</v>
      </c>
    </row>
    <row r="14">
      <c r="A14" s="5">
        <v>13.0</v>
      </c>
      <c r="B14" s="6">
        <v>201255.0</v>
      </c>
      <c r="C14" s="6">
        <v>7858.0</v>
      </c>
      <c r="D14" s="7">
        <f t="shared" si="1"/>
        <v>209113</v>
      </c>
      <c r="E14" s="6">
        <v>674000.0</v>
      </c>
      <c r="F14" s="7">
        <f t="shared" si="2"/>
        <v>875255</v>
      </c>
      <c r="G14" s="7">
        <f t="shared" si="3"/>
        <v>3398134</v>
      </c>
    </row>
    <row r="15">
      <c r="A15" s="3">
        <v>14.0</v>
      </c>
      <c r="B15" s="8"/>
      <c r="C15" s="8"/>
      <c r="D15" s="4"/>
      <c r="E15" s="8"/>
      <c r="F15" s="4"/>
      <c r="G15" s="4"/>
    </row>
    <row r="16">
      <c r="A16" s="5">
        <v>15.0</v>
      </c>
      <c r="B16" s="6">
        <v>52627.0</v>
      </c>
      <c r="C16" s="6">
        <v>5773.0</v>
      </c>
      <c r="D16" s="7">
        <f t="shared" ref="D16:D21" si="4">C16+B16</f>
        <v>58400</v>
      </c>
      <c r="E16" s="6">
        <v>408000.0</v>
      </c>
      <c r="F16" s="7">
        <f t="shared" ref="F16:F21" si="5">E16+B16</f>
        <v>460627</v>
      </c>
      <c r="G16" s="7">
        <f>G14+F16</f>
        <v>3858761</v>
      </c>
    </row>
    <row r="17">
      <c r="A17" s="5">
        <v>16.0</v>
      </c>
      <c r="B17" s="6">
        <v>455334.0</v>
      </c>
      <c r="C17" s="6">
        <v>38971.0</v>
      </c>
      <c r="D17" s="7">
        <f t="shared" si="4"/>
        <v>494305</v>
      </c>
      <c r="E17" s="6">
        <v>528000.0</v>
      </c>
      <c r="F17" s="7">
        <f t="shared" si="5"/>
        <v>983334</v>
      </c>
      <c r="G17" s="7">
        <f t="shared" ref="G17:G21" si="6">G16+F17</f>
        <v>4842095</v>
      </c>
    </row>
    <row r="18">
      <c r="A18" s="5">
        <v>17.0</v>
      </c>
      <c r="B18" s="6">
        <v>146905.0</v>
      </c>
      <c r="C18" s="6">
        <v>12745.0</v>
      </c>
      <c r="D18" s="7">
        <f t="shared" si="4"/>
        <v>159650</v>
      </c>
      <c r="E18" s="6">
        <v>510000.0</v>
      </c>
      <c r="F18" s="7">
        <f t="shared" si="5"/>
        <v>656905</v>
      </c>
      <c r="G18" s="7">
        <f t="shared" si="6"/>
        <v>5499000</v>
      </c>
    </row>
    <row r="19">
      <c r="A19" s="5">
        <v>18.0</v>
      </c>
      <c r="B19" s="6">
        <v>67647.0</v>
      </c>
      <c r="C19" s="6">
        <v>9253.0</v>
      </c>
      <c r="D19" s="7">
        <f t="shared" si="4"/>
        <v>76900</v>
      </c>
      <c r="E19" s="6">
        <v>563000.0</v>
      </c>
      <c r="F19" s="7">
        <f t="shared" si="5"/>
        <v>630647</v>
      </c>
      <c r="G19" s="7">
        <f t="shared" si="6"/>
        <v>6129647</v>
      </c>
    </row>
    <row r="20">
      <c r="A20" s="5">
        <v>19.0</v>
      </c>
      <c r="B20" s="6">
        <v>187641.0</v>
      </c>
      <c r="C20" s="6">
        <v>14946.0</v>
      </c>
      <c r="D20" s="7">
        <f t="shared" si="4"/>
        <v>202587</v>
      </c>
      <c r="E20" s="6">
        <v>656000.0</v>
      </c>
      <c r="F20" s="7">
        <f t="shared" si="5"/>
        <v>843641</v>
      </c>
      <c r="G20" s="7">
        <f t="shared" si="6"/>
        <v>6973288</v>
      </c>
    </row>
    <row r="21">
      <c r="A21" s="5">
        <v>20.0</v>
      </c>
      <c r="B21" s="6">
        <v>246396.0</v>
      </c>
      <c r="C21" s="6">
        <v>44558.0</v>
      </c>
      <c r="D21" s="7">
        <f t="shared" si="4"/>
        <v>290954</v>
      </c>
      <c r="E21" s="6">
        <v>692000.0</v>
      </c>
      <c r="F21" s="7">
        <f t="shared" si="5"/>
        <v>938396</v>
      </c>
      <c r="G21" s="7">
        <f t="shared" si="6"/>
        <v>7911684</v>
      </c>
    </row>
    <row r="22">
      <c r="A22" s="3">
        <v>21.0</v>
      </c>
      <c r="B22" s="8"/>
      <c r="C22" s="8"/>
      <c r="D22" s="4"/>
      <c r="E22" s="8"/>
      <c r="F22" s="4"/>
      <c r="G22" s="4"/>
    </row>
    <row r="23">
      <c r="A23" s="5">
        <v>22.0</v>
      </c>
      <c r="B23" s="6">
        <v>460748.0</v>
      </c>
      <c r="C23" s="6">
        <v>50633.0</v>
      </c>
      <c r="D23" s="7">
        <f t="shared" ref="D23:D28" si="7">C23+B23</f>
        <v>511381</v>
      </c>
      <c r="E23" s="6">
        <v>436000.0</v>
      </c>
      <c r="F23" s="7">
        <f t="shared" ref="F23:F28" si="8">E23+B23</f>
        <v>896748</v>
      </c>
      <c r="G23" s="7">
        <f>F23+G21</f>
        <v>8808432</v>
      </c>
    </row>
    <row r="24">
      <c r="A24" s="5">
        <v>23.0</v>
      </c>
      <c r="B24" s="6">
        <v>190634.0</v>
      </c>
      <c r="C24" s="6">
        <v>28755.0</v>
      </c>
      <c r="D24" s="7">
        <f t="shared" si="7"/>
        <v>219389</v>
      </c>
      <c r="E24" s="6">
        <v>535000.0</v>
      </c>
      <c r="F24" s="7">
        <f t="shared" si="8"/>
        <v>725634</v>
      </c>
      <c r="G24" s="7">
        <f t="shared" ref="G24:G25" si="9">F24+G23</f>
        <v>9534066</v>
      </c>
    </row>
    <row r="25">
      <c r="A25" s="5">
        <v>24.0</v>
      </c>
      <c r="B25" s="6">
        <v>409015.0</v>
      </c>
      <c r="C25" s="6">
        <v>16806.0</v>
      </c>
      <c r="D25" s="7">
        <f t="shared" si="7"/>
        <v>425821</v>
      </c>
      <c r="E25" s="6">
        <v>669000.0</v>
      </c>
      <c r="F25" s="7">
        <f t="shared" si="8"/>
        <v>1078015</v>
      </c>
      <c r="G25" s="7">
        <f t="shared" si="9"/>
        <v>10612081</v>
      </c>
    </row>
    <row r="26">
      <c r="A26" s="5">
        <v>25.0</v>
      </c>
      <c r="B26" s="6">
        <v>262145.0</v>
      </c>
      <c r="C26" s="6">
        <v>21551.0</v>
      </c>
      <c r="D26" s="7">
        <f t="shared" si="7"/>
        <v>283696</v>
      </c>
      <c r="E26" s="6">
        <v>585000.0</v>
      </c>
      <c r="F26" s="7">
        <f t="shared" si="8"/>
        <v>847145</v>
      </c>
      <c r="G26" s="7">
        <f t="shared" ref="G26:G28" si="10">G25+F26</f>
        <v>11459226</v>
      </c>
    </row>
    <row r="27">
      <c r="A27" s="5">
        <v>26.0</v>
      </c>
      <c r="B27" s="6">
        <v>133875.0</v>
      </c>
      <c r="C27" s="6">
        <v>7451.0</v>
      </c>
      <c r="D27" s="7">
        <f t="shared" si="7"/>
        <v>141326</v>
      </c>
      <c r="E27" s="6">
        <v>531000.0</v>
      </c>
      <c r="F27" s="7">
        <f t="shared" si="8"/>
        <v>664875</v>
      </c>
      <c r="G27" s="7">
        <f t="shared" si="10"/>
        <v>12124101</v>
      </c>
    </row>
    <row r="28">
      <c r="A28" s="5">
        <v>27.0</v>
      </c>
      <c r="B28" s="6">
        <v>94265.0</v>
      </c>
      <c r="C28" s="6">
        <v>10386.0</v>
      </c>
      <c r="D28" s="7">
        <f t="shared" si="7"/>
        <v>104651</v>
      </c>
      <c r="E28" s="6">
        <v>535000.0</v>
      </c>
      <c r="F28" s="7">
        <f t="shared" si="8"/>
        <v>629265</v>
      </c>
      <c r="G28" s="7">
        <f t="shared" si="10"/>
        <v>12753366</v>
      </c>
    </row>
    <row r="29">
      <c r="A29" s="3">
        <v>28.0</v>
      </c>
      <c r="B29" s="8"/>
      <c r="C29" s="8"/>
      <c r="D29" s="4"/>
      <c r="E29" s="8"/>
      <c r="F29" s="4"/>
      <c r="G29" s="4"/>
    </row>
    <row r="30">
      <c r="A30" s="5">
        <v>29.0</v>
      </c>
      <c r="B30" s="6">
        <v>439230.0</v>
      </c>
      <c r="C30" s="6">
        <v>24861.0</v>
      </c>
      <c r="D30" s="7">
        <f t="shared" ref="D30:D32" si="11">C30+B30</f>
        <v>464091</v>
      </c>
      <c r="E30" s="6">
        <v>542000.0</v>
      </c>
      <c r="F30" s="7">
        <f t="shared" ref="F30:F32" si="12">E30+B30</f>
        <v>981230</v>
      </c>
      <c r="G30" s="7">
        <f>F30+G28</f>
        <v>13734596</v>
      </c>
    </row>
    <row r="31">
      <c r="A31" s="5">
        <v>30.0</v>
      </c>
      <c r="B31" s="6">
        <v>550407.0</v>
      </c>
      <c r="C31" s="6">
        <v>65642.0</v>
      </c>
      <c r="D31" s="7">
        <f t="shared" si="11"/>
        <v>616049</v>
      </c>
      <c r="E31" s="6">
        <v>532000.0</v>
      </c>
      <c r="F31" s="7">
        <f t="shared" si="12"/>
        <v>1082407</v>
      </c>
      <c r="G31" s="7">
        <f t="shared" ref="G31:G32" si="13">F31+G30</f>
        <v>14817003</v>
      </c>
    </row>
    <row r="32">
      <c r="A32" s="5">
        <v>31.0</v>
      </c>
      <c r="B32" s="6">
        <v>80542.0</v>
      </c>
      <c r="C32" s="6">
        <v>14912.0</v>
      </c>
      <c r="D32" s="7">
        <f t="shared" si="11"/>
        <v>95454</v>
      </c>
      <c r="E32" s="6">
        <v>543000.0</v>
      </c>
      <c r="F32" s="7">
        <f t="shared" si="12"/>
        <v>623542</v>
      </c>
      <c r="G32" s="7">
        <f t="shared" si="13"/>
        <v>15440545</v>
      </c>
    </row>
    <row r="33">
      <c r="A33" s="5" t="s">
        <v>6</v>
      </c>
      <c r="B33" s="7">
        <f t="shared" ref="B33:F33" si="14">SUM(B2:B32)</f>
        <v>4841545</v>
      </c>
      <c r="C33" s="7">
        <f t="shared" si="14"/>
        <v>451946</v>
      </c>
      <c r="D33" s="7">
        <f t="shared" si="14"/>
        <v>5293491</v>
      </c>
      <c r="E33" s="7">
        <f t="shared" si="14"/>
        <v>10599000</v>
      </c>
      <c r="F33" s="7">
        <f t="shared" si="14"/>
        <v>15440545</v>
      </c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99887.0</v>
      </c>
      <c r="C2" s="6">
        <v>4995.0</v>
      </c>
      <c r="D2" s="7">
        <f t="shared" ref="D2:D4" si="1">C2+B2</f>
        <v>104882</v>
      </c>
      <c r="E2" s="6">
        <v>429000.0</v>
      </c>
      <c r="F2" s="7">
        <f t="shared" ref="F2:F4" si="2">E2+B2</f>
        <v>528887</v>
      </c>
      <c r="G2" s="7">
        <f>F2</f>
        <v>528887</v>
      </c>
    </row>
    <row r="3">
      <c r="A3" s="5">
        <v>2.0</v>
      </c>
      <c r="B3" s="6">
        <v>1077884.0</v>
      </c>
      <c r="C3" s="6">
        <v>127644.0</v>
      </c>
      <c r="D3" s="7">
        <f t="shared" si="1"/>
        <v>1205528</v>
      </c>
      <c r="E3" s="6">
        <v>438000.0</v>
      </c>
      <c r="F3" s="7">
        <f t="shared" si="2"/>
        <v>1515884</v>
      </c>
      <c r="G3" s="7">
        <f t="shared" ref="G3:G4" si="3">F3+G2</f>
        <v>2044771</v>
      </c>
    </row>
    <row r="4">
      <c r="A4" s="5">
        <v>3.0</v>
      </c>
      <c r="B4" s="6">
        <v>469022.0</v>
      </c>
      <c r="C4" s="6">
        <v>70833.0</v>
      </c>
      <c r="D4" s="7">
        <f t="shared" si="1"/>
        <v>539855</v>
      </c>
      <c r="E4" s="6">
        <v>547000.0</v>
      </c>
      <c r="F4" s="7">
        <f t="shared" si="2"/>
        <v>1016022</v>
      </c>
      <c r="G4" s="7">
        <f t="shared" si="3"/>
        <v>3060793</v>
      </c>
    </row>
    <row r="5">
      <c r="A5" s="3">
        <v>4.0</v>
      </c>
      <c r="B5" s="4"/>
      <c r="C5" s="4"/>
      <c r="D5" s="4"/>
      <c r="E5" s="4"/>
      <c r="F5" s="4"/>
      <c r="G5" s="4"/>
    </row>
    <row r="6">
      <c r="A6" s="5">
        <v>5.0</v>
      </c>
      <c r="B6" s="6">
        <v>126439.0</v>
      </c>
      <c r="C6" s="6">
        <v>21933.0</v>
      </c>
      <c r="D6" s="7">
        <f t="shared" ref="D6:D11" si="4">C6+B6</f>
        <v>148372</v>
      </c>
      <c r="E6" s="6">
        <v>372000.0</v>
      </c>
      <c r="F6" s="7">
        <f t="shared" ref="F6:F11" si="5">E6+B6</f>
        <v>498439</v>
      </c>
      <c r="G6" s="7">
        <f>F6+G4</f>
        <v>3559232</v>
      </c>
    </row>
    <row r="7">
      <c r="A7" s="5">
        <v>6.0</v>
      </c>
      <c r="B7" s="6">
        <v>134266.0</v>
      </c>
      <c r="C7" s="6">
        <v>6713.0</v>
      </c>
      <c r="D7" s="7">
        <f t="shared" si="4"/>
        <v>140979</v>
      </c>
      <c r="E7" s="6">
        <v>403000.0</v>
      </c>
      <c r="F7" s="7">
        <f t="shared" si="5"/>
        <v>537266</v>
      </c>
      <c r="G7" s="7">
        <f t="shared" ref="G7:G9" si="6">F7+G6</f>
        <v>4096498</v>
      </c>
    </row>
    <row r="8">
      <c r="A8" s="5">
        <v>7.0</v>
      </c>
      <c r="B8" s="6">
        <v>326350.0</v>
      </c>
      <c r="C8" s="6">
        <v>16500.0</v>
      </c>
      <c r="D8" s="7">
        <f t="shared" si="4"/>
        <v>342850</v>
      </c>
      <c r="E8" s="6">
        <v>496000.0</v>
      </c>
      <c r="F8" s="7">
        <f t="shared" si="5"/>
        <v>822350</v>
      </c>
      <c r="G8" s="7">
        <f t="shared" si="6"/>
        <v>4918848</v>
      </c>
    </row>
    <row r="9">
      <c r="A9" s="5">
        <v>8.0</v>
      </c>
      <c r="B9" s="6">
        <v>130666.0</v>
      </c>
      <c r="C9" s="6">
        <v>6534.0</v>
      </c>
      <c r="D9" s="7">
        <f t="shared" si="4"/>
        <v>137200</v>
      </c>
      <c r="E9" s="6">
        <v>395000.0</v>
      </c>
      <c r="F9" s="7">
        <f t="shared" si="5"/>
        <v>525666</v>
      </c>
      <c r="G9" s="7">
        <f t="shared" si="6"/>
        <v>5444514</v>
      </c>
    </row>
    <row r="10">
      <c r="A10" s="5">
        <v>9.0</v>
      </c>
      <c r="B10" s="6">
        <v>303598.0</v>
      </c>
      <c r="C10" s="6">
        <v>40920.0</v>
      </c>
      <c r="D10" s="7">
        <f t="shared" si="4"/>
        <v>344518</v>
      </c>
      <c r="E10" s="6">
        <v>670000.0</v>
      </c>
      <c r="F10" s="7">
        <f t="shared" si="5"/>
        <v>973598</v>
      </c>
      <c r="G10" s="7">
        <f t="shared" ref="G10:G11" si="7">G9+F10</f>
        <v>6418112</v>
      </c>
    </row>
    <row r="11">
      <c r="A11" s="5">
        <v>10.0</v>
      </c>
      <c r="B11" s="6">
        <v>365272.0</v>
      </c>
      <c r="C11" s="6">
        <v>28783.0</v>
      </c>
      <c r="D11" s="7">
        <f t="shared" si="4"/>
        <v>394055</v>
      </c>
      <c r="E11" s="6">
        <v>726000.0</v>
      </c>
      <c r="F11" s="7">
        <f t="shared" si="5"/>
        <v>1091272</v>
      </c>
      <c r="G11" s="7">
        <f t="shared" si="7"/>
        <v>7509384</v>
      </c>
    </row>
    <row r="12">
      <c r="A12" s="3">
        <v>11.0</v>
      </c>
      <c r="B12" s="8"/>
      <c r="C12" s="8"/>
      <c r="D12" s="4"/>
      <c r="E12" s="8"/>
      <c r="F12" s="4"/>
      <c r="G12" s="4"/>
    </row>
    <row r="13">
      <c r="A13" s="5">
        <v>12.0</v>
      </c>
      <c r="B13" s="6">
        <v>19048.0</v>
      </c>
      <c r="C13" s="6">
        <v>952.0</v>
      </c>
      <c r="D13" s="7">
        <f t="shared" ref="D13:D18" si="8">C13+B13</f>
        <v>20000</v>
      </c>
      <c r="E13" s="6">
        <v>348000.0</v>
      </c>
      <c r="F13" s="7">
        <f t="shared" ref="F13:F16" si="9">E13+B13</f>
        <v>367048</v>
      </c>
      <c r="G13" s="7">
        <f>F13+G11</f>
        <v>7876432</v>
      </c>
    </row>
    <row r="14">
      <c r="A14" s="5">
        <v>13.0</v>
      </c>
      <c r="B14" s="6">
        <v>193576.0</v>
      </c>
      <c r="C14" s="6">
        <v>23714.0</v>
      </c>
      <c r="D14" s="7">
        <f t="shared" si="8"/>
        <v>217290</v>
      </c>
      <c r="E14" s="6">
        <v>443000.0</v>
      </c>
      <c r="F14" s="7">
        <f t="shared" si="9"/>
        <v>636576</v>
      </c>
      <c r="G14" s="7">
        <f t="shared" ref="G14:G16" si="10">F14+G13</f>
        <v>8513008</v>
      </c>
    </row>
    <row r="15">
      <c r="A15" s="5">
        <v>14.0</v>
      </c>
      <c r="B15" s="6">
        <v>128412.0</v>
      </c>
      <c r="C15" s="6">
        <v>24398.0</v>
      </c>
      <c r="D15" s="7">
        <f t="shared" si="8"/>
        <v>152810</v>
      </c>
      <c r="E15" s="6">
        <v>454000.0</v>
      </c>
      <c r="F15" s="7">
        <f t="shared" si="9"/>
        <v>582412</v>
      </c>
      <c r="G15" s="7">
        <f t="shared" si="10"/>
        <v>9095420</v>
      </c>
    </row>
    <row r="16">
      <c r="A16" s="5">
        <v>15.0</v>
      </c>
      <c r="B16" s="6">
        <v>490531.0</v>
      </c>
      <c r="C16" s="6">
        <v>16568.0</v>
      </c>
      <c r="D16" s="7">
        <f t="shared" si="8"/>
        <v>507099</v>
      </c>
      <c r="E16" s="6">
        <v>438000.0</v>
      </c>
      <c r="F16" s="7">
        <f t="shared" si="9"/>
        <v>928531</v>
      </c>
      <c r="G16" s="7">
        <f t="shared" si="10"/>
        <v>10023951</v>
      </c>
    </row>
    <row r="17">
      <c r="A17" s="5">
        <v>16.0</v>
      </c>
      <c r="B17" s="6">
        <v>0.0</v>
      </c>
      <c r="C17" s="6">
        <v>0.0</v>
      </c>
      <c r="D17" s="6">
        <f t="shared" si="8"/>
        <v>0</v>
      </c>
      <c r="E17" s="6">
        <v>613000.0</v>
      </c>
      <c r="F17" s="7">
        <f>E17</f>
        <v>613000</v>
      </c>
      <c r="G17" s="7">
        <f t="shared" ref="G17:G18" si="11">G16+F17</f>
        <v>10636951</v>
      </c>
    </row>
    <row r="18">
      <c r="A18" s="5">
        <v>17.0</v>
      </c>
      <c r="B18" s="6">
        <v>327802.0</v>
      </c>
      <c r="C18" s="6">
        <v>54055.0</v>
      </c>
      <c r="D18" s="7">
        <f t="shared" si="8"/>
        <v>381857</v>
      </c>
      <c r="E18" s="6">
        <v>618000.0</v>
      </c>
      <c r="F18" s="7">
        <f>E18+B18</f>
        <v>945802</v>
      </c>
      <c r="G18" s="7">
        <f t="shared" si="11"/>
        <v>11582753</v>
      </c>
    </row>
    <row r="19">
      <c r="A19" s="3">
        <v>18.0</v>
      </c>
      <c r="B19" s="8"/>
      <c r="C19" s="8"/>
      <c r="D19" s="4"/>
      <c r="E19" s="8"/>
      <c r="F19" s="4"/>
      <c r="G19" s="4"/>
    </row>
    <row r="20">
      <c r="A20" s="5">
        <v>19.0</v>
      </c>
      <c r="B20" s="6">
        <v>162054.0</v>
      </c>
      <c r="C20" s="6">
        <v>14574.0</v>
      </c>
      <c r="D20" s="7">
        <f t="shared" ref="D20:D25" si="12">C20+B20</f>
        <v>176628</v>
      </c>
      <c r="E20" s="6">
        <v>210000.0</v>
      </c>
      <c r="F20" s="7">
        <f t="shared" ref="F20:F25" si="13">E20+B20</f>
        <v>372054</v>
      </c>
      <c r="G20" s="7">
        <f>F20+G18</f>
        <v>11954807</v>
      </c>
    </row>
    <row r="21">
      <c r="A21" s="5">
        <v>20.0</v>
      </c>
      <c r="B21" s="6">
        <v>49686.0</v>
      </c>
      <c r="C21" s="6">
        <v>5414.0</v>
      </c>
      <c r="D21" s="7">
        <f t="shared" si="12"/>
        <v>55100</v>
      </c>
      <c r="E21" s="6">
        <v>559000.0</v>
      </c>
      <c r="F21" s="7">
        <f t="shared" si="13"/>
        <v>608686</v>
      </c>
      <c r="G21" s="7">
        <f t="shared" ref="G21:G23" si="14">F21+G20</f>
        <v>12563493</v>
      </c>
    </row>
    <row r="22">
      <c r="A22" s="5">
        <v>21.0</v>
      </c>
      <c r="B22" s="6">
        <v>70761.0</v>
      </c>
      <c r="C22" s="6">
        <v>3539.0</v>
      </c>
      <c r="D22" s="7">
        <f t="shared" si="12"/>
        <v>74300</v>
      </c>
      <c r="E22" s="6">
        <v>282000.0</v>
      </c>
      <c r="F22" s="7">
        <f t="shared" si="13"/>
        <v>352761</v>
      </c>
      <c r="G22" s="7">
        <f t="shared" si="14"/>
        <v>12916254</v>
      </c>
    </row>
    <row r="23">
      <c r="A23" s="5">
        <v>22.0</v>
      </c>
      <c r="B23" s="6">
        <v>140801.0</v>
      </c>
      <c r="C23" s="6">
        <v>23711.0</v>
      </c>
      <c r="D23" s="7">
        <f t="shared" si="12"/>
        <v>164512</v>
      </c>
      <c r="E23" s="6">
        <v>343000.0</v>
      </c>
      <c r="F23" s="7">
        <f t="shared" si="13"/>
        <v>483801</v>
      </c>
      <c r="G23" s="7">
        <f t="shared" si="14"/>
        <v>13400055</v>
      </c>
    </row>
    <row r="24">
      <c r="A24" s="5">
        <v>23.0</v>
      </c>
      <c r="B24" s="6">
        <v>429740.0</v>
      </c>
      <c r="C24" s="6">
        <v>69126.0</v>
      </c>
      <c r="D24" s="7">
        <f t="shared" si="12"/>
        <v>498866</v>
      </c>
      <c r="E24" s="6">
        <v>717000.0</v>
      </c>
      <c r="F24" s="7">
        <f t="shared" si="13"/>
        <v>1146740</v>
      </c>
      <c r="G24" s="7">
        <f t="shared" ref="G24:G25" si="15">G23+F24</f>
        <v>14546795</v>
      </c>
    </row>
    <row r="25">
      <c r="A25" s="5">
        <v>24.0</v>
      </c>
      <c r="B25" s="6">
        <v>48162.0</v>
      </c>
      <c r="C25" s="6">
        <f>-887</f>
        <v>-887</v>
      </c>
      <c r="D25" s="7">
        <f t="shared" si="12"/>
        <v>47275</v>
      </c>
      <c r="E25" s="6">
        <v>534000.0</v>
      </c>
      <c r="F25" s="7">
        <f t="shared" si="13"/>
        <v>582162</v>
      </c>
      <c r="G25" s="7">
        <f t="shared" si="15"/>
        <v>15128957</v>
      </c>
    </row>
    <row r="26">
      <c r="A26" s="3">
        <v>25.0</v>
      </c>
      <c r="B26" s="8"/>
      <c r="C26" s="8"/>
      <c r="D26" s="4"/>
      <c r="E26" s="8"/>
      <c r="F26" s="4"/>
      <c r="G26" s="4"/>
    </row>
    <row r="27">
      <c r="A27" s="5">
        <v>26.0</v>
      </c>
      <c r="B27" s="6">
        <v>446583.0</v>
      </c>
      <c r="C27" s="6">
        <v>63494.0</v>
      </c>
      <c r="D27" s="7">
        <f t="shared" ref="D27:D30" si="16">C27+B27</f>
        <v>510077</v>
      </c>
      <c r="E27" s="6">
        <v>426000.0</v>
      </c>
      <c r="F27" s="7">
        <f t="shared" ref="F27:F30" si="17">E27+B27</f>
        <v>872583</v>
      </c>
      <c r="G27" s="7">
        <f>F27+G25</f>
        <v>16001540</v>
      </c>
    </row>
    <row r="28">
      <c r="A28" s="5">
        <v>27.0</v>
      </c>
      <c r="B28" s="6">
        <v>116372.0</v>
      </c>
      <c r="C28" s="6">
        <v>2819.0</v>
      </c>
      <c r="D28" s="7">
        <f t="shared" si="16"/>
        <v>119191</v>
      </c>
      <c r="E28" s="6">
        <v>556000.0</v>
      </c>
      <c r="F28" s="7">
        <f t="shared" si="17"/>
        <v>672372</v>
      </c>
      <c r="G28" s="7">
        <f t="shared" ref="G28:G30" si="18">G27+F28</f>
        <v>16673912</v>
      </c>
    </row>
    <row r="29">
      <c r="A29" s="5">
        <v>28.0</v>
      </c>
      <c r="B29" s="6">
        <v>15659.0</v>
      </c>
      <c r="C29" s="6">
        <v>2445.0</v>
      </c>
      <c r="D29" s="7">
        <f t="shared" si="16"/>
        <v>18104</v>
      </c>
      <c r="E29" s="6">
        <v>638000.0</v>
      </c>
      <c r="F29" s="7">
        <f t="shared" si="17"/>
        <v>653659</v>
      </c>
      <c r="G29" s="7">
        <f t="shared" si="18"/>
        <v>17327571</v>
      </c>
    </row>
    <row r="30">
      <c r="A30" s="5">
        <v>29.0</v>
      </c>
      <c r="B30" s="6">
        <v>262798.0</v>
      </c>
      <c r="C30" s="6">
        <v>11897.0</v>
      </c>
      <c r="D30" s="10">
        <f t="shared" si="16"/>
        <v>274695</v>
      </c>
      <c r="E30" s="6">
        <v>549000.0</v>
      </c>
      <c r="F30" s="7">
        <f t="shared" si="17"/>
        <v>811798</v>
      </c>
      <c r="G30" s="7">
        <f t="shared" si="18"/>
        <v>18139369</v>
      </c>
    </row>
    <row r="31">
      <c r="A31" s="5" t="s">
        <v>6</v>
      </c>
      <c r="B31" s="7">
        <f>SUM(B2:B30)</f>
        <v>5935369</v>
      </c>
      <c r="C31" s="7"/>
      <c r="D31" s="7"/>
      <c r="E31" s="7">
        <f>SUM(E2:E30)</f>
        <v>12204000</v>
      </c>
      <c r="F31" s="7"/>
      <c r="G31" s="7"/>
    </row>
    <row r="32">
      <c r="A32" s="9"/>
    </row>
    <row r="33">
      <c r="A33" s="9"/>
      <c r="D33" s="7">
        <v>2125272.0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282485.0</v>
      </c>
      <c r="C2" s="6">
        <v>23100.0</v>
      </c>
      <c r="D2" s="7">
        <f t="shared" ref="D2:D3" si="1">C2+B2</f>
        <v>305585</v>
      </c>
      <c r="E2" s="6">
        <v>662000.0</v>
      </c>
      <c r="F2" s="7">
        <f t="shared" ref="F2:F3" si="2">E2+B2</f>
        <v>944485</v>
      </c>
      <c r="G2" s="7">
        <f>F2</f>
        <v>944485</v>
      </c>
    </row>
    <row r="3">
      <c r="A3" s="5">
        <v>2.0</v>
      </c>
      <c r="B3" s="6">
        <v>567214.0</v>
      </c>
      <c r="C3" s="6">
        <v>48478.0</v>
      </c>
      <c r="D3" s="7">
        <f t="shared" si="1"/>
        <v>615692</v>
      </c>
      <c r="E3" s="6">
        <v>629000.0</v>
      </c>
      <c r="F3" s="7">
        <f t="shared" si="2"/>
        <v>1196214</v>
      </c>
      <c r="G3" s="7">
        <f>F3+G2</f>
        <v>2140699</v>
      </c>
    </row>
    <row r="4">
      <c r="A4" s="3">
        <v>3.0</v>
      </c>
      <c r="B4" s="8"/>
      <c r="C4" s="8"/>
      <c r="D4" s="4"/>
      <c r="E4" s="8"/>
      <c r="F4" s="4"/>
      <c r="G4" s="4"/>
    </row>
    <row r="5">
      <c r="A5" s="5">
        <v>4.0</v>
      </c>
      <c r="B5" s="6">
        <v>83682.0</v>
      </c>
      <c r="C5" s="6">
        <v>11516.0</v>
      </c>
      <c r="D5" s="7">
        <f t="shared" ref="D5:D25" si="3">C5+B5</f>
        <v>95198</v>
      </c>
      <c r="E5" s="6">
        <v>326000.0</v>
      </c>
      <c r="F5" s="7">
        <f t="shared" ref="F5:F25" si="4">E5+B5</f>
        <v>409682</v>
      </c>
      <c r="G5" s="7">
        <f>G3+F5</f>
        <v>2550381</v>
      </c>
    </row>
    <row r="6">
      <c r="A6" s="5">
        <v>5.0</v>
      </c>
      <c r="B6" s="6">
        <v>179572.0</v>
      </c>
      <c r="C6" s="6">
        <v>10141.0</v>
      </c>
      <c r="D6" s="7">
        <f t="shared" si="3"/>
        <v>189713</v>
      </c>
      <c r="E6" s="6">
        <v>425000.0</v>
      </c>
      <c r="F6" s="7">
        <f t="shared" si="4"/>
        <v>604572</v>
      </c>
      <c r="G6" s="7">
        <f t="shared" ref="G6:G31" si="5">F6+G5</f>
        <v>3154953</v>
      </c>
    </row>
    <row r="7">
      <c r="A7" s="5">
        <v>6.0</v>
      </c>
      <c r="B7" s="6">
        <v>14252.0</v>
      </c>
      <c r="C7" s="6">
        <v>2174.0</v>
      </c>
      <c r="D7" s="7">
        <f t="shared" si="3"/>
        <v>16426</v>
      </c>
      <c r="E7" s="6">
        <v>402000.0</v>
      </c>
      <c r="F7" s="7">
        <f t="shared" si="4"/>
        <v>416252</v>
      </c>
      <c r="G7" s="7">
        <f t="shared" si="5"/>
        <v>3571205</v>
      </c>
    </row>
    <row r="8">
      <c r="A8" s="5">
        <v>7.0</v>
      </c>
      <c r="B8" s="6">
        <v>109238.0</v>
      </c>
      <c r="C8" s="6">
        <v>5462.0</v>
      </c>
      <c r="D8" s="7">
        <f t="shared" si="3"/>
        <v>114700</v>
      </c>
      <c r="E8" s="6">
        <v>423000.0</v>
      </c>
      <c r="F8" s="7">
        <f t="shared" si="4"/>
        <v>532238</v>
      </c>
      <c r="G8" s="7">
        <f t="shared" si="5"/>
        <v>4103443</v>
      </c>
    </row>
    <row r="9">
      <c r="A9" s="5">
        <v>8.0</v>
      </c>
      <c r="B9" s="6">
        <v>114854.0</v>
      </c>
      <c r="C9" s="6">
        <v>3541.0</v>
      </c>
      <c r="D9" s="7">
        <f t="shared" si="3"/>
        <v>118395</v>
      </c>
      <c r="E9" s="6">
        <v>620000.0</v>
      </c>
      <c r="F9" s="7">
        <f t="shared" si="4"/>
        <v>734854</v>
      </c>
      <c r="G9" s="7">
        <f t="shared" si="5"/>
        <v>4838297</v>
      </c>
    </row>
    <row r="10">
      <c r="A10" s="5">
        <v>9.0</v>
      </c>
      <c r="B10" s="6">
        <v>255398.0</v>
      </c>
      <c r="C10" s="6">
        <v>12442.0</v>
      </c>
      <c r="D10" s="7">
        <f t="shared" si="3"/>
        <v>267840</v>
      </c>
      <c r="E10" s="6">
        <v>758000.0</v>
      </c>
      <c r="F10" s="7">
        <f t="shared" si="4"/>
        <v>1013398</v>
      </c>
      <c r="G10" s="7">
        <f t="shared" si="5"/>
        <v>5851695</v>
      </c>
    </row>
    <row r="11">
      <c r="A11" s="3">
        <v>10.0</v>
      </c>
      <c r="B11" s="8"/>
      <c r="C11" s="8"/>
      <c r="D11" s="4">
        <f t="shared" si="3"/>
        <v>0</v>
      </c>
      <c r="E11" s="8"/>
      <c r="F11" s="4">
        <f t="shared" si="4"/>
        <v>0</v>
      </c>
      <c r="G11" s="4">
        <f t="shared" si="5"/>
        <v>5851695</v>
      </c>
    </row>
    <row r="12">
      <c r="A12" s="5">
        <v>11.0</v>
      </c>
      <c r="B12" s="6">
        <v>275615.0</v>
      </c>
      <c r="C12" s="6">
        <v>13783.0</v>
      </c>
      <c r="D12" s="7">
        <f t="shared" si="3"/>
        <v>289398</v>
      </c>
      <c r="E12" s="6">
        <v>526000.0</v>
      </c>
      <c r="F12" s="7">
        <f t="shared" si="4"/>
        <v>801615</v>
      </c>
      <c r="G12" s="7">
        <f t="shared" si="5"/>
        <v>6653310</v>
      </c>
    </row>
    <row r="13">
      <c r="A13" s="5">
        <v>12.0</v>
      </c>
      <c r="B13" s="6">
        <v>33809.0</v>
      </c>
      <c r="C13" s="6">
        <v>1691.0</v>
      </c>
      <c r="D13" s="7">
        <f t="shared" si="3"/>
        <v>35500</v>
      </c>
      <c r="E13" s="6">
        <v>623000.0</v>
      </c>
      <c r="F13" s="7">
        <f t="shared" si="4"/>
        <v>656809</v>
      </c>
      <c r="G13" s="7">
        <f t="shared" si="5"/>
        <v>7310119</v>
      </c>
    </row>
    <row r="14">
      <c r="A14" s="5">
        <v>13.0</v>
      </c>
      <c r="B14" s="6">
        <v>110902.0</v>
      </c>
      <c r="C14" s="6">
        <v>11066.0</v>
      </c>
      <c r="D14" s="7">
        <f t="shared" si="3"/>
        <v>121968</v>
      </c>
      <c r="E14" s="6">
        <v>560000.0</v>
      </c>
      <c r="F14" s="7">
        <f t="shared" si="4"/>
        <v>670902</v>
      </c>
      <c r="G14" s="7">
        <f t="shared" si="5"/>
        <v>7981021</v>
      </c>
    </row>
    <row r="15">
      <c r="A15" s="5">
        <v>14.0</v>
      </c>
      <c r="B15" s="6">
        <v>235640.0</v>
      </c>
      <c r="C15" s="6">
        <v>32948.0</v>
      </c>
      <c r="D15" s="7">
        <f t="shared" si="3"/>
        <v>268588</v>
      </c>
      <c r="E15" s="6">
        <v>720000.0</v>
      </c>
      <c r="F15" s="7">
        <f t="shared" si="4"/>
        <v>955640</v>
      </c>
      <c r="G15" s="7">
        <f t="shared" si="5"/>
        <v>8936661</v>
      </c>
    </row>
    <row r="16">
      <c r="A16" s="5">
        <v>15.0</v>
      </c>
      <c r="B16" s="6">
        <v>323346.0</v>
      </c>
      <c r="C16" s="6">
        <v>37358.0</v>
      </c>
      <c r="D16" s="7">
        <f t="shared" si="3"/>
        <v>360704</v>
      </c>
      <c r="E16" s="6">
        <v>502000.0</v>
      </c>
      <c r="F16" s="7">
        <f t="shared" si="4"/>
        <v>825346</v>
      </c>
      <c r="G16" s="7">
        <f t="shared" si="5"/>
        <v>9762007</v>
      </c>
    </row>
    <row r="17">
      <c r="A17" s="5">
        <v>16.0</v>
      </c>
      <c r="B17" s="6">
        <v>238842.0</v>
      </c>
      <c r="C17" s="6">
        <v>36893.0</v>
      </c>
      <c r="D17" s="7">
        <f t="shared" si="3"/>
        <v>275735</v>
      </c>
      <c r="E17" s="6">
        <v>637000.0</v>
      </c>
      <c r="F17" s="7">
        <f t="shared" si="4"/>
        <v>875842</v>
      </c>
      <c r="G17" s="7">
        <f t="shared" si="5"/>
        <v>10637849</v>
      </c>
    </row>
    <row r="18">
      <c r="A18" s="3">
        <v>17.0</v>
      </c>
      <c r="B18" s="8"/>
      <c r="C18" s="8"/>
      <c r="D18" s="4">
        <f t="shared" si="3"/>
        <v>0</v>
      </c>
      <c r="E18" s="8"/>
      <c r="F18" s="4">
        <f t="shared" si="4"/>
        <v>0</v>
      </c>
      <c r="G18" s="4">
        <f t="shared" si="5"/>
        <v>10637849</v>
      </c>
    </row>
    <row r="19">
      <c r="A19" s="5">
        <v>18.0</v>
      </c>
      <c r="B19" s="6">
        <v>258876.0</v>
      </c>
      <c r="C19" s="6">
        <v>26662.0</v>
      </c>
      <c r="D19" s="7">
        <f t="shared" si="3"/>
        <v>285538</v>
      </c>
      <c r="E19" s="6">
        <v>547000.0</v>
      </c>
      <c r="F19" s="7">
        <f t="shared" si="4"/>
        <v>805876</v>
      </c>
      <c r="G19" s="7">
        <f t="shared" si="5"/>
        <v>11443725</v>
      </c>
    </row>
    <row r="20">
      <c r="A20" s="5">
        <v>19.0</v>
      </c>
      <c r="B20" s="6">
        <v>344837.0</v>
      </c>
      <c r="C20" s="6">
        <v>33800.0</v>
      </c>
      <c r="D20" s="7">
        <f t="shared" si="3"/>
        <v>378637</v>
      </c>
      <c r="E20" s="6">
        <v>424000.0</v>
      </c>
      <c r="F20" s="7">
        <f t="shared" si="4"/>
        <v>768837</v>
      </c>
      <c r="G20" s="7">
        <f t="shared" si="5"/>
        <v>12212562</v>
      </c>
    </row>
    <row r="21">
      <c r="A21" s="5">
        <v>20.0</v>
      </c>
      <c r="B21" s="6">
        <v>220394.0</v>
      </c>
      <c r="C21" s="6">
        <v>29596.0</v>
      </c>
      <c r="D21" s="7">
        <f t="shared" si="3"/>
        <v>249990</v>
      </c>
      <c r="E21" s="6">
        <v>621000.0</v>
      </c>
      <c r="F21" s="7">
        <f t="shared" si="4"/>
        <v>841394</v>
      </c>
      <c r="G21" s="7">
        <f t="shared" si="5"/>
        <v>13053956</v>
      </c>
    </row>
    <row r="22">
      <c r="A22" s="5">
        <v>21.0</v>
      </c>
      <c r="B22" s="6">
        <v>189216.0</v>
      </c>
      <c r="C22" s="6">
        <v>12284.0</v>
      </c>
      <c r="D22" s="7">
        <f t="shared" si="3"/>
        <v>201500</v>
      </c>
      <c r="E22" s="6">
        <v>528000.0</v>
      </c>
      <c r="F22" s="7">
        <f t="shared" si="4"/>
        <v>717216</v>
      </c>
      <c r="G22" s="7">
        <f t="shared" si="5"/>
        <v>13771172</v>
      </c>
    </row>
    <row r="23">
      <c r="A23" s="5">
        <v>22.0</v>
      </c>
      <c r="B23" s="6">
        <v>67504.0</v>
      </c>
      <c r="C23" s="6">
        <v>7801.0</v>
      </c>
      <c r="D23" s="7">
        <f t="shared" si="3"/>
        <v>75305</v>
      </c>
      <c r="E23" s="6">
        <v>688000.0</v>
      </c>
      <c r="F23" s="7">
        <f t="shared" si="4"/>
        <v>755504</v>
      </c>
      <c r="G23" s="7">
        <f t="shared" si="5"/>
        <v>14526676</v>
      </c>
    </row>
    <row r="24">
      <c r="A24" s="5">
        <v>23.0</v>
      </c>
      <c r="B24" s="6">
        <v>972211.0</v>
      </c>
      <c r="C24" s="6">
        <v>120812.0</v>
      </c>
      <c r="D24" s="7">
        <f t="shared" si="3"/>
        <v>1093023</v>
      </c>
      <c r="E24" s="6">
        <v>740000.0</v>
      </c>
      <c r="F24" s="7">
        <f t="shared" si="4"/>
        <v>1712211</v>
      </c>
      <c r="G24" s="7">
        <f t="shared" si="5"/>
        <v>16238887</v>
      </c>
    </row>
    <row r="25">
      <c r="A25" s="3">
        <v>24.0</v>
      </c>
      <c r="B25" s="8">
        <v>138186.0</v>
      </c>
      <c r="C25" s="8">
        <v>4884.0</v>
      </c>
      <c r="D25" s="4">
        <f t="shared" si="3"/>
        <v>143070</v>
      </c>
      <c r="E25" s="8">
        <v>654000.0</v>
      </c>
      <c r="F25" s="4">
        <f t="shared" si="4"/>
        <v>792186</v>
      </c>
      <c r="G25" s="4">
        <f t="shared" si="5"/>
        <v>17031073</v>
      </c>
    </row>
    <row r="26">
      <c r="A26" s="3">
        <v>25.0</v>
      </c>
      <c r="B26" s="8"/>
      <c r="C26" s="8"/>
      <c r="D26" s="4"/>
      <c r="E26" s="8"/>
      <c r="F26" s="4"/>
      <c r="G26" s="4">
        <f t="shared" si="5"/>
        <v>17031073</v>
      </c>
    </row>
    <row r="27">
      <c r="A27" s="5">
        <v>26.0</v>
      </c>
      <c r="B27" s="6">
        <v>338857.0</v>
      </c>
      <c r="C27" s="6">
        <v>16942.0</v>
      </c>
      <c r="D27" s="7">
        <f t="shared" ref="D27:D31" si="6">C27+B27</f>
        <v>355799</v>
      </c>
      <c r="E27" s="6"/>
      <c r="F27" s="7">
        <f t="shared" ref="F27:F31" si="7">E27+B27</f>
        <v>338857</v>
      </c>
      <c r="G27" s="7">
        <f t="shared" si="5"/>
        <v>17369930</v>
      </c>
    </row>
    <row r="28">
      <c r="A28" s="3">
        <v>27.0</v>
      </c>
      <c r="B28" s="8"/>
      <c r="C28" s="8"/>
      <c r="D28" s="4">
        <f t="shared" si="6"/>
        <v>0</v>
      </c>
      <c r="E28" s="8"/>
      <c r="F28" s="4">
        <f t="shared" si="7"/>
        <v>0</v>
      </c>
      <c r="G28" s="4">
        <f t="shared" si="5"/>
        <v>17369930</v>
      </c>
    </row>
    <row r="29">
      <c r="A29" s="3">
        <v>28.0</v>
      </c>
      <c r="B29" s="8"/>
      <c r="C29" s="8"/>
      <c r="D29" s="4">
        <f t="shared" si="6"/>
        <v>0</v>
      </c>
      <c r="E29" s="8"/>
      <c r="F29" s="4">
        <f t="shared" si="7"/>
        <v>0</v>
      </c>
      <c r="G29" s="4">
        <f t="shared" si="5"/>
        <v>17369930</v>
      </c>
    </row>
    <row r="30">
      <c r="A30" s="3">
        <v>29.0</v>
      </c>
      <c r="B30" s="8"/>
      <c r="C30" s="8"/>
      <c r="D30" s="4">
        <f t="shared" si="6"/>
        <v>0</v>
      </c>
      <c r="E30" s="8"/>
      <c r="F30" s="4">
        <f t="shared" si="7"/>
        <v>0</v>
      </c>
      <c r="G30" s="4">
        <f t="shared" si="5"/>
        <v>17369930</v>
      </c>
    </row>
    <row r="31">
      <c r="A31" s="3">
        <v>30.0</v>
      </c>
      <c r="B31" s="8"/>
      <c r="C31" s="8"/>
      <c r="D31" s="4">
        <f t="shared" si="6"/>
        <v>0</v>
      </c>
      <c r="E31" s="8"/>
      <c r="F31" s="4">
        <f t="shared" si="7"/>
        <v>0</v>
      </c>
      <c r="G31" s="4">
        <f t="shared" si="5"/>
        <v>17369930</v>
      </c>
    </row>
    <row r="32">
      <c r="A32" s="5" t="s">
        <v>6</v>
      </c>
      <c r="B32" s="7">
        <f>SUM(B2:B31)</f>
        <v>5354930</v>
      </c>
      <c r="C32" s="7"/>
      <c r="D32" s="7"/>
      <c r="E32" s="7">
        <f>SUM(E2:E31)</f>
        <v>12015000</v>
      </c>
      <c r="F32" s="7"/>
      <c r="G32" s="7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207505.0</v>
      </c>
      <c r="C2" s="6">
        <v>16131.0</v>
      </c>
      <c r="D2" s="7">
        <f>B2+C2</f>
        <v>223636</v>
      </c>
      <c r="E2" s="6">
        <v>517000.0</v>
      </c>
      <c r="F2" s="7">
        <f t="shared" ref="F2:F7" si="1">E2+B2</f>
        <v>724505</v>
      </c>
      <c r="G2" s="7">
        <f>F2</f>
        <v>724505</v>
      </c>
    </row>
    <row r="3">
      <c r="A3" s="5">
        <v>2.0</v>
      </c>
      <c r="B3" s="6">
        <v>297327.0</v>
      </c>
      <c r="C3" s="6">
        <v>18551.0</v>
      </c>
      <c r="D3" s="7">
        <f t="shared" ref="D3:D7" si="2">C3+B3</f>
        <v>315878</v>
      </c>
      <c r="E3" s="6">
        <v>536000.0</v>
      </c>
      <c r="F3" s="7">
        <f t="shared" si="1"/>
        <v>833327</v>
      </c>
      <c r="G3" s="7">
        <f t="shared" ref="G3:G7" si="3">G2+F3</f>
        <v>1557832</v>
      </c>
    </row>
    <row r="4">
      <c r="A4" s="5">
        <v>3.0</v>
      </c>
      <c r="B4" s="6">
        <v>90571.0</v>
      </c>
      <c r="C4" s="6">
        <v>4529.0</v>
      </c>
      <c r="D4" s="7">
        <f t="shared" si="2"/>
        <v>95100</v>
      </c>
      <c r="E4" s="6">
        <v>463000.0</v>
      </c>
      <c r="F4" s="7">
        <f t="shared" si="1"/>
        <v>553571</v>
      </c>
      <c r="G4" s="7">
        <f t="shared" si="3"/>
        <v>2111403</v>
      </c>
    </row>
    <row r="5">
      <c r="A5" s="5">
        <v>4.0</v>
      </c>
      <c r="B5" s="6">
        <v>89224.0</v>
      </c>
      <c r="C5" s="6">
        <v>7035.0</v>
      </c>
      <c r="D5" s="7">
        <f t="shared" si="2"/>
        <v>96259</v>
      </c>
      <c r="E5" s="6">
        <v>377000.0</v>
      </c>
      <c r="F5" s="7">
        <f t="shared" si="1"/>
        <v>466224</v>
      </c>
      <c r="G5" s="7">
        <f t="shared" si="3"/>
        <v>2577627</v>
      </c>
    </row>
    <row r="6">
      <c r="A6" s="5">
        <v>5.0</v>
      </c>
      <c r="B6" s="6">
        <v>153786.0</v>
      </c>
      <c r="C6" s="6">
        <v>22688.0</v>
      </c>
      <c r="D6" s="7">
        <f t="shared" si="2"/>
        <v>176474</v>
      </c>
      <c r="E6" s="6">
        <v>270000.0</v>
      </c>
      <c r="F6" s="7">
        <f t="shared" si="1"/>
        <v>423786</v>
      </c>
      <c r="G6" s="7">
        <f t="shared" si="3"/>
        <v>3001413</v>
      </c>
    </row>
    <row r="7">
      <c r="A7" s="5">
        <v>6.0</v>
      </c>
      <c r="B7" s="6">
        <v>496584.0</v>
      </c>
      <c r="C7" s="6">
        <v>81726.0</v>
      </c>
      <c r="D7" s="7">
        <f t="shared" si="2"/>
        <v>578310</v>
      </c>
      <c r="E7" s="6">
        <v>630000.0</v>
      </c>
      <c r="F7" s="7">
        <f t="shared" si="1"/>
        <v>1126584</v>
      </c>
      <c r="G7" s="7">
        <f t="shared" si="3"/>
        <v>4127997</v>
      </c>
    </row>
    <row r="8">
      <c r="A8" s="3">
        <v>7.0</v>
      </c>
      <c r="B8" s="8"/>
      <c r="C8" s="8"/>
      <c r="D8" s="4"/>
      <c r="E8" s="8"/>
      <c r="F8" s="4"/>
      <c r="G8" s="4"/>
    </row>
    <row r="9">
      <c r="A9" s="5">
        <v>8.0</v>
      </c>
      <c r="B9" s="6">
        <v>323105.0</v>
      </c>
      <c r="C9" s="6">
        <v>44337.0</v>
      </c>
      <c r="D9" s="7">
        <f t="shared" ref="D9:D11" si="4">C9+B9</f>
        <v>367442</v>
      </c>
      <c r="E9" s="6">
        <v>548000.0</v>
      </c>
      <c r="F9" s="7">
        <f t="shared" ref="F9:F12" si="5">E9+B9</f>
        <v>871105</v>
      </c>
      <c r="G9" s="7">
        <f>G7+F9</f>
        <v>4999102</v>
      </c>
    </row>
    <row r="10">
      <c r="A10" s="5">
        <v>9.0</v>
      </c>
      <c r="B10" s="6">
        <v>288565.0</v>
      </c>
      <c r="C10" s="6">
        <v>41515.0</v>
      </c>
      <c r="D10" s="7">
        <f t="shared" si="4"/>
        <v>330080</v>
      </c>
      <c r="E10" s="6">
        <v>377000.0</v>
      </c>
      <c r="F10" s="7">
        <f t="shared" si="5"/>
        <v>665565</v>
      </c>
      <c r="G10" s="7">
        <f t="shared" ref="G10:G14" si="6">G9+F10</f>
        <v>5664667</v>
      </c>
    </row>
    <row r="11">
      <c r="A11" s="5">
        <v>10.0</v>
      </c>
      <c r="B11" s="6">
        <v>190101.0</v>
      </c>
      <c r="C11" s="6">
        <v>14713.0</v>
      </c>
      <c r="D11" s="7">
        <f t="shared" si="4"/>
        <v>204814</v>
      </c>
      <c r="E11" s="6">
        <v>564000.0</v>
      </c>
      <c r="F11" s="7">
        <f t="shared" si="5"/>
        <v>754101</v>
      </c>
      <c r="G11" s="7">
        <f t="shared" si="6"/>
        <v>6418768</v>
      </c>
    </row>
    <row r="12">
      <c r="A12" s="5">
        <v>11.0</v>
      </c>
      <c r="B12" s="6">
        <v>0.0</v>
      </c>
      <c r="C12" s="6">
        <v>0.0</v>
      </c>
      <c r="D12" s="6">
        <v>0.0</v>
      </c>
      <c r="E12" s="6">
        <v>476000.0</v>
      </c>
      <c r="F12" s="7">
        <f t="shared" si="5"/>
        <v>476000</v>
      </c>
      <c r="G12" s="7">
        <f t="shared" si="6"/>
        <v>6894768</v>
      </c>
    </row>
    <row r="13">
      <c r="A13" s="5">
        <v>12.0</v>
      </c>
      <c r="B13" s="6">
        <v>61295.0</v>
      </c>
      <c r="C13" s="6">
        <v>3066.0</v>
      </c>
      <c r="D13" s="7">
        <f t="shared" ref="D13:D14" si="7">C13+B13</f>
        <v>64361</v>
      </c>
      <c r="E13" s="6">
        <v>604000.0</v>
      </c>
      <c r="F13" s="7">
        <f>+E13+B13</f>
        <v>665295</v>
      </c>
      <c r="G13" s="7">
        <f t="shared" si="6"/>
        <v>7560063</v>
      </c>
    </row>
    <row r="14">
      <c r="A14" s="5">
        <v>13.0</v>
      </c>
      <c r="B14" s="6">
        <v>138262.0</v>
      </c>
      <c r="C14" s="6">
        <v>18231.0</v>
      </c>
      <c r="D14" s="7">
        <f t="shared" si="7"/>
        <v>156493</v>
      </c>
      <c r="E14" s="6">
        <v>727000.0</v>
      </c>
      <c r="F14" s="7">
        <f>E14+B14</f>
        <v>865262</v>
      </c>
      <c r="G14" s="7">
        <f t="shared" si="6"/>
        <v>8425325</v>
      </c>
    </row>
    <row r="15">
      <c r="A15" s="3">
        <v>14.0</v>
      </c>
      <c r="B15" s="8"/>
      <c r="C15" s="8"/>
      <c r="D15" s="4"/>
      <c r="E15" s="8"/>
      <c r="F15" s="4"/>
      <c r="G15" s="4"/>
      <c r="J15" s="11" t="s">
        <v>7</v>
      </c>
    </row>
    <row r="16">
      <c r="A16" s="5">
        <v>15.0</v>
      </c>
      <c r="B16" s="6">
        <v>321633.0</v>
      </c>
      <c r="C16" s="6">
        <v>40591.0</v>
      </c>
      <c r="D16" s="7">
        <f t="shared" ref="D16:D21" si="8">C16+B16</f>
        <v>362224</v>
      </c>
      <c r="E16" s="6">
        <v>358000.0</v>
      </c>
      <c r="F16" s="7">
        <f t="shared" ref="F16:F21" si="9">E16+B16</f>
        <v>679633</v>
      </c>
      <c r="G16" s="7">
        <f>F16+G14</f>
        <v>9104958</v>
      </c>
    </row>
    <row r="17">
      <c r="A17" s="5">
        <v>16.0</v>
      </c>
      <c r="B17" s="6">
        <v>117549.0</v>
      </c>
      <c r="C17" s="6">
        <v>14869.0</v>
      </c>
      <c r="D17" s="7">
        <f t="shared" si="8"/>
        <v>132418</v>
      </c>
      <c r="E17" s="6">
        <v>466000.0</v>
      </c>
      <c r="F17" s="7">
        <f t="shared" si="9"/>
        <v>583549</v>
      </c>
      <c r="G17" s="7">
        <f>F17+G16</f>
        <v>9688507</v>
      </c>
    </row>
    <row r="18">
      <c r="A18" s="5">
        <v>17.0</v>
      </c>
      <c r="B18" s="6">
        <v>226982.0</v>
      </c>
      <c r="C18" s="6">
        <v>3055.0</v>
      </c>
      <c r="D18" s="7">
        <f t="shared" si="8"/>
        <v>230037</v>
      </c>
      <c r="E18" s="6">
        <v>648000.0</v>
      </c>
      <c r="F18" s="7">
        <f t="shared" si="9"/>
        <v>874982</v>
      </c>
      <c r="G18" s="7">
        <f t="shared" ref="G18:G21" si="10">G17+F18</f>
        <v>10563489</v>
      </c>
    </row>
    <row r="19">
      <c r="A19" s="5">
        <v>18.0</v>
      </c>
      <c r="B19" s="6">
        <v>266078.0</v>
      </c>
      <c r="C19" s="6">
        <v>15421.0</v>
      </c>
      <c r="D19" s="7">
        <f t="shared" si="8"/>
        <v>281499</v>
      </c>
      <c r="E19" s="6">
        <v>551000.0</v>
      </c>
      <c r="F19" s="7">
        <f t="shared" si="9"/>
        <v>817078</v>
      </c>
      <c r="G19" s="7">
        <f t="shared" si="10"/>
        <v>11380567</v>
      </c>
    </row>
    <row r="20">
      <c r="A20" s="5">
        <v>19.0</v>
      </c>
      <c r="B20" s="6">
        <v>398538.0</v>
      </c>
      <c r="C20" s="6">
        <v>52812.0</v>
      </c>
      <c r="D20" s="7">
        <f t="shared" si="8"/>
        <v>451350</v>
      </c>
      <c r="E20" s="6">
        <v>542000.0</v>
      </c>
      <c r="F20" s="7">
        <f t="shared" si="9"/>
        <v>940538</v>
      </c>
      <c r="G20" s="7">
        <f t="shared" si="10"/>
        <v>12321105</v>
      </c>
    </row>
    <row r="21">
      <c r="A21" s="5">
        <v>20.0</v>
      </c>
      <c r="B21" s="6">
        <v>139181.0</v>
      </c>
      <c r="C21" s="6">
        <v>7001.0</v>
      </c>
      <c r="D21" s="7">
        <f t="shared" si="8"/>
        <v>146182</v>
      </c>
      <c r="E21" s="6">
        <v>775000.0</v>
      </c>
      <c r="F21" s="7">
        <f t="shared" si="9"/>
        <v>914181</v>
      </c>
      <c r="G21" s="7">
        <f t="shared" si="10"/>
        <v>13235286</v>
      </c>
    </row>
    <row r="22">
      <c r="A22" s="3">
        <v>21.0</v>
      </c>
      <c r="B22" s="8"/>
      <c r="C22" s="8"/>
      <c r="D22" s="4"/>
      <c r="E22" s="8"/>
      <c r="F22" s="4"/>
      <c r="G22" s="4"/>
    </row>
    <row r="23">
      <c r="A23" s="5">
        <v>22.0</v>
      </c>
      <c r="B23" s="6">
        <v>67083.0</v>
      </c>
      <c r="C23" s="6">
        <v>3355.0</v>
      </c>
      <c r="D23" s="7">
        <f t="shared" ref="D23:D27" si="11">C23+B23</f>
        <v>70438</v>
      </c>
      <c r="E23" s="6">
        <v>408000.0</v>
      </c>
      <c r="F23" s="7">
        <f t="shared" ref="F23:F28" si="12">E23+B23</f>
        <v>475083</v>
      </c>
      <c r="G23" s="7">
        <f>F23+G21</f>
        <v>13710369</v>
      </c>
    </row>
    <row r="24">
      <c r="A24" s="5">
        <v>23.0</v>
      </c>
      <c r="B24" s="6">
        <v>127983.0</v>
      </c>
      <c r="C24" s="6">
        <v>20117.0</v>
      </c>
      <c r="D24" s="7">
        <f t="shared" si="11"/>
        <v>148100</v>
      </c>
      <c r="E24" s="6">
        <v>360000.0</v>
      </c>
      <c r="F24" s="7">
        <f t="shared" si="12"/>
        <v>487983</v>
      </c>
      <c r="G24" s="7">
        <f t="shared" ref="G24:G27" si="13">F24+G23</f>
        <v>14198352</v>
      </c>
    </row>
    <row r="25">
      <c r="A25" s="5">
        <v>24.0</v>
      </c>
      <c r="B25" s="6">
        <v>87798.0</v>
      </c>
      <c r="C25" s="6">
        <v>4390.0</v>
      </c>
      <c r="D25" s="7">
        <f t="shared" si="11"/>
        <v>92188</v>
      </c>
      <c r="E25" s="6">
        <v>416000.0</v>
      </c>
      <c r="F25" s="7">
        <f t="shared" si="12"/>
        <v>503798</v>
      </c>
      <c r="G25" s="7">
        <f t="shared" si="13"/>
        <v>14702150</v>
      </c>
    </row>
    <row r="26">
      <c r="A26" s="5">
        <v>25.0</v>
      </c>
      <c r="B26" s="6">
        <v>713497.0</v>
      </c>
      <c r="C26" s="6">
        <v>110050.0</v>
      </c>
      <c r="D26" s="7">
        <f t="shared" si="11"/>
        <v>823547</v>
      </c>
      <c r="E26" s="6">
        <v>421000.0</v>
      </c>
      <c r="F26" s="7">
        <f t="shared" si="12"/>
        <v>1134497</v>
      </c>
      <c r="G26" s="7">
        <f t="shared" si="13"/>
        <v>15836647</v>
      </c>
    </row>
    <row r="27">
      <c r="A27" s="5">
        <v>26.0</v>
      </c>
      <c r="B27" s="6">
        <v>284288.0</v>
      </c>
      <c r="C27" s="6">
        <v>35480.0</v>
      </c>
      <c r="D27" s="7">
        <f t="shared" si="11"/>
        <v>319768</v>
      </c>
      <c r="E27" s="6">
        <v>384000.0</v>
      </c>
      <c r="F27" s="7">
        <f t="shared" si="12"/>
        <v>668288</v>
      </c>
      <c r="G27" s="7">
        <f t="shared" si="13"/>
        <v>16504935</v>
      </c>
    </row>
    <row r="28">
      <c r="A28" s="5">
        <v>27.0</v>
      </c>
      <c r="B28" s="6">
        <v>277810.0</v>
      </c>
      <c r="C28" s="6">
        <v>18880.0</v>
      </c>
      <c r="D28" s="7">
        <f>B28+C28</f>
        <v>296690</v>
      </c>
      <c r="E28" s="6">
        <v>625000.0</v>
      </c>
      <c r="F28" s="7">
        <f t="shared" si="12"/>
        <v>902810</v>
      </c>
      <c r="G28" s="7">
        <f>G27+F28</f>
        <v>17407745</v>
      </c>
    </row>
    <row r="29">
      <c r="A29" s="3">
        <v>28.0</v>
      </c>
      <c r="B29" s="8"/>
      <c r="C29" s="8"/>
      <c r="D29" s="4"/>
      <c r="E29" s="8"/>
      <c r="F29" s="4"/>
      <c r="G29" s="4"/>
    </row>
    <row r="30">
      <c r="A30" s="5">
        <v>29.0</v>
      </c>
      <c r="B30" s="6">
        <v>338946.0</v>
      </c>
      <c r="C30" s="6">
        <v>43003.0</v>
      </c>
      <c r="D30" s="7">
        <f t="shared" ref="D30:D31" si="14">C30+B30</f>
        <v>381949</v>
      </c>
      <c r="E30" s="6">
        <v>566000.0</v>
      </c>
      <c r="F30" s="7">
        <f t="shared" ref="F30:F31" si="15">E30+B30</f>
        <v>904946</v>
      </c>
      <c r="G30" s="7">
        <f>F30+G28</f>
        <v>18312691</v>
      </c>
    </row>
    <row r="31">
      <c r="A31" s="5">
        <v>30.0</v>
      </c>
      <c r="B31" s="6">
        <v>619599.0</v>
      </c>
      <c r="C31" s="6">
        <v>48999.0</v>
      </c>
      <c r="D31" s="7">
        <f t="shared" si="14"/>
        <v>668598</v>
      </c>
      <c r="E31" s="6">
        <v>543000.0</v>
      </c>
      <c r="F31" s="7">
        <f t="shared" si="15"/>
        <v>1162599</v>
      </c>
      <c r="G31" s="7">
        <f>G30+F31</f>
        <v>19475290</v>
      </c>
    </row>
    <row r="32">
      <c r="A32" s="5" t="s">
        <v>6</v>
      </c>
      <c r="B32" s="7">
        <f>SUM(B2:B31)</f>
        <v>6323290</v>
      </c>
      <c r="C32" s="7"/>
      <c r="D32" s="7"/>
      <c r="E32" s="7">
        <f>SUM(E2:E31)</f>
        <v>13152000</v>
      </c>
      <c r="F32" s="7"/>
      <c r="G32" s="7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>
        <v>90190.0</v>
      </c>
      <c r="C2" s="8">
        <v>4510.0</v>
      </c>
      <c r="D2" s="4">
        <f t="shared" ref="D2:D4" si="1">C2+B2</f>
        <v>94700</v>
      </c>
      <c r="E2" s="8">
        <v>0.0</v>
      </c>
      <c r="F2" s="4">
        <f>B2</f>
        <v>90190</v>
      </c>
      <c r="G2" s="4">
        <f>F2</f>
        <v>90190</v>
      </c>
    </row>
    <row r="3">
      <c r="A3" s="5">
        <v>2.0</v>
      </c>
      <c r="B3" s="6">
        <v>95637.0</v>
      </c>
      <c r="C3" s="6">
        <v>11345.0</v>
      </c>
      <c r="D3" s="7">
        <f t="shared" si="1"/>
        <v>106982</v>
      </c>
      <c r="E3" s="6">
        <v>414000.0</v>
      </c>
      <c r="F3" s="7">
        <f>E3+B3</f>
        <v>509637</v>
      </c>
      <c r="G3" s="7">
        <f>G2+F3</f>
        <v>599827</v>
      </c>
    </row>
    <row r="4">
      <c r="A4" s="5">
        <v>3.0</v>
      </c>
      <c r="B4" s="6">
        <v>429620.0</v>
      </c>
      <c r="C4" s="6">
        <v>49433.0</v>
      </c>
      <c r="D4" s="7">
        <f t="shared" si="1"/>
        <v>479053</v>
      </c>
      <c r="E4" s="6">
        <v>522000.0</v>
      </c>
      <c r="F4" s="7">
        <f>B4+E4</f>
        <v>951620</v>
      </c>
      <c r="G4" s="7">
        <f>F4+G3</f>
        <v>1551447</v>
      </c>
    </row>
    <row r="5">
      <c r="A5" s="5">
        <v>4.0</v>
      </c>
      <c r="B5" s="6">
        <v>281038.0</v>
      </c>
      <c r="C5" s="6">
        <v>18407.0</v>
      </c>
      <c r="D5" s="7">
        <f>B5+C5</f>
        <v>299445</v>
      </c>
      <c r="E5" s="6">
        <v>532000.0</v>
      </c>
      <c r="F5" s="7">
        <f>E5+B5</f>
        <v>813038</v>
      </c>
      <c r="G5" s="7">
        <f>G4+F5</f>
        <v>2364485</v>
      </c>
    </row>
    <row r="6">
      <c r="A6" s="3">
        <v>5.0</v>
      </c>
      <c r="B6" s="8"/>
      <c r="C6" s="8"/>
      <c r="D6" s="4"/>
      <c r="E6" s="8"/>
      <c r="F6" s="4"/>
      <c r="G6" s="4"/>
    </row>
    <row r="7">
      <c r="A7" s="5">
        <v>6.0</v>
      </c>
      <c r="B7" s="6">
        <v>118020.0</v>
      </c>
      <c r="C7" s="6">
        <v>18030.0</v>
      </c>
      <c r="D7" s="7">
        <f t="shared" ref="D7:D12" si="2">C7+B7</f>
        <v>136050</v>
      </c>
      <c r="E7" s="6">
        <v>399000.0</v>
      </c>
      <c r="F7" s="7">
        <f t="shared" ref="F7:F12" si="3">E7+B7</f>
        <v>517020</v>
      </c>
      <c r="G7" s="7">
        <f>F7+G5</f>
        <v>2881505</v>
      </c>
    </row>
    <row r="8">
      <c r="A8" s="5">
        <v>7.0</v>
      </c>
      <c r="B8" s="6">
        <v>148348.0</v>
      </c>
      <c r="C8" s="6">
        <v>8952.0</v>
      </c>
      <c r="D8" s="7">
        <f t="shared" si="2"/>
        <v>157300</v>
      </c>
      <c r="E8" s="6">
        <v>305000.0</v>
      </c>
      <c r="F8" s="6">
        <f t="shared" si="3"/>
        <v>453348</v>
      </c>
      <c r="G8" s="7">
        <f t="shared" ref="G8:G10" si="4">F8+G7</f>
        <v>3334853</v>
      </c>
    </row>
    <row r="9">
      <c r="A9" s="5">
        <v>8.0</v>
      </c>
      <c r="B9" s="6">
        <v>89383.0</v>
      </c>
      <c r="C9" s="6">
        <v>16982.0</v>
      </c>
      <c r="D9" s="7">
        <f t="shared" si="2"/>
        <v>106365</v>
      </c>
      <c r="E9" s="6">
        <v>455000.0</v>
      </c>
      <c r="F9" s="7">
        <f t="shared" si="3"/>
        <v>544383</v>
      </c>
      <c r="G9" s="7">
        <f t="shared" si="4"/>
        <v>3879236</v>
      </c>
    </row>
    <row r="10">
      <c r="A10" s="5">
        <v>9.0</v>
      </c>
      <c r="B10" s="6">
        <v>497571.0</v>
      </c>
      <c r="C10" s="6">
        <v>51079.0</v>
      </c>
      <c r="D10" s="7">
        <f t="shared" si="2"/>
        <v>548650</v>
      </c>
      <c r="E10" s="6">
        <v>325000.0</v>
      </c>
      <c r="F10" s="7">
        <f t="shared" si="3"/>
        <v>822571</v>
      </c>
      <c r="G10" s="7">
        <f t="shared" si="4"/>
        <v>4701807</v>
      </c>
    </row>
    <row r="11">
      <c r="A11" s="5">
        <v>10.0</v>
      </c>
      <c r="B11" s="6">
        <v>258347.0</v>
      </c>
      <c r="C11" s="6">
        <v>45820.0</v>
      </c>
      <c r="D11" s="7">
        <f t="shared" si="2"/>
        <v>304167</v>
      </c>
      <c r="E11" s="6">
        <v>509000.0</v>
      </c>
      <c r="F11" s="7">
        <f t="shared" si="3"/>
        <v>767347</v>
      </c>
      <c r="G11" s="7">
        <f>G10+F11</f>
        <v>5469154</v>
      </c>
    </row>
    <row r="12">
      <c r="A12" s="5">
        <v>11.0</v>
      </c>
      <c r="B12" s="6">
        <v>135658.0</v>
      </c>
      <c r="C12" s="6">
        <v>21641.0</v>
      </c>
      <c r="D12" s="7">
        <f t="shared" si="2"/>
        <v>157299</v>
      </c>
      <c r="E12" s="6">
        <v>633000.0</v>
      </c>
      <c r="F12" s="7">
        <f t="shared" si="3"/>
        <v>768658</v>
      </c>
      <c r="G12" s="7">
        <f>G9+F12</f>
        <v>4647894</v>
      </c>
    </row>
    <row r="13">
      <c r="A13" s="3">
        <v>12.0</v>
      </c>
      <c r="B13" s="8"/>
      <c r="C13" s="8"/>
      <c r="D13" s="4"/>
      <c r="E13" s="8"/>
      <c r="F13" s="4"/>
      <c r="G13" s="4"/>
    </row>
    <row r="14">
      <c r="A14" s="3">
        <v>13.0</v>
      </c>
      <c r="B14" s="8"/>
      <c r="C14" s="8"/>
      <c r="D14" s="4"/>
      <c r="E14" s="8"/>
      <c r="F14" s="4"/>
      <c r="G14" s="4"/>
    </row>
    <row r="15">
      <c r="A15" s="5">
        <v>14.0</v>
      </c>
      <c r="B15" s="6">
        <v>358565.0</v>
      </c>
      <c r="C15" s="6">
        <v>55937.0</v>
      </c>
      <c r="D15" s="7">
        <f t="shared" ref="D15:D19" si="5">C15+B15</f>
        <v>414502</v>
      </c>
      <c r="E15" s="6">
        <v>383000.0</v>
      </c>
      <c r="F15" s="7">
        <f t="shared" ref="F15:F19" si="6">E15+B15</f>
        <v>741565</v>
      </c>
      <c r="G15" s="7">
        <f>F15+G12</f>
        <v>5389459</v>
      </c>
      <c r="J15" s="11" t="s">
        <v>7</v>
      </c>
    </row>
    <row r="16">
      <c r="A16" s="5">
        <v>15.0</v>
      </c>
      <c r="B16" s="6">
        <v>623124.0</v>
      </c>
      <c r="C16" s="6">
        <v>58170.0</v>
      </c>
      <c r="D16" s="7">
        <f t="shared" si="5"/>
        <v>681294</v>
      </c>
      <c r="E16" s="6">
        <v>565000.0</v>
      </c>
      <c r="F16" s="7">
        <f t="shared" si="6"/>
        <v>1188124</v>
      </c>
      <c r="G16" s="7">
        <f t="shared" ref="G16:G19" si="7">F16+G15</f>
        <v>6577583</v>
      </c>
    </row>
    <row r="17">
      <c r="A17" s="5">
        <v>16.0</v>
      </c>
      <c r="B17" s="6">
        <v>493032.0</v>
      </c>
      <c r="C17" s="6">
        <v>17668.0</v>
      </c>
      <c r="D17" s="7">
        <f t="shared" si="5"/>
        <v>510700</v>
      </c>
      <c r="E17" s="6">
        <v>426000.0</v>
      </c>
      <c r="F17" s="7">
        <f t="shared" si="6"/>
        <v>919032</v>
      </c>
      <c r="G17" s="7">
        <f t="shared" si="7"/>
        <v>7496615</v>
      </c>
    </row>
    <row r="18">
      <c r="A18" s="5">
        <v>17.0</v>
      </c>
      <c r="B18" s="6">
        <v>113523.0</v>
      </c>
      <c r="C18" s="6">
        <v>5677.0</v>
      </c>
      <c r="D18" s="7">
        <f t="shared" si="5"/>
        <v>119200</v>
      </c>
      <c r="E18" s="6">
        <v>441000.0</v>
      </c>
      <c r="F18" s="7">
        <f t="shared" si="6"/>
        <v>554523</v>
      </c>
      <c r="G18" s="7">
        <f t="shared" si="7"/>
        <v>8051138</v>
      </c>
    </row>
    <row r="19">
      <c r="A19" s="5">
        <v>18.0</v>
      </c>
      <c r="B19" s="6">
        <v>403242.0</v>
      </c>
      <c r="C19" s="6">
        <v>39976.0</v>
      </c>
      <c r="D19" s="7">
        <f t="shared" si="5"/>
        <v>443218</v>
      </c>
      <c r="E19" s="6">
        <v>629000.0</v>
      </c>
      <c r="F19" s="7">
        <f t="shared" si="6"/>
        <v>1032242</v>
      </c>
      <c r="G19" s="7">
        <f t="shared" si="7"/>
        <v>9083380</v>
      </c>
    </row>
    <row r="20">
      <c r="A20" s="3">
        <v>19.0</v>
      </c>
      <c r="B20" s="8"/>
      <c r="C20" s="8"/>
      <c r="D20" s="4"/>
      <c r="E20" s="8"/>
      <c r="F20" s="4"/>
      <c r="G20" s="4"/>
    </row>
    <row r="21">
      <c r="A21" s="5">
        <v>20.0</v>
      </c>
      <c r="B21" s="6">
        <v>348737.0</v>
      </c>
      <c r="C21" s="6">
        <v>22281.0</v>
      </c>
      <c r="D21" s="7">
        <f t="shared" ref="D21:D26" si="8">C21+B21</f>
        <v>371018</v>
      </c>
      <c r="E21" s="6">
        <v>260000.0</v>
      </c>
      <c r="F21" s="7">
        <f t="shared" ref="F21:F26" si="9">E21+B21</f>
        <v>608737</v>
      </c>
      <c r="G21" s="7">
        <f>F21+G19</f>
        <v>9692117</v>
      </c>
    </row>
    <row r="22">
      <c r="A22" s="5">
        <v>21.0</v>
      </c>
      <c r="B22" s="6">
        <v>233406.0</v>
      </c>
      <c r="C22" s="6">
        <v>37211.0</v>
      </c>
      <c r="D22" s="7">
        <f t="shared" si="8"/>
        <v>270617</v>
      </c>
      <c r="E22" s="6">
        <v>395000.0</v>
      </c>
      <c r="F22" s="7">
        <f t="shared" si="9"/>
        <v>628406</v>
      </c>
      <c r="G22" s="7">
        <f t="shared" ref="G22:G26" si="10">F22+G21</f>
        <v>10320523</v>
      </c>
    </row>
    <row r="23">
      <c r="A23" s="5">
        <v>22.0</v>
      </c>
      <c r="B23" s="6">
        <v>46190.0</v>
      </c>
      <c r="C23" s="6">
        <v>2310.0</v>
      </c>
      <c r="D23" s="7">
        <f t="shared" si="8"/>
        <v>48500</v>
      </c>
      <c r="E23" s="6">
        <v>415000.0</v>
      </c>
      <c r="F23" s="7">
        <f t="shared" si="9"/>
        <v>461190</v>
      </c>
      <c r="G23" s="7">
        <f t="shared" si="10"/>
        <v>10781713</v>
      </c>
    </row>
    <row r="24">
      <c r="A24" s="5">
        <v>23.0</v>
      </c>
      <c r="B24" s="6">
        <v>284808.0</v>
      </c>
      <c r="C24" s="6">
        <v>52779.0</v>
      </c>
      <c r="D24" s="7">
        <f t="shared" si="8"/>
        <v>337587</v>
      </c>
      <c r="E24" s="6">
        <v>268000.0</v>
      </c>
      <c r="F24" s="7">
        <f t="shared" si="9"/>
        <v>552808</v>
      </c>
      <c r="G24" s="7">
        <f t="shared" si="10"/>
        <v>11334521</v>
      </c>
    </row>
    <row r="25">
      <c r="A25" s="5">
        <v>24.0</v>
      </c>
      <c r="B25" s="6">
        <v>52745.0</v>
      </c>
      <c r="C25" s="6">
        <v>8155.0</v>
      </c>
      <c r="D25" s="7">
        <f t="shared" si="8"/>
        <v>60900</v>
      </c>
      <c r="E25" s="6">
        <v>414000.0</v>
      </c>
      <c r="F25" s="7">
        <f t="shared" si="9"/>
        <v>466745</v>
      </c>
      <c r="G25" s="7">
        <f t="shared" si="10"/>
        <v>11801266</v>
      </c>
    </row>
    <row r="26">
      <c r="A26" s="5">
        <v>25.0</v>
      </c>
      <c r="B26" s="6">
        <v>224615.0</v>
      </c>
      <c r="C26" s="6">
        <v>20462.0</v>
      </c>
      <c r="D26" s="7">
        <f t="shared" si="8"/>
        <v>245077</v>
      </c>
      <c r="E26" s="6">
        <v>622000.0</v>
      </c>
      <c r="F26" s="7">
        <f t="shared" si="9"/>
        <v>846615</v>
      </c>
      <c r="G26" s="7">
        <f t="shared" si="10"/>
        <v>12647881</v>
      </c>
    </row>
    <row r="27">
      <c r="A27" s="3">
        <v>26.0</v>
      </c>
      <c r="B27" s="8"/>
      <c r="C27" s="8"/>
      <c r="D27" s="4"/>
      <c r="E27" s="8"/>
      <c r="F27" s="4"/>
      <c r="G27" s="4"/>
    </row>
    <row r="28">
      <c r="A28" s="5">
        <v>27.0</v>
      </c>
      <c r="B28" s="6">
        <v>324765.0</v>
      </c>
      <c r="C28" s="6">
        <v>47038.0</v>
      </c>
      <c r="D28" s="7">
        <f t="shared" ref="D28:D32" si="11">C28+B28</f>
        <v>371803</v>
      </c>
      <c r="E28" s="6">
        <v>396000.0</v>
      </c>
      <c r="F28" s="7">
        <f t="shared" ref="F28:F30" si="12">E28+B28</f>
        <v>720765</v>
      </c>
      <c r="G28" s="7">
        <f>F28+G26</f>
        <v>13368646</v>
      </c>
    </row>
    <row r="29">
      <c r="A29" s="5">
        <v>28.0</v>
      </c>
      <c r="B29" s="6">
        <v>179595.0</v>
      </c>
      <c r="C29" s="6">
        <v>10605.0</v>
      </c>
      <c r="D29" s="7">
        <f t="shared" si="11"/>
        <v>190200</v>
      </c>
      <c r="E29" s="6">
        <v>415000.0</v>
      </c>
      <c r="F29" s="7">
        <f t="shared" si="12"/>
        <v>594595</v>
      </c>
      <c r="G29" s="7">
        <f t="shared" ref="G29:G32" si="13">F29+G28</f>
        <v>13963241</v>
      </c>
    </row>
    <row r="30">
      <c r="A30" s="5">
        <v>29.0</v>
      </c>
      <c r="B30" s="6">
        <v>253412.0</v>
      </c>
      <c r="C30" s="6">
        <v>19084.0</v>
      </c>
      <c r="D30" s="7">
        <f t="shared" si="11"/>
        <v>272496</v>
      </c>
      <c r="E30" s="6">
        <v>475000.0</v>
      </c>
      <c r="F30" s="7">
        <f t="shared" si="12"/>
        <v>728412</v>
      </c>
      <c r="G30" s="7">
        <f t="shared" si="13"/>
        <v>14691653</v>
      </c>
    </row>
    <row r="31">
      <c r="A31" s="5">
        <v>30.0</v>
      </c>
      <c r="B31" s="6">
        <v>72280.0</v>
      </c>
      <c r="C31" s="6">
        <v>7493.0</v>
      </c>
      <c r="D31" s="7">
        <f t="shared" si="11"/>
        <v>79773</v>
      </c>
      <c r="E31" s="6">
        <v>440000.0</v>
      </c>
      <c r="F31" s="6">
        <v>439000.0</v>
      </c>
      <c r="G31" s="7">
        <f t="shared" si="13"/>
        <v>15130653</v>
      </c>
    </row>
    <row r="32">
      <c r="A32" s="5">
        <v>31.0</v>
      </c>
      <c r="B32" s="6">
        <v>381247.0</v>
      </c>
      <c r="C32" s="6">
        <v>29051.0</v>
      </c>
      <c r="D32" s="7">
        <f t="shared" si="11"/>
        <v>410298</v>
      </c>
      <c r="E32" s="6">
        <v>439000.0</v>
      </c>
      <c r="F32" s="6">
        <f>E32+B32</f>
        <v>820247</v>
      </c>
      <c r="G32" s="7">
        <f t="shared" si="13"/>
        <v>15950900</v>
      </c>
    </row>
    <row r="33">
      <c r="A33" s="5" t="s">
        <v>6</v>
      </c>
      <c r="B33" s="7">
        <f>SUM(B2:B32)</f>
        <v>6537098</v>
      </c>
      <c r="C33" s="7"/>
      <c r="D33" s="7">
        <f>SUM(D2:D31)</f>
        <v>6806896</v>
      </c>
      <c r="E33" s="7">
        <f>SUM(E2:E32)</f>
        <v>11077000</v>
      </c>
      <c r="F33" s="7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404045.0</v>
      </c>
      <c r="C2" s="6">
        <v>23095.0</v>
      </c>
      <c r="D2" s="7">
        <f>C2+B2</f>
        <v>427140</v>
      </c>
      <c r="E2" s="6">
        <v>697000.0</v>
      </c>
      <c r="F2" s="7">
        <f>E2+B2</f>
        <v>1101045</v>
      </c>
      <c r="G2" s="7">
        <f>F2</f>
        <v>1101045</v>
      </c>
    </row>
    <row r="3">
      <c r="A3" s="3">
        <v>2.0</v>
      </c>
      <c r="B3" s="8"/>
      <c r="C3" s="8"/>
      <c r="D3" s="4"/>
      <c r="E3" s="8"/>
      <c r="F3" s="4"/>
      <c r="G3" s="4"/>
    </row>
    <row r="4">
      <c r="A4" s="3">
        <v>3.0</v>
      </c>
      <c r="B4" s="8"/>
      <c r="C4" s="8"/>
      <c r="D4" s="4"/>
      <c r="E4" s="8"/>
      <c r="F4" s="4"/>
      <c r="G4" s="4"/>
    </row>
    <row r="5">
      <c r="A5" s="5">
        <v>4.0</v>
      </c>
      <c r="B5" s="6">
        <v>23333.0</v>
      </c>
      <c r="C5" s="6">
        <v>1166.0</v>
      </c>
      <c r="D5" s="7">
        <f t="shared" ref="D5:D9" si="1">C5+B5</f>
        <v>24499</v>
      </c>
      <c r="E5" s="6">
        <v>472000.0</v>
      </c>
      <c r="F5" s="7">
        <f t="shared" ref="F5:F9" si="2">E5+B5</f>
        <v>495333</v>
      </c>
      <c r="G5" s="7">
        <f>F5+G2</f>
        <v>1596378</v>
      </c>
    </row>
    <row r="6">
      <c r="A6" s="5">
        <v>5.0</v>
      </c>
      <c r="B6" s="6">
        <v>150259.0</v>
      </c>
      <c r="C6" s="6">
        <v>3278.0</v>
      </c>
      <c r="D6" s="7">
        <f t="shared" si="1"/>
        <v>153537</v>
      </c>
      <c r="E6" s="6">
        <v>563000.0</v>
      </c>
      <c r="F6" s="7">
        <f t="shared" si="2"/>
        <v>713259</v>
      </c>
      <c r="G6" s="7">
        <f t="shared" ref="G6:G9" si="3">F6+G5</f>
        <v>2309637</v>
      </c>
    </row>
    <row r="7">
      <c r="A7" s="5">
        <v>6.0</v>
      </c>
      <c r="B7" s="6">
        <v>203196.0</v>
      </c>
      <c r="C7" s="6">
        <v>25033.0</v>
      </c>
      <c r="D7" s="7">
        <f t="shared" si="1"/>
        <v>228229</v>
      </c>
      <c r="E7" s="6">
        <v>568000.0</v>
      </c>
      <c r="F7" s="7">
        <f t="shared" si="2"/>
        <v>771196</v>
      </c>
      <c r="G7" s="7">
        <f t="shared" si="3"/>
        <v>3080833</v>
      </c>
    </row>
    <row r="8">
      <c r="A8" s="5">
        <v>7.0</v>
      </c>
      <c r="B8" s="6">
        <v>174743.0</v>
      </c>
      <c r="C8" s="6">
        <v>3734.0</v>
      </c>
      <c r="D8" s="7">
        <f t="shared" si="1"/>
        <v>178477</v>
      </c>
      <c r="E8" s="6">
        <v>509000.0</v>
      </c>
      <c r="F8" s="6">
        <f t="shared" si="2"/>
        <v>683743</v>
      </c>
      <c r="G8" s="7">
        <f t="shared" si="3"/>
        <v>3764576</v>
      </c>
    </row>
    <row r="9">
      <c r="A9" s="5">
        <v>8.0</v>
      </c>
      <c r="B9" s="6">
        <v>125798.0</v>
      </c>
      <c r="C9" s="6">
        <v>23901.0</v>
      </c>
      <c r="D9" s="7">
        <f t="shared" si="1"/>
        <v>149699</v>
      </c>
      <c r="E9" s="6">
        <v>564000.0</v>
      </c>
      <c r="F9" s="7">
        <f t="shared" si="2"/>
        <v>689798</v>
      </c>
      <c r="G9" s="7">
        <f t="shared" si="3"/>
        <v>4454374</v>
      </c>
    </row>
    <row r="10">
      <c r="A10" s="3">
        <v>9.0</v>
      </c>
      <c r="B10" s="8"/>
      <c r="C10" s="8"/>
      <c r="D10" s="4"/>
      <c r="E10" s="8"/>
      <c r="F10" s="4"/>
      <c r="G10" s="4"/>
    </row>
    <row r="11">
      <c r="A11" s="3">
        <v>10.0</v>
      </c>
      <c r="B11" s="8"/>
      <c r="C11" s="8"/>
      <c r="D11" s="4"/>
      <c r="E11" s="8"/>
      <c r="F11" s="4"/>
      <c r="G11" s="4"/>
    </row>
    <row r="12">
      <c r="A12" s="5">
        <v>11.0</v>
      </c>
      <c r="B12" s="6">
        <v>122990.0</v>
      </c>
      <c r="C12" s="6">
        <v>19901.0</v>
      </c>
      <c r="D12" s="7">
        <f t="shared" ref="D12:D16" si="4">C12+B12</f>
        <v>142891</v>
      </c>
      <c r="E12" s="6">
        <v>313000.0</v>
      </c>
      <c r="F12" s="7">
        <f t="shared" ref="F12:F16" si="5">E12+B12</f>
        <v>435990</v>
      </c>
      <c r="G12" s="7">
        <f>F12+G9</f>
        <v>4890364</v>
      </c>
    </row>
    <row r="13">
      <c r="A13" s="5">
        <v>12.0</v>
      </c>
      <c r="B13" s="6">
        <v>52571.0</v>
      </c>
      <c r="C13" s="6">
        <v>2628.0</v>
      </c>
      <c r="D13" s="7">
        <f t="shared" si="4"/>
        <v>55199</v>
      </c>
      <c r="E13" s="6">
        <v>566000.0</v>
      </c>
      <c r="F13" s="7">
        <f t="shared" si="5"/>
        <v>618571</v>
      </c>
      <c r="G13" s="7">
        <f t="shared" ref="G13:G16" si="6">F13+G12</f>
        <v>5508935</v>
      </c>
    </row>
    <row r="14">
      <c r="A14" s="5">
        <v>13.0</v>
      </c>
      <c r="B14" s="6">
        <v>110518.0</v>
      </c>
      <c r="C14" s="6">
        <v>6332.0</v>
      </c>
      <c r="D14" s="7">
        <f t="shared" si="4"/>
        <v>116850</v>
      </c>
      <c r="E14" s="6">
        <v>436000.0</v>
      </c>
      <c r="F14" s="7">
        <f t="shared" si="5"/>
        <v>546518</v>
      </c>
      <c r="G14" s="7">
        <f t="shared" si="6"/>
        <v>6055453</v>
      </c>
    </row>
    <row r="15">
      <c r="A15" s="5">
        <v>14.0</v>
      </c>
      <c r="B15" s="6">
        <v>222767.0</v>
      </c>
      <c r="C15" s="6">
        <v>26432.0</v>
      </c>
      <c r="D15" s="7">
        <f t="shared" si="4"/>
        <v>249199</v>
      </c>
      <c r="E15" s="6">
        <v>559000.0</v>
      </c>
      <c r="F15" s="7">
        <f t="shared" si="5"/>
        <v>781767</v>
      </c>
      <c r="G15" s="7">
        <f t="shared" si="6"/>
        <v>6837220</v>
      </c>
      <c r="J15" s="11" t="s">
        <v>7</v>
      </c>
    </row>
    <row r="16">
      <c r="A16" s="5">
        <v>15.0</v>
      </c>
      <c r="B16" s="6">
        <v>278118.0</v>
      </c>
      <c r="C16" s="6">
        <v>25072.0</v>
      </c>
      <c r="D16" s="7">
        <f t="shared" si="4"/>
        <v>303190</v>
      </c>
      <c r="E16" s="6">
        <v>596000.0</v>
      </c>
      <c r="F16" s="7">
        <f t="shared" si="5"/>
        <v>874118</v>
      </c>
      <c r="G16" s="7">
        <f t="shared" si="6"/>
        <v>7711338</v>
      </c>
    </row>
    <row r="17">
      <c r="A17" s="3">
        <v>16.0</v>
      </c>
      <c r="B17" s="8"/>
      <c r="C17" s="8"/>
      <c r="D17" s="4"/>
      <c r="E17" s="8"/>
      <c r="F17" s="4"/>
      <c r="G17" s="4"/>
    </row>
    <row r="18">
      <c r="A18" s="5">
        <v>17.0</v>
      </c>
      <c r="B18" s="6">
        <v>259326.0</v>
      </c>
      <c r="C18" s="6">
        <v>21313.0</v>
      </c>
      <c r="D18" s="7">
        <f t="shared" ref="D18:D23" si="7">C18+B18</f>
        <v>280639</v>
      </c>
      <c r="E18" s="6">
        <v>464000.0</v>
      </c>
      <c r="F18" s="7">
        <f t="shared" ref="F18:F23" si="8">E18+B18</f>
        <v>723326</v>
      </c>
      <c r="G18" s="7">
        <f>F18+G16</f>
        <v>8434664</v>
      </c>
    </row>
    <row r="19">
      <c r="A19" s="5">
        <v>18.0</v>
      </c>
      <c r="B19" s="6">
        <v>128643.0</v>
      </c>
      <c r="C19" s="6">
        <v>16015.0</v>
      </c>
      <c r="D19" s="7">
        <f t="shared" si="7"/>
        <v>144658</v>
      </c>
      <c r="E19" s="6">
        <v>508000.0</v>
      </c>
      <c r="F19" s="7">
        <f t="shared" si="8"/>
        <v>636643</v>
      </c>
      <c r="G19" s="7">
        <f t="shared" ref="G19:G23" si="9">F19+G18</f>
        <v>9071307</v>
      </c>
    </row>
    <row r="20">
      <c r="A20" s="5">
        <v>19.0</v>
      </c>
      <c r="B20" s="6">
        <v>98840.0</v>
      </c>
      <c r="C20" s="6">
        <v>9059.0</v>
      </c>
      <c r="D20" s="7">
        <f t="shared" si="7"/>
        <v>107899</v>
      </c>
      <c r="E20" s="6">
        <v>503000.0</v>
      </c>
      <c r="F20" s="7">
        <f t="shared" si="8"/>
        <v>601840</v>
      </c>
      <c r="G20" s="7">
        <f t="shared" si="9"/>
        <v>9673147</v>
      </c>
    </row>
    <row r="21">
      <c r="A21" s="5">
        <v>20.0</v>
      </c>
      <c r="B21" s="6">
        <v>344567.0</v>
      </c>
      <c r="C21" s="6">
        <v>15259.0</v>
      </c>
      <c r="D21" s="7">
        <f t="shared" si="7"/>
        <v>359826</v>
      </c>
      <c r="E21" s="6">
        <v>336000.0</v>
      </c>
      <c r="F21" s="7">
        <f t="shared" si="8"/>
        <v>680567</v>
      </c>
      <c r="G21" s="7">
        <f t="shared" si="9"/>
        <v>10353714</v>
      </c>
    </row>
    <row r="22">
      <c r="A22" s="5">
        <v>21.0</v>
      </c>
      <c r="B22" s="6">
        <v>43753.0</v>
      </c>
      <c r="C22" s="6">
        <v>7846.0</v>
      </c>
      <c r="D22" s="7">
        <f t="shared" si="7"/>
        <v>51599</v>
      </c>
      <c r="E22" s="6">
        <v>374000.0</v>
      </c>
      <c r="F22" s="7">
        <f t="shared" si="8"/>
        <v>417753</v>
      </c>
      <c r="G22" s="6">
        <f t="shared" si="9"/>
        <v>10771467</v>
      </c>
    </row>
    <row r="23">
      <c r="A23" s="5">
        <v>22.0</v>
      </c>
      <c r="B23" s="6">
        <v>181373.0</v>
      </c>
      <c r="C23" s="6">
        <v>2073.0</v>
      </c>
      <c r="D23" s="7">
        <f t="shared" si="7"/>
        <v>183446</v>
      </c>
      <c r="E23" s="6">
        <v>772000.0</v>
      </c>
      <c r="F23" s="7">
        <f t="shared" si="8"/>
        <v>953373</v>
      </c>
      <c r="G23" s="7">
        <f t="shared" si="9"/>
        <v>11724840</v>
      </c>
    </row>
    <row r="24">
      <c r="A24" s="3">
        <v>23.0</v>
      </c>
      <c r="B24" s="8"/>
      <c r="C24" s="8"/>
      <c r="D24" s="4"/>
      <c r="E24" s="8"/>
      <c r="F24" s="4"/>
      <c r="G24" s="4"/>
    </row>
    <row r="25">
      <c r="A25" s="5">
        <v>24.0</v>
      </c>
      <c r="B25" s="6">
        <v>427221.0</v>
      </c>
      <c r="C25" s="6">
        <v>66485.0</v>
      </c>
      <c r="D25" s="7">
        <f t="shared" ref="D25:D30" si="10">C25+B25</f>
        <v>493706</v>
      </c>
      <c r="E25" s="6">
        <v>550000.0</v>
      </c>
      <c r="F25" s="7">
        <f t="shared" ref="F25:F27" si="11">E25+B25</f>
        <v>977221</v>
      </c>
      <c r="G25" s="7">
        <f>F25+G23</f>
        <v>12702061</v>
      </c>
    </row>
    <row r="26">
      <c r="A26" s="5">
        <v>25.0</v>
      </c>
      <c r="B26" s="6">
        <v>67267.0</v>
      </c>
      <c r="C26" s="6">
        <v>12780.0</v>
      </c>
      <c r="D26" s="7">
        <f t="shared" si="10"/>
        <v>80047</v>
      </c>
      <c r="E26" s="6">
        <v>425000.0</v>
      </c>
      <c r="F26" s="7">
        <f t="shared" si="11"/>
        <v>492267</v>
      </c>
      <c r="G26" s="7">
        <f t="shared" ref="G26:G30" si="12">F26+G25</f>
        <v>13194328</v>
      </c>
    </row>
    <row r="27">
      <c r="A27" s="5">
        <v>26.0</v>
      </c>
      <c r="B27" s="6">
        <v>642133.0</v>
      </c>
      <c r="C27" s="6">
        <v>34342.0</v>
      </c>
      <c r="D27" s="7">
        <f t="shared" si="10"/>
        <v>676475</v>
      </c>
      <c r="E27" s="6">
        <v>553000.0</v>
      </c>
      <c r="F27" s="7">
        <f t="shared" si="11"/>
        <v>1195133</v>
      </c>
      <c r="G27" s="7">
        <f t="shared" si="12"/>
        <v>14389461</v>
      </c>
    </row>
    <row r="28">
      <c r="A28" s="5">
        <v>27.0</v>
      </c>
      <c r="B28" s="6">
        <v>451565.0</v>
      </c>
      <c r="C28" s="6">
        <v>68030.0</v>
      </c>
      <c r="D28" s="7">
        <f t="shared" si="10"/>
        <v>519595</v>
      </c>
      <c r="E28" s="6">
        <v>514000.0</v>
      </c>
      <c r="F28" s="7">
        <f>B28+E28</f>
        <v>965565</v>
      </c>
      <c r="G28" s="7">
        <f t="shared" si="12"/>
        <v>15355026</v>
      </c>
    </row>
    <row r="29">
      <c r="A29" s="5">
        <v>28.0</v>
      </c>
      <c r="B29" s="6">
        <v>524287.0</v>
      </c>
      <c r="C29" s="6">
        <v>37438.0</v>
      </c>
      <c r="D29" s="7">
        <f t="shared" si="10"/>
        <v>561725</v>
      </c>
      <c r="E29" s="6">
        <v>503000.0</v>
      </c>
      <c r="F29" s="7">
        <f>E29+B29</f>
        <v>1027287</v>
      </c>
      <c r="G29" s="7">
        <f t="shared" si="12"/>
        <v>16382313</v>
      </c>
    </row>
    <row r="30">
      <c r="A30" s="5">
        <v>29.0</v>
      </c>
      <c r="B30" s="6">
        <v>621702.0</v>
      </c>
      <c r="C30" s="6">
        <v>40966.0</v>
      </c>
      <c r="D30" s="7">
        <f t="shared" si="10"/>
        <v>662668</v>
      </c>
      <c r="E30" s="6">
        <v>907000.0</v>
      </c>
      <c r="F30" s="7">
        <f>B30+E30</f>
        <v>1528702</v>
      </c>
      <c r="G30" s="7">
        <f t="shared" si="12"/>
        <v>17911015</v>
      </c>
    </row>
    <row r="31">
      <c r="A31" s="3">
        <v>30.0</v>
      </c>
      <c r="B31" s="8"/>
      <c r="C31" s="8"/>
      <c r="D31" s="4"/>
      <c r="E31" s="8"/>
      <c r="F31" s="8"/>
      <c r="G31" s="4"/>
    </row>
    <row r="32">
      <c r="A32" s="5" t="s">
        <v>6</v>
      </c>
      <c r="B32" s="7">
        <f t="shared" ref="B32:E32" si="13">SUM(B2:B31)</f>
        <v>5659015</v>
      </c>
      <c r="C32" s="7">
        <f t="shared" si="13"/>
        <v>492178</v>
      </c>
      <c r="D32" s="7">
        <f t="shared" si="13"/>
        <v>6151193</v>
      </c>
      <c r="E32" s="7">
        <f t="shared" si="13"/>
        <v>12252000</v>
      </c>
      <c r="F32" s="7">
        <f>SUM(F2:F30)</f>
        <v>17911015</v>
      </c>
      <c r="G32" s="7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/>
      <c r="C2" s="8"/>
      <c r="D2" s="4"/>
      <c r="E2" s="8"/>
      <c r="F2" s="4"/>
      <c r="G2" s="4"/>
    </row>
    <row r="3">
      <c r="A3" s="5">
        <v>2.0</v>
      </c>
      <c r="B3" s="6">
        <v>216659.0</v>
      </c>
      <c r="C3" s="6">
        <v>10845.0</v>
      </c>
      <c r="D3" s="7">
        <f t="shared" ref="D3:D7" si="1">B3+C3</f>
        <v>227504</v>
      </c>
      <c r="E3" s="6">
        <v>516000.0</v>
      </c>
      <c r="F3" s="7">
        <f t="shared" ref="F3:F7" si="2">E3+B3</f>
        <v>732659</v>
      </c>
      <c r="G3" s="7">
        <f>F3</f>
        <v>732659</v>
      </c>
    </row>
    <row r="4">
      <c r="A4" s="5">
        <v>3.0</v>
      </c>
      <c r="B4" s="6">
        <v>316912.0</v>
      </c>
      <c r="C4" s="6">
        <v>21318.0</v>
      </c>
      <c r="D4" s="7">
        <f t="shared" si="1"/>
        <v>338230</v>
      </c>
      <c r="E4" s="6">
        <v>556000.0</v>
      </c>
      <c r="F4" s="7">
        <f t="shared" si="2"/>
        <v>872912</v>
      </c>
      <c r="G4" s="7">
        <f t="shared" ref="G4:G7" si="3">F4+G3</f>
        <v>1605571</v>
      </c>
    </row>
    <row r="5">
      <c r="A5" s="5">
        <v>4.0</v>
      </c>
      <c r="B5" s="6">
        <v>263129.0</v>
      </c>
      <c r="C5" s="6">
        <v>20061.0</v>
      </c>
      <c r="D5" s="7">
        <f t="shared" si="1"/>
        <v>283190</v>
      </c>
      <c r="E5" s="6">
        <v>546000.0</v>
      </c>
      <c r="F5" s="7">
        <f t="shared" si="2"/>
        <v>809129</v>
      </c>
      <c r="G5" s="7">
        <f t="shared" si="3"/>
        <v>2414700</v>
      </c>
    </row>
    <row r="6">
      <c r="A6" s="5">
        <v>5.0</v>
      </c>
      <c r="B6" s="6">
        <v>105387.0</v>
      </c>
      <c r="C6" s="6">
        <v>9375.0</v>
      </c>
      <c r="D6" s="7">
        <f t="shared" si="1"/>
        <v>114762</v>
      </c>
      <c r="E6" s="6">
        <v>542000.0</v>
      </c>
      <c r="F6" s="7">
        <f t="shared" si="2"/>
        <v>647387</v>
      </c>
      <c r="G6" s="7">
        <f t="shared" si="3"/>
        <v>3062087</v>
      </c>
    </row>
    <row r="7">
      <c r="A7" s="5">
        <v>6.0</v>
      </c>
      <c r="B7" s="6">
        <v>256869.0</v>
      </c>
      <c r="C7" s="6">
        <v>35245.0</v>
      </c>
      <c r="D7" s="7">
        <f t="shared" si="1"/>
        <v>292114</v>
      </c>
      <c r="E7" s="6">
        <v>623000.0</v>
      </c>
      <c r="F7" s="7">
        <f t="shared" si="2"/>
        <v>879869</v>
      </c>
      <c r="G7" s="7">
        <f t="shared" si="3"/>
        <v>3941956</v>
      </c>
    </row>
    <row r="8">
      <c r="A8" s="3">
        <v>7.0</v>
      </c>
      <c r="B8" s="8"/>
      <c r="C8" s="8"/>
      <c r="D8" s="4"/>
      <c r="E8" s="8"/>
      <c r="F8" s="8"/>
      <c r="G8" s="4"/>
    </row>
    <row r="9">
      <c r="A9" s="5">
        <v>8.0</v>
      </c>
      <c r="B9" s="6">
        <v>216845.0</v>
      </c>
      <c r="C9" s="6">
        <v>11262.0</v>
      </c>
      <c r="D9" s="7">
        <f t="shared" ref="D9:D14" si="4">B9+C9</f>
        <v>228107</v>
      </c>
      <c r="E9" s="6">
        <v>368000.0</v>
      </c>
      <c r="F9" s="7">
        <f>E9+B9</f>
        <v>584845</v>
      </c>
      <c r="G9" s="7">
        <f>F9+G7</f>
        <v>4526801</v>
      </c>
    </row>
    <row r="10">
      <c r="A10" s="5">
        <v>9.0</v>
      </c>
      <c r="B10" s="6">
        <v>345821.0</v>
      </c>
      <c r="C10" s="6">
        <v>46423.0</v>
      </c>
      <c r="D10" s="7">
        <f t="shared" si="4"/>
        <v>392244</v>
      </c>
      <c r="E10" s="6">
        <v>401000.0</v>
      </c>
      <c r="F10" s="7">
        <f t="shared" ref="F10:F14" si="5">B10+E10</f>
        <v>746821</v>
      </c>
      <c r="G10" s="7">
        <f t="shared" ref="G10:G14" si="6">G9+F10</f>
        <v>5273622</v>
      </c>
    </row>
    <row r="11">
      <c r="A11" s="5">
        <v>10.0</v>
      </c>
      <c r="B11" s="6">
        <v>135575.0</v>
      </c>
      <c r="C11" s="6">
        <v>13578.0</v>
      </c>
      <c r="D11" s="7">
        <f t="shared" si="4"/>
        <v>149153</v>
      </c>
      <c r="E11" s="6">
        <v>550000.0</v>
      </c>
      <c r="F11" s="7">
        <f t="shared" si="5"/>
        <v>685575</v>
      </c>
      <c r="G11" s="7">
        <f t="shared" si="6"/>
        <v>5959197</v>
      </c>
    </row>
    <row r="12">
      <c r="A12" s="5">
        <v>11.0</v>
      </c>
      <c r="B12" s="6">
        <v>107840.0</v>
      </c>
      <c r="C12" s="6">
        <v>5392.0</v>
      </c>
      <c r="D12" s="7">
        <f t="shared" si="4"/>
        <v>113232</v>
      </c>
      <c r="E12" s="6">
        <v>466000.0</v>
      </c>
      <c r="F12" s="7">
        <f t="shared" si="5"/>
        <v>573840</v>
      </c>
      <c r="G12" s="7">
        <f t="shared" si="6"/>
        <v>6533037</v>
      </c>
    </row>
    <row r="13">
      <c r="A13" s="5">
        <v>12.0</v>
      </c>
      <c r="B13" s="6">
        <v>764476.0</v>
      </c>
      <c r="C13" s="6">
        <v>59548.0</v>
      </c>
      <c r="D13" s="7">
        <f t="shared" si="4"/>
        <v>824024</v>
      </c>
      <c r="E13" s="6">
        <v>432000.0</v>
      </c>
      <c r="F13" s="7">
        <f t="shared" si="5"/>
        <v>1196476</v>
      </c>
      <c r="G13" s="7">
        <f t="shared" si="6"/>
        <v>7729513</v>
      </c>
    </row>
    <row r="14">
      <c r="A14" s="5">
        <v>13.0</v>
      </c>
      <c r="B14" s="6">
        <v>256927.0</v>
      </c>
      <c r="C14" s="6">
        <v>25336.0</v>
      </c>
      <c r="D14" s="7">
        <f t="shared" si="4"/>
        <v>282263</v>
      </c>
      <c r="E14" s="6">
        <v>708000.0</v>
      </c>
      <c r="F14" s="7">
        <f t="shared" si="5"/>
        <v>964927</v>
      </c>
      <c r="G14" s="7">
        <f t="shared" si="6"/>
        <v>8694440</v>
      </c>
    </row>
    <row r="15">
      <c r="A15" s="3">
        <v>14.0</v>
      </c>
      <c r="B15" s="8"/>
      <c r="C15" s="8"/>
      <c r="D15" s="4"/>
      <c r="E15" s="8"/>
      <c r="F15" s="4"/>
      <c r="G15" s="4"/>
      <c r="J15" s="11" t="s">
        <v>7</v>
      </c>
      <c r="K15" s="12"/>
    </row>
    <row r="16">
      <c r="A16" s="5">
        <v>15.0</v>
      </c>
      <c r="B16" s="6">
        <v>106677.0</v>
      </c>
      <c r="C16" s="6">
        <v>15245.0</v>
      </c>
      <c r="D16" s="7">
        <f t="shared" ref="D16:D20" si="7">B16+C16</f>
        <v>121922</v>
      </c>
      <c r="E16" s="6">
        <v>421000.0</v>
      </c>
      <c r="F16" s="7">
        <f t="shared" ref="F16:F20" si="8">E16+B16</f>
        <v>527677</v>
      </c>
      <c r="G16" s="7">
        <f>F16+G14</f>
        <v>9222117</v>
      </c>
    </row>
    <row r="17">
      <c r="A17" s="5">
        <v>16.0</v>
      </c>
      <c r="B17" s="6">
        <v>238387.0</v>
      </c>
      <c r="C17" s="6">
        <v>25002.0</v>
      </c>
      <c r="D17" s="7">
        <f t="shared" si="7"/>
        <v>263389</v>
      </c>
      <c r="E17" s="6">
        <v>451000.0</v>
      </c>
      <c r="F17" s="7">
        <f t="shared" si="8"/>
        <v>689387</v>
      </c>
      <c r="G17" s="7">
        <f t="shared" ref="G17:G20" si="9">F17+G16</f>
        <v>9911504</v>
      </c>
    </row>
    <row r="18">
      <c r="A18" s="5">
        <v>17.0</v>
      </c>
      <c r="B18" s="6">
        <v>439380.0</v>
      </c>
      <c r="C18" s="6">
        <v>32825.0</v>
      </c>
      <c r="D18" s="7">
        <f t="shared" si="7"/>
        <v>472205</v>
      </c>
      <c r="E18" s="6">
        <v>431000.0</v>
      </c>
      <c r="F18" s="7">
        <f t="shared" si="8"/>
        <v>870380</v>
      </c>
      <c r="G18" s="7">
        <f t="shared" si="9"/>
        <v>10781884</v>
      </c>
    </row>
    <row r="19">
      <c r="A19" s="5">
        <v>18.0</v>
      </c>
      <c r="B19" s="6">
        <v>239220.0</v>
      </c>
      <c r="C19" s="6">
        <v>25968.0</v>
      </c>
      <c r="D19" s="7">
        <f t="shared" si="7"/>
        <v>265188</v>
      </c>
      <c r="E19" s="6">
        <v>464000.0</v>
      </c>
      <c r="F19" s="7">
        <f t="shared" si="8"/>
        <v>703220</v>
      </c>
      <c r="G19" s="7">
        <f t="shared" si="9"/>
        <v>11485104</v>
      </c>
    </row>
    <row r="20">
      <c r="A20" s="5">
        <v>19.0</v>
      </c>
      <c r="B20" s="6">
        <v>266667.0</v>
      </c>
      <c r="C20" s="6">
        <v>30906.0</v>
      </c>
      <c r="D20" s="7">
        <f t="shared" si="7"/>
        <v>297573</v>
      </c>
      <c r="E20" s="6">
        <v>482000.0</v>
      </c>
      <c r="F20" s="7">
        <f t="shared" si="8"/>
        <v>748667</v>
      </c>
      <c r="G20" s="7">
        <f t="shared" si="9"/>
        <v>12233771</v>
      </c>
    </row>
    <row r="21">
      <c r="A21" s="3">
        <v>20.0</v>
      </c>
      <c r="B21" s="8"/>
      <c r="C21" s="8"/>
      <c r="D21" s="4"/>
      <c r="E21" s="8"/>
      <c r="F21" s="4"/>
      <c r="G21" s="4"/>
      <c r="K21" s="12"/>
    </row>
    <row r="22">
      <c r="A22" s="3">
        <v>21.0</v>
      </c>
      <c r="B22" s="8"/>
      <c r="C22" s="8"/>
      <c r="D22" s="4"/>
      <c r="E22" s="8"/>
      <c r="F22" s="4"/>
      <c r="G22" s="8"/>
    </row>
    <row r="23">
      <c r="A23" s="5">
        <v>22.0</v>
      </c>
      <c r="B23" s="6">
        <v>347140.0</v>
      </c>
      <c r="C23" s="6">
        <v>18062.0</v>
      </c>
      <c r="D23" s="7">
        <f t="shared" ref="D23:D28" si="10">B23+C23</f>
        <v>365202</v>
      </c>
      <c r="E23" s="6">
        <v>534000.0</v>
      </c>
      <c r="F23" s="7">
        <f t="shared" ref="F23:F28" si="11">E23+B23</f>
        <v>881140</v>
      </c>
      <c r="G23" s="7">
        <f>F23+G20</f>
        <v>13114911</v>
      </c>
    </row>
    <row r="24">
      <c r="A24" s="5">
        <v>23.0</v>
      </c>
      <c r="B24" s="6">
        <v>169237.0</v>
      </c>
      <c r="C24" s="6">
        <v>8461.0</v>
      </c>
      <c r="D24" s="7">
        <f t="shared" si="10"/>
        <v>177698</v>
      </c>
      <c r="E24" s="6">
        <v>527000.0</v>
      </c>
      <c r="F24" s="7">
        <f t="shared" si="11"/>
        <v>696237</v>
      </c>
      <c r="G24" s="7">
        <f t="shared" ref="G24:G28" si="12">F24+G23</f>
        <v>13811148</v>
      </c>
    </row>
    <row r="25">
      <c r="A25" s="5">
        <v>24.0</v>
      </c>
      <c r="B25" s="6">
        <v>209128.0</v>
      </c>
      <c r="C25" s="6">
        <v>22601.0</v>
      </c>
      <c r="D25" s="7">
        <f t="shared" si="10"/>
        <v>231729</v>
      </c>
      <c r="E25" s="6">
        <v>678000.0</v>
      </c>
      <c r="F25" s="7">
        <f t="shared" si="11"/>
        <v>887128</v>
      </c>
      <c r="G25" s="7">
        <f t="shared" si="12"/>
        <v>14698276</v>
      </c>
      <c r="K25" s="12"/>
      <c r="L25" s="13"/>
    </row>
    <row r="26">
      <c r="A26" s="5">
        <v>25.0</v>
      </c>
      <c r="B26" s="6">
        <v>120818.0</v>
      </c>
      <c r="C26" s="6">
        <v>6040.0</v>
      </c>
      <c r="D26" s="7">
        <f t="shared" si="10"/>
        <v>126858</v>
      </c>
      <c r="E26" s="6">
        <v>616000.0</v>
      </c>
      <c r="F26" s="7">
        <f t="shared" si="11"/>
        <v>736818</v>
      </c>
      <c r="G26" s="7">
        <f t="shared" si="12"/>
        <v>15435094</v>
      </c>
      <c r="K26" s="12"/>
      <c r="L26" s="12"/>
    </row>
    <row r="27">
      <c r="A27" s="5">
        <v>26.0</v>
      </c>
      <c r="B27" s="6">
        <v>162251.0</v>
      </c>
      <c r="C27" s="6">
        <v>8112.0</v>
      </c>
      <c r="D27" s="7">
        <f t="shared" si="10"/>
        <v>170363</v>
      </c>
      <c r="E27" s="6">
        <v>827000.0</v>
      </c>
      <c r="F27" s="7">
        <f t="shared" si="11"/>
        <v>989251</v>
      </c>
      <c r="G27" s="7">
        <f t="shared" si="12"/>
        <v>16424345</v>
      </c>
    </row>
    <row r="28">
      <c r="A28" s="5">
        <v>27.0</v>
      </c>
      <c r="B28" s="6">
        <v>492512.0</v>
      </c>
      <c r="C28" s="6">
        <v>39492.0</v>
      </c>
      <c r="D28" s="7">
        <f t="shared" si="10"/>
        <v>532004</v>
      </c>
      <c r="E28" s="6">
        <v>486000.0</v>
      </c>
      <c r="F28" s="7">
        <f t="shared" si="11"/>
        <v>978512</v>
      </c>
      <c r="G28" s="7">
        <f t="shared" si="12"/>
        <v>17402857</v>
      </c>
    </row>
    <row r="29">
      <c r="A29" s="3">
        <v>28.0</v>
      </c>
      <c r="B29" s="8"/>
      <c r="C29" s="8"/>
      <c r="D29" s="4"/>
      <c r="E29" s="8"/>
      <c r="F29" s="4"/>
      <c r="G29" s="4"/>
    </row>
    <row r="30">
      <c r="A30" s="5">
        <v>29.0</v>
      </c>
      <c r="B30" s="6">
        <v>136914.0</v>
      </c>
      <c r="C30" s="6">
        <v>24081.0</v>
      </c>
      <c r="D30" s="7">
        <f t="shared" ref="D30:D33" si="13">B30+C30</f>
        <v>160995</v>
      </c>
      <c r="E30" s="6">
        <v>514000.0</v>
      </c>
      <c r="F30" s="7">
        <f t="shared" ref="F30:F32" si="14">E30+B30</f>
        <v>650914</v>
      </c>
      <c r="G30" s="7">
        <f>F30+G28</f>
        <v>18053771</v>
      </c>
    </row>
    <row r="31">
      <c r="A31" s="5">
        <v>30.0</v>
      </c>
      <c r="B31" s="6">
        <v>157269.0</v>
      </c>
      <c r="C31" s="6">
        <v>18841.0</v>
      </c>
      <c r="D31" s="7">
        <f t="shared" si="13"/>
        <v>176110</v>
      </c>
      <c r="E31" s="6">
        <v>620000.0</v>
      </c>
      <c r="F31" s="6">
        <f t="shared" si="14"/>
        <v>777269</v>
      </c>
      <c r="G31" s="7">
        <f t="shared" ref="G31:G32" si="15">F31+G30</f>
        <v>18831040</v>
      </c>
    </row>
    <row r="32">
      <c r="A32" s="5">
        <v>31.0</v>
      </c>
      <c r="B32" s="6">
        <v>235041.0</v>
      </c>
      <c r="C32" s="6">
        <v>33457.0</v>
      </c>
      <c r="D32" s="7">
        <f t="shared" si="13"/>
        <v>268498</v>
      </c>
      <c r="E32" s="6">
        <v>550000.0</v>
      </c>
      <c r="F32" s="6">
        <f t="shared" si="14"/>
        <v>785041</v>
      </c>
      <c r="G32" s="7">
        <f t="shared" si="15"/>
        <v>19616081</v>
      </c>
    </row>
    <row r="33">
      <c r="A33" s="5" t="s">
        <v>6</v>
      </c>
      <c r="B33" s="7">
        <f t="shared" ref="B33:C33" si="16">SUM(B3:B32)</f>
        <v>6307081</v>
      </c>
      <c r="C33" s="7">
        <f t="shared" si="16"/>
        <v>567476</v>
      </c>
      <c r="D33" s="7">
        <f t="shared" si="13"/>
        <v>6874557</v>
      </c>
      <c r="E33" s="7">
        <f>SUM(E3:E32)</f>
        <v>13309000</v>
      </c>
      <c r="F33" s="6"/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541697.0</v>
      </c>
      <c r="C2" s="6">
        <v>22539.0</v>
      </c>
      <c r="D2" s="7">
        <f>C2+B2</f>
        <v>564236</v>
      </c>
      <c r="E2" s="6">
        <v>595000.0</v>
      </c>
      <c r="F2" s="7">
        <f>E2+B2</f>
        <v>1136697</v>
      </c>
      <c r="G2" s="7">
        <f>F2</f>
        <v>1136697</v>
      </c>
    </row>
    <row r="3">
      <c r="A3" s="5">
        <v>2.0</v>
      </c>
      <c r="B3" s="6">
        <v>98156.0</v>
      </c>
      <c r="C3" s="6">
        <v>9790.0</v>
      </c>
      <c r="D3" s="7">
        <f t="shared" ref="D3:D4" si="1">B3+C3</f>
        <v>107946</v>
      </c>
      <c r="E3" s="6">
        <v>643000.0</v>
      </c>
      <c r="F3" s="7">
        <f t="shared" ref="F3:F4" si="2">B3+E3</f>
        <v>741156</v>
      </c>
      <c r="G3" s="7">
        <f t="shared" ref="G3:G4" si="3">G2+F3</f>
        <v>1877853</v>
      </c>
    </row>
    <row r="4">
      <c r="A4" s="5">
        <v>3.0</v>
      </c>
      <c r="B4" s="6">
        <v>277131.0</v>
      </c>
      <c r="C4" s="6">
        <v>28421.0</v>
      </c>
      <c r="D4" s="7">
        <f t="shared" si="1"/>
        <v>305552</v>
      </c>
      <c r="E4" s="6">
        <v>860000.0</v>
      </c>
      <c r="F4" s="7">
        <f t="shared" si="2"/>
        <v>1137131</v>
      </c>
      <c r="G4" s="7">
        <f t="shared" si="3"/>
        <v>3014984</v>
      </c>
    </row>
    <row r="5">
      <c r="A5" s="3">
        <v>4.0</v>
      </c>
      <c r="B5" s="8"/>
      <c r="C5" s="8"/>
      <c r="D5" s="4"/>
      <c r="E5" s="8"/>
      <c r="F5" s="4"/>
      <c r="G5" s="4"/>
    </row>
    <row r="6">
      <c r="A6" s="5">
        <v>5.0</v>
      </c>
      <c r="B6" s="6">
        <v>468801.0</v>
      </c>
      <c r="C6" s="6">
        <v>46251.0</v>
      </c>
      <c r="D6" s="7">
        <f t="shared" ref="D6:D7" si="4">B6+C6</f>
        <v>515052</v>
      </c>
      <c r="E6" s="6">
        <v>448000.0</v>
      </c>
      <c r="F6" s="7">
        <f t="shared" ref="F6:F7" si="5">B6+E6</f>
        <v>916801</v>
      </c>
      <c r="G6" s="7">
        <f>F6+G4</f>
        <v>3931785</v>
      </c>
    </row>
    <row r="7">
      <c r="A7" s="5">
        <v>6.0</v>
      </c>
      <c r="B7" s="6">
        <v>92627.0</v>
      </c>
      <c r="C7" s="6">
        <v>4972.0</v>
      </c>
      <c r="D7" s="7">
        <f t="shared" si="4"/>
        <v>97599</v>
      </c>
      <c r="E7" s="6">
        <v>548000.0</v>
      </c>
      <c r="F7" s="7">
        <f t="shared" si="5"/>
        <v>640627</v>
      </c>
      <c r="G7" s="7">
        <f>F7+G6</f>
        <v>4572412</v>
      </c>
    </row>
    <row r="8">
      <c r="A8" s="3">
        <v>7.0</v>
      </c>
      <c r="B8" s="8"/>
      <c r="C8" s="8"/>
      <c r="D8" s="4"/>
      <c r="E8" s="8"/>
      <c r="F8" s="4"/>
      <c r="G8" s="4"/>
    </row>
    <row r="9">
      <c r="A9" s="5">
        <v>8.0</v>
      </c>
      <c r="B9" s="6">
        <v>592800.0</v>
      </c>
      <c r="C9" s="6">
        <v>38145.0</v>
      </c>
      <c r="D9" s="7">
        <f t="shared" ref="D9:D11" si="6">B9+C9</f>
        <v>630945</v>
      </c>
      <c r="E9" s="6">
        <v>514000.0</v>
      </c>
      <c r="F9" s="7">
        <f t="shared" ref="F9:F11" si="7">B9+E9</f>
        <v>1106800</v>
      </c>
      <c r="G9" s="7">
        <f>F9+G7</f>
        <v>5679212</v>
      </c>
    </row>
    <row r="10">
      <c r="A10" s="5">
        <v>9.0</v>
      </c>
      <c r="B10" s="6">
        <v>137379.0</v>
      </c>
      <c r="C10" s="6">
        <v>6868.0</v>
      </c>
      <c r="D10" s="7">
        <f t="shared" si="6"/>
        <v>144247</v>
      </c>
      <c r="E10" s="6">
        <v>444000.0</v>
      </c>
      <c r="F10" s="7">
        <f t="shared" si="7"/>
        <v>581379</v>
      </c>
      <c r="G10" s="7">
        <f t="shared" ref="G10:G11" si="8">F10+G9</f>
        <v>6260591</v>
      </c>
    </row>
    <row r="11">
      <c r="A11" s="5">
        <v>10.0</v>
      </c>
      <c r="B11" s="6">
        <v>495412.0</v>
      </c>
      <c r="C11" s="6">
        <v>36011.0</v>
      </c>
      <c r="D11" s="7">
        <f t="shared" si="6"/>
        <v>531423</v>
      </c>
      <c r="E11" s="6">
        <v>464000.0</v>
      </c>
      <c r="F11" s="7">
        <f t="shared" si="7"/>
        <v>959412</v>
      </c>
      <c r="G11" s="7">
        <f t="shared" si="8"/>
        <v>7220003</v>
      </c>
    </row>
    <row r="12">
      <c r="A12" s="3">
        <v>11.0</v>
      </c>
      <c r="B12" s="8"/>
      <c r="C12" s="8"/>
      <c r="D12" s="4"/>
      <c r="E12" s="8"/>
      <c r="F12" s="4"/>
      <c r="G12" s="4"/>
    </row>
    <row r="13">
      <c r="A13" s="5">
        <v>12.0</v>
      </c>
      <c r="B13" s="6">
        <v>581029.0</v>
      </c>
      <c r="C13" s="6">
        <v>36541.0</v>
      </c>
      <c r="D13" s="7">
        <f t="shared" ref="D13:D18" si="9">B13+C13</f>
        <v>617570</v>
      </c>
      <c r="E13" s="6">
        <v>500000.0</v>
      </c>
      <c r="F13" s="7">
        <f t="shared" ref="F13:F18" si="10">B13+E13</f>
        <v>1081029</v>
      </c>
      <c r="G13" s="7">
        <f>G11+F13</f>
        <v>8301032</v>
      </c>
    </row>
    <row r="14">
      <c r="A14" s="5">
        <v>13.0</v>
      </c>
      <c r="B14" s="6">
        <v>232607.0</v>
      </c>
      <c r="C14" s="6">
        <v>24662.0</v>
      </c>
      <c r="D14" s="7">
        <f t="shared" si="9"/>
        <v>257269</v>
      </c>
      <c r="E14" s="6">
        <v>536000.0</v>
      </c>
      <c r="F14" s="7">
        <f t="shared" si="10"/>
        <v>768607</v>
      </c>
      <c r="G14" s="7">
        <f t="shared" ref="G14:G18" si="11">G13+F14</f>
        <v>9069639</v>
      </c>
    </row>
    <row r="15">
      <c r="A15" s="5">
        <v>14.0</v>
      </c>
      <c r="B15" s="6">
        <v>192759.0</v>
      </c>
      <c r="C15" s="6">
        <v>21890.0</v>
      </c>
      <c r="D15" s="7">
        <f t="shared" si="9"/>
        <v>214649</v>
      </c>
      <c r="E15" s="6">
        <v>487000.0</v>
      </c>
      <c r="F15" s="7">
        <f t="shared" si="10"/>
        <v>679759</v>
      </c>
      <c r="G15" s="7">
        <f t="shared" si="11"/>
        <v>9749398</v>
      </c>
      <c r="J15" s="11" t="s">
        <v>7</v>
      </c>
      <c r="K15" s="12"/>
    </row>
    <row r="16">
      <c r="A16" s="5">
        <v>15.0</v>
      </c>
      <c r="B16" s="6">
        <v>122857.0</v>
      </c>
      <c r="C16" s="6">
        <v>6142.0</v>
      </c>
      <c r="D16" s="7">
        <f t="shared" si="9"/>
        <v>128999</v>
      </c>
      <c r="E16" s="6">
        <v>502000.0</v>
      </c>
      <c r="F16" s="7">
        <f t="shared" si="10"/>
        <v>624857</v>
      </c>
      <c r="G16" s="7">
        <f t="shared" si="11"/>
        <v>10374255</v>
      </c>
    </row>
    <row r="17">
      <c r="A17" s="5">
        <v>16.0</v>
      </c>
      <c r="B17" s="6">
        <v>211088.0</v>
      </c>
      <c r="C17" s="6">
        <v>29426.0</v>
      </c>
      <c r="D17" s="7">
        <f t="shared" si="9"/>
        <v>240514</v>
      </c>
      <c r="E17" s="6">
        <v>531000.0</v>
      </c>
      <c r="F17" s="7">
        <f t="shared" si="10"/>
        <v>742088</v>
      </c>
      <c r="G17" s="7">
        <f t="shared" si="11"/>
        <v>11116343</v>
      </c>
      <c r="H17" s="11">
        <v>516000.0</v>
      </c>
    </row>
    <row r="18">
      <c r="A18" s="5">
        <v>17.0</v>
      </c>
      <c r="B18" s="6">
        <v>166200.0</v>
      </c>
      <c r="C18" s="6">
        <v>11940.0</v>
      </c>
      <c r="D18" s="7">
        <f t="shared" si="9"/>
        <v>178140</v>
      </c>
      <c r="E18" s="6">
        <v>595000.0</v>
      </c>
      <c r="F18" s="7">
        <f t="shared" si="10"/>
        <v>761200</v>
      </c>
      <c r="G18" s="7">
        <f t="shared" si="11"/>
        <v>11877543</v>
      </c>
    </row>
    <row r="19">
      <c r="A19" s="3">
        <v>18.0</v>
      </c>
      <c r="B19" s="8"/>
      <c r="C19" s="8"/>
      <c r="D19" s="4"/>
      <c r="E19" s="8"/>
      <c r="F19" s="4"/>
      <c r="G19" s="4"/>
    </row>
    <row r="20">
      <c r="A20" s="3">
        <v>19.0</v>
      </c>
      <c r="B20" s="8"/>
      <c r="C20" s="8"/>
      <c r="D20" s="4">
        <f t="shared" ref="D20:D25" si="12">B20+C20</f>
        <v>0</v>
      </c>
      <c r="E20" s="8"/>
      <c r="F20" s="4">
        <f t="shared" ref="F20:F25" si="13">B20+E20</f>
        <v>0</v>
      </c>
      <c r="G20" s="4"/>
    </row>
    <row r="21">
      <c r="A21" s="5">
        <v>20.0</v>
      </c>
      <c r="B21" s="6">
        <v>188648.0</v>
      </c>
      <c r="C21" s="6">
        <v>19526.0</v>
      </c>
      <c r="D21" s="7">
        <f t="shared" si="12"/>
        <v>208174</v>
      </c>
      <c r="E21" s="6">
        <v>618000.0</v>
      </c>
      <c r="F21" s="7">
        <f t="shared" si="13"/>
        <v>806648</v>
      </c>
      <c r="G21" s="7">
        <f>F21+G18</f>
        <v>12684191</v>
      </c>
      <c r="K21" s="12"/>
    </row>
    <row r="22">
      <c r="A22" s="5">
        <v>21.0</v>
      </c>
      <c r="B22" s="6">
        <v>353434.0</v>
      </c>
      <c r="C22" s="6">
        <v>31387.0</v>
      </c>
      <c r="D22" s="7">
        <f t="shared" si="12"/>
        <v>384821</v>
      </c>
      <c r="E22" s="6">
        <v>496000.0</v>
      </c>
      <c r="F22" s="7">
        <f t="shared" si="13"/>
        <v>849434</v>
      </c>
      <c r="G22" s="6">
        <f t="shared" ref="G22:G25" si="14">F22+G21</f>
        <v>13533625</v>
      </c>
    </row>
    <row r="23">
      <c r="A23" s="5">
        <v>22.0</v>
      </c>
      <c r="B23" s="6">
        <v>318024.0</v>
      </c>
      <c r="C23" s="6">
        <v>26598.0</v>
      </c>
      <c r="D23" s="7">
        <f t="shared" si="12"/>
        <v>344622</v>
      </c>
      <c r="E23" s="6">
        <v>608000.0</v>
      </c>
      <c r="F23" s="7">
        <f t="shared" si="13"/>
        <v>926024</v>
      </c>
      <c r="G23" s="7">
        <f t="shared" si="14"/>
        <v>14459649</v>
      </c>
    </row>
    <row r="24">
      <c r="A24" s="5">
        <v>23.0</v>
      </c>
      <c r="B24" s="6">
        <v>461456.0</v>
      </c>
      <c r="C24" s="6">
        <v>70838.0</v>
      </c>
      <c r="D24" s="7">
        <f t="shared" si="12"/>
        <v>532294</v>
      </c>
      <c r="E24" s="6">
        <v>708000.0</v>
      </c>
      <c r="F24" s="7">
        <f t="shared" si="13"/>
        <v>1169456</v>
      </c>
      <c r="G24" s="7">
        <f t="shared" si="14"/>
        <v>15629105</v>
      </c>
      <c r="H24" s="11">
        <v>718000.0</v>
      </c>
    </row>
    <row r="25">
      <c r="A25" s="5">
        <v>24.0</v>
      </c>
      <c r="B25" s="6">
        <v>282349.0</v>
      </c>
      <c r="C25" s="6">
        <v>24253.0</v>
      </c>
      <c r="D25" s="7">
        <f t="shared" si="12"/>
        <v>306602</v>
      </c>
      <c r="E25" s="6">
        <v>849000.0</v>
      </c>
      <c r="F25" s="7">
        <f t="shared" si="13"/>
        <v>1131349</v>
      </c>
      <c r="G25" s="7">
        <f t="shared" si="14"/>
        <v>16760454</v>
      </c>
    </row>
    <row r="26">
      <c r="A26" s="3">
        <v>25.0</v>
      </c>
      <c r="B26" s="8"/>
      <c r="C26" s="8"/>
      <c r="D26" s="4"/>
      <c r="E26" s="8"/>
      <c r="F26" s="4"/>
      <c r="G26" s="4"/>
    </row>
    <row r="27">
      <c r="A27" s="5">
        <v>26.0</v>
      </c>
      <c r="B27" s="6">
        <v>245381.0</v>
      </c>
      <c r="C27" s="6">
        <v>19327.0</v>
      </c>
      <c r="D27" s="7">
        <f t="shared" ref="D27:D32" si="15">B27+C27</f>
        <v>264708</v>
      </c>
      <c r="E27" s="6">
        <v>577000.0</v>
      </c>
      <c r="F27" s="7">
        <f t="shared" ref="F27:F31" si="16">B27+E27</f>
        <v>822381</v>
      </c>
      <c r="G27" s="7">
        <f>F27+G25</f>
        <v>17582835</v>
      </c>
    </row>
    <row r="28">
      <c r="A28" s="5">
        <v>27.0</v>
      </c>
      <c r="B28" s="6">
        <v>152457.0</v>
      </c>
      <c r="C28" s="6">
        <v>24126.0</v>
      </c>
      <c r="D28" s="7">
        <f t="shared" si="15"/>
        <v>176583</v>
      </c>
      <c r="E28" s="6">
        <v>495000.0</v>
      </c>
      <c r="F28" s="7">
        <f t="shared" si="16"/>
        <v>647457</v>
      </c>
      <c r="G28" s="7">
        <f t="shared" ref="G28:G32" si="17">F28+G27</f>
        <v>18230292</v>
      </c>
    </row>
    <row r="29">
      <c r="A29" s="5">
        <v>28.0</v>
      </c>
      <c r="B29" s="6">
        <v>82836.0</v>
      </c>
      <c r="C29" s="6">
        <v>4141.0</v>
      </c>
      <c r="D29" s="7">
        <f t="shared" si="15"/>
        <v>86977</v>
      </c>
      <c r="E29" s="6">
        <v>674000.0</v>
      </c>
      <c r="F29" s="7">
        <f t="shared" si="16"/>
        <v>756836</v>
      </c>
      <c r="G29" s="7">
        <f t="shared" si="17"/>
        <v>18987128</v>
      </c>
    </row>
    <row r="30">
      <c r="A30" s="5">
        <v>29.0</v>
      </c>
      <c r="B30" s="6">
        <v>172052.0</v>
      </c>
      <c r="C30" s="6">
        <v>14132.0</v>
      </c>
      <c r="D30" s="7">
        <f t="shared" si="15"/>
        <v>186184</v>
      </c>
      <c r="E30" s="6">
        <v>444000.0</v>
      </c>
      <c r="F30" s="7">
        <f t="shared" si="16"/>
        <v>616052</v>
      </c>
      <c r="G30" s="7">
        <f t="shared" si="17"/>
        <v>19603180</v>
      </c>
    </row>
    <row r="31">
      <c r="A31" s="5">
        <v>30.0</v>
      </c>
      <c r="B31" s="6">
        <v>156694.0</v>
      </c>
      <c r="C31" s="6">
        <v>24105.0</v>
      </c>
      <c r="D31" s="7">
        <f t="shared" si="15"/>
        <v>180799</v>
      </c>
      <c r="E31" s="6">
        <v>511000.0</v>
      </c>
      <c r="F31" s="7">
        <f t="shared" si="16"/>
        <v>667694</v>
      </c>
      <c r="G31" s="7">
        <f t="shared" si="17"/>
        <v>20270874</v>
      </c>
    </row>
    <row r="32">
      <c r="A32" s="5">
        <v>31.0</v>
      </c>
      <c r="B32" s="6">
        <v>474985.0</v>
      </c>
      <c r="C32" s="6">
        <v>44219.0</v>
      </c>
      <c r="D32" s="7">
        <f t="shared" si="15"/>
        <v>519204</v>
      </c>
      <c r="E32" s="6">
        <v>616000.0</v>
      </c>
      <c r="F32" s="6">
        <f>E32+B32</f>
        <v>1090985</v>
      </c>
      <c r="G32" s="7">
        <f t="shared" si="17"/>
        <v>21361859</v>
      </c>
    </row>
    <row r="33">
      <c r="A33" s="5" t="s">
        <v>6</v>
      </c>
      <c r="B33" s="7">
        <f t="shared" ref="B33:F33" si="18">SUM(B2:B32)</f>
        <v>7098859</v>
      </c>
      <c r="C33" s="7">
        <f t="shared" si="18"/>
        <v>626250</v>
      </c>
      <c r="D33" s="7">
        <f t="shared" si="18"/>
        <v>7725109</v>
      </c>
      <c r="E33" s="7">
        <f t="shared" si="18"/>
        <v>14263000</v>
      </c>
      <c r="F33" s="6">
        <f t="shared" si="18"/>
        <v>21361859</v>
      </c>
      <c r="G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>
        <v>1.0</v>
      </c>
      <c r="B2" s="8"/>
      <c r="C2" s="8"/>
      <c r="D2" s="4"/>
      <c r="E2" s="8"/>
      <c r="F2" s="4"/>
      <c r="G2" s="4"/>
    </row>
    <row r="3">
      <c r="A3" s="5">
        <v>2.0</v>
      </c>
      <c r="B3" s="6">
        <v>432509.0</v>
      </c>
      <c r="C3" s="6">
        <v>46349.0</v>
      </c>
      <c r="D3" s="7">
        <f t="shared" ref="D3:D8" si="1">C3+B3</f>
        <v>478858</v>
      </c>
      <c r="E3" s="6">
        <v>387000.0</v>
      </c>
      <c r="F3" s="7">
        <f t="shared" ref="F3:F8" si="2">E3+B3</f>
        <v>819509</v>
      </c>
      <c r="G3" s="7">
        <f>F3</f>
        <v>819509</v>
      </c>
    </row>
    <row r="4">
      <c r="A4" s="5">
        <v>3.0</v>
      </c>
      <c r="B4" s="6">
        <v>471437.0</v>
      </c>
      <c r="C4" s="6">
        <v>25924.0</v>
      </c>
      <c r="D4" s="7">
        <f t="shared" si="1"/>
        <v>497361</v>
      </c>
      <c r="E4" s="6">
        <v>381000.0</v>
      </c>
      <c r="F4" s="7">
        <f t="shared" si="2"/>
        <v>852437</v>
      </c>
      <c r="G4" s="7">
        <f t="shared" ref="G4:G8" si="3">G3+F4</f>
        <v>1671946</v>
      </c>
    </row>
    <row r="5">
      <c r="A5" s="5">
        <v>4.0</v>
      </c>
      <c r="B5" s="6">
        <v>374284.0</v>
      </c>
      <c r="C5" s="6">
        <v>49140.0</v>
      </c>
      <c r="D5" s="7">
        <f t="shared" si="1"/>
        <v>423424</v>
      </c>
      <c r="E5" s="6">
        <v>440000.0</v>
      </c>
      <c r="F5" s="7">
        <f t="shared" si="2"/>
        <v>814284</v>
      </c>
      <c r="G5" s="7">
        <f t="shared" si="3"/>
        <v>2486230</v>
      </c>
    </row>
    <row r="6">
      <c r="A6" s="5">
        <v>5.0</v>
      </c>
      <c r="B6" s="6">
        <v>99638.0</v>
      </c>
      <c r="C6" s="6">
        <v>5877.0</v>
      </c>
      <c r="D6" s="7">
        <f t="shared" si="1"/>
        <v>105515</v>
      </c>
      <c r="E6" s="6">
        <v>462000.0</v>
      </c>
      <c r="F6" s="7">
        <f t="shared" si="2"/>
        <v>561638</v>
      </c>
      <c r="G6" s="7">
        <f t="shared" si="3"/>
        <v>3047868</v>
      </c>
    </row>
    <row r="7">
      <c r="A7" s="5">
        <v>6.0</v>
      </c>
      <c r="B7" s="6">
        <v>129655.0</v>
      </c>
      <c r="C7" s="6">
        <v>6482.0</v>
      </c>
      <c r="D7" s="7">
        <f t="shared" si="1"/>
        <v>136137</v>
      </c>
      <c r="E7" s="6">
        <v>439000.0</v>
      </c>
      <c r="F7" s="7">
        <f t="shared" si="2"/>
        <v>568655</v>
      </c>
      <c r="G7" s="7">
        <f t="shared" si="3"/>
        <v>3616523</v>
      </c>
    </row>
    <row r="8">
      <c r="A8" s="5">
        <v>7.0</v>
      </c>
      <c r="B8" s="6">
        <v>257924.0</v>
      </c>
      <c r="C8" s="6">
        <v>45013.0</v>
      </c>
      <c r="D8" s="7">
        <f t="shared" si="1"/>
        <v>302937</v>
      </c>
      <c r="E8" s="6">
        <v>759000.0</v>
      </c>
      <c r="F8" s="7">
        <f t="shared" si="2"/>
        <v>1016924</v>
      </c>
      <c r="G8" s="7">
        <f t="shared" si="3"/>
        <v>4633447</v>
      </c>
    </row>
    <row r="9">
      <c r="A9" s="3">
        <v>8.0</v>
      </c>
      <c r="B9" s="8"/>
      <c r="C9" s="8"/>
      <c r="D9" s="4"/>
      <c r="E9" s="8"/>
      <c r="F9" s="4"/>
      <c r="G9" s="4"/>
    </row>
    <row r="10">
      <c r="A10" s="5">
        <v>9.0</v>
      </c>
      <c r="B10" s="6">
        <v>457759.0</v>
      </c>
      <c r="C10" s="6">
        <v>55781.0</v>
      </c>
      <c r="D10" s="7">
        <f t="shared" ref="D10:D15" si="4">C10+B10</f>
        <v>513540</v>
      </c>
      <c r="E10" s="6">
        <v>338000.0</v>
      </c>
      <c r="F10" s="7">
        <f t="shared" ref="F10:F15" si="5">E10+B10</f>
        <v>795759</v>
      </c>
      <c r="G10" s="7">
        <f>F10+G8</f>
        <v>5429206</v>
      </c>
    </row>
    <row r="11">
      <c r="A11" s="5">
        <v>10.0</v>
      </c>
      <c r="B11" s="6">
        <v>277529.0</v>
      </c>
      <c r="C11" s="6">
        <v>23370.0</v>
      </c>
      <c r="D11" s="7">
        <f t="shared" si="4"/>
        <v>300899</v>
      </c>
      <c r="E11" s="6">
        <v>480000.0</v>
      </c>
      <c r="F11" s="7">
        <f t="shared" si="5"/>
        <v>757529</v>
      </c>
      <c r="G11" s="7">
        <f t="shared" ref="G11:G15" si="6">F11+G10</f>
        <v>6186735</v>
      </c>
    </row>
    <row r="12">
      <c r="A12" s="5">
        <v>11.0</v>
      </c>
      <c r="B12" s="6">
        <v>241339.0</v>
      </c>
      <c r="C12" s="6">
        <v>44814.0</v>
      </c>
      <c r="D12" s="7">
        <f t="shared" si="4"/>
        <v>286153</v>
      </c>
      <c r="E12" s="6">
        <v>551000.0</v>
      </c>
      <c r="F12" s="7">
        <f t="shared" si="5"/>
        <v>792339</v>
      </c>
      <c r="G12" s="7">
        <f t="shared" si="6"/>
        <v>6979074</v>
      </c>
    </row>
    <row r="13">
      <c r="A13" s="5">
        <v>12.0</v>
      </c>
      <c r="B13" s="6">
        <v>64690.0</v>
      </c>
      <c r="C13" s="6">
        <v>6174.0</v>
      </c>
      <c r="D13" s="7">
        <f t="shared" si="4"/>
        <v>70864</v>
      </c>
      <c r="E13" s="6">
        <v>391000.0</v>
      </c>
      <c r="F13" s="7">
        <f t="shared" si="5"/>
        <v>455690</v>
      </c>
      <c r="G13" s="7">
        <f t="shared" si="6"/>
        <v>7434764</v>
      </c>
    </row>
    <row r="14">
      <c r="A14" s="5">
        <v>13.0</v>
      </c>
      <c r="B14" s="6">
        <v>250029.0</v>
      </c>
      <c r="C14" s="6">
        <v>22697.0</v>
      </c>
      <c r="D14" s="7">
        <f t="shared" si="4"/>
        <v>272726</v>
      </c>
      <c r="E14" s="6">
        <v>647000.0</v>
      </c>
      <c r="F14" s="7">
        <f t="shared" si="5"/>
        <v>897029</v>
      </c>
      <c r="G14" s="7">
        <f t="shared" si="6"/>
        <v>8331793</v>
      </c>
    </row>
    <row r="15">
      <c r="A15" s="5">
        <v>14.0</v>
      </c>
      <c r="B15" s="6">
        <v>272924.0</v>
      </c>
      <c r="C15" s="6">
        <v>19413.0</v>
      </c>
      <c r="D15" s="7">
        <f t="shared" si="4"/>
        <v>292337</v>
      </c>
      <c r="E15" s="6">
        <v>877000.0</v>
      </c>
      <c r="F15" s="7">
        <f t="shared" si="5"/>
        <v>1149924</v>
      </c>
      <c r="G15" s="7">
        <f t="shared" si="6"/>
        <v>9481717</v>
      </c>
      <c r="H15" s="14">
        <v>884000.0</v>
      </c>
      <c r="J15" s="11" t="s">
        <v>7</v>
      </c>
      <c r="K15" s="12"/>
    </row>
    <row r="16">
      <c r="A16" s="3">
        <v>15.0</v>
      </c>
      <c r="B16" s="8"/>
      <c r="C16" s="8"/>
      <c r="D16" s="4"/>
      <c r="E16" s="8"/>
      <c r="F16" s="4"/>
      <c r="G16" s="4"/>
    </row>
    <row r="17">
      <c r="A17" s="5">
        <v>16.0</v>
      </c>
      <c r="B17" s="6">
        <v>295988.0</v>
      </c>
      <c r="C17" s="6">
        <v>22709.0</v>
      </c>
      <c r="D17" s="7">
        <f t="shared" ref="D17:D29" si="7">C17+B17</f>
        <v>318697</v>
      </c>
      <c r="E17" s="6">
        <v>468000.0</v>
      </c>
      <c r="F17" s="7">
        <f t="shared" ref="F17:F29" si="8">E17+B17</f>
        <v>763988</v>
      </c>
      <c r="G17" s="7">
        <f>F17+G15</f>
        <v>10245705</v>
      </c>
    </row>
    <row r="18">
      <c r="A18" s="5">
        <v>17.0</v>
      </c>
      <c r="B18" s="6">
        <v>354072.0</v>
      </c>
      <c r="C18" s="6">
        <v>31427.0</v>
      </c>
      <c r="D18" s="7">
        <f t="shared" si="7"/>
        <v>385499</v>
      </c>
      <c r="E18" s="6">
        <v>390000.0</v>
      </c>
      <c r="F18" s="7">
        <f t="shared" si="8"/>
        <v>744072</v>
      </c>
      <c r="G18" s="7">
        <f t="shared" ref="G18:G29" si="9">G17+F18</f>
        <v>10989777</v>
      </c>
      <c r="H18" s="11" t="s">
        <v>8</v>
      </c>
    </row>
    <row r="19">
      <c r="A19" s="5">
        <v>18.0</v>
      </c>
      <c r="B19" s="6">
        <v>291564.0</v>
      </c>
      <c r="C19" s="6">
        <v>26645.0</v>
      </c>
      <c r="D19" s="7">
        <f t="shared" si="7"/>
        <v>318209</v>
      </c>
      <c r="E19" s="6">
        <v>732000.0</v>
      </c>
      <c r="F19" s="7">
        <f t="shared" si="8"/>
        <v>1023564</v>
      </c>
      <c r="G19" s="7">
        <f t="shared" si="9"/>
        <v>12013341</v>
      </c>
    </row>
    <row r="20">
      <c r="A20" s="5">
        <v>19.0</v>
      </c>
      <c r="B20" s="6">
        <v>192854.0</v>
      </c>
      <c r="C20" s="6">
        <v>13029.0</v>
      </c>
      <c r="D20" s="7">
        <f t="shared" si="7"/>
        <v>205883</v>
      </c>
      <c r="E20" s="6">
        <v>661000.0</v>
      </c>
      <c r="F20" s="7">
        <f t="shared" si="8"/>
        <v>853854</v>
      </c>
      <c r="G20" s="7">
        <f t="shared" si="9"/>
        <v>12867195</v>
      </c>
      <c r="H20" s="11" t="s">
        <v>7</v>
      </c>
    </row>
    <row r="21">
      <c r="A21" s="5">
        <v>20.0</v>
      </c>
      <c r="B21" s="6">
        <v>337961.0</v>
      </c>
      <c r="C21" s="6">
        <v>28992.0</v>
      </c>
      <c r="D21" s="7">
        <f t="shared" si="7"/>
        <v>366953</v>
      </c>
      <c r="E21" s="6">
        <v>1035000.0</v>
      </c>
      <c r="F21" s="7">
        <f t="shared" si="8"/>
        <v>1372961</v>
      </c>
      <c r="G21" s="7">
        <f t="shared" si="9"/>
        <v>14240156</v>
      </c>
      <c r="H21" s="15"/>
      <c r="K21" s="12"/>
    </row>
    <row r="22">
      <c r="A22" s="5">
        <v>21.0</v>
      </c>
      <c r="B22" s="6">
        <v>373577.0</v>
      </c>
      <c r="C22" s="6">
        <v>41514.0</v>
      </c>
      <c r="D22" s="7">
        <f t="shared" si="7"/>
        <v>415091</v>
      </c>
      <c r="E22" s="6">
        <v>1043000.0</v>
      </c>
      <c r="F22" s="7">
        <f t="shared" si="8"/>
        <v>1416577</v>
      </c>
      <c r="G22" s="6">
        <f t="shared" si="9"/>
        <v>15656733</v>
      </c>
      <c r="H22" s="16">
        <v>1053000.0</v>
      </c>
    </row>
    <row r="23">
      <c r="A23" s="3">
        <v>22.0</v>
      </c>
      <c r="B23" s="8">
        <v>36134.0</v>
      </c>
      <c r="C23" s="8">
        <v>6865.0</v>
      </c>
      <c r="D23" s="4">
        <f t="shared" si="7"/>
        <v>42999</v>
      </c>
      <c r="E23" s="8">
        <v>343000.0</v>
      </c>
      <c r="F23" s="4">
        <f t="shared" si="8"/>
        <v>379134</v>
      </c>
      <c r="G23" s="4">
        <f t="shared" si="9"/>
        <v>16035867</v>
      </c>
    </row>
    <row r="24">
      <c r="A24" s="5">
        <v>23.0</v>
      </c>
      <c r="B24" s="6">
        <v>406994.0</v>
      </c>
      <c r="C24" s="6">
        <v>24497.0</v>
      </c>
      <c r="D24" s="7">
        <f t="shared" si="7"/>
        <v>431491</v>
      </c>
      <c r="E24" s="6">
        <v>911000.0</v>
      </c>
      <c r="F24" s="7">
        <f t="shared" si="8"/>
        <v>1317994</v>
      </c>
      <c r="G24" s="7">
        <f t="shared" si="9"/>
        <v>17353861</v>
      </c>
    </row>
    <row r="25">
      <c r="A25" s="5">
        <v>24.0</v>
      </c>
      <c r="B25" s="6">
        <v>375505.0</v>
      </c>
      <c r="C25" s="6">
        <v>18355.0</v>
      </c>
      <c r="D25" s="7">
        <f t="shared" si="7"/>
        <v>393860</v>
      </c>
      <c r="E25" s="6">
        <v>369000.0</v>
      </c>
      <c r="F25" s="7">
        <f t="shared" si="8"/>
        <v>744505</v>
      </c>
      <c r="G25" s="7">
        <f t="shared" si="9"/>
        <v>18098366</v>
      </c>
    </row>
    <row r="26">
      <c r="A26" s="5">
        <v>25.0</v>
      </c>
      <c r="B26" s="6">
        <v>396578.0</v>
      </c>
      <c r="C26" s="6">
        <v>37631.0</v>
      </c>
      <c r="D26" s="7">
        <f t="shared" si="7"/>
        <v>434209</v>
      </c>
      <c r="E26" s="6">
        <v>539000.0</v>
      </c>
      <c r="F26" s="7">
        <f t="shared" si="8"/>
        <v>935578</v>
      </c>
      <c r="G26" s="7">
        <f t="shared" si="9"/>
        <v>19033944</v>
      </c>
    </row>
    <row r="27">
      <c r="A27" s="5">
        <v>26.0</v>
      </c>
      <c r="B27" s="6">
        <v>164149.0</v>
      </c>
      <c r="C27" s="6">
        <v>21950.0</v>
      </c>
      <c r="D27" s="7">
        <f t="shared" si="7"/>
        <v>186099</v>
      </c>
      <c r="E27" s="6">
        <v>567000.0</v>
      </c>
      <c r="F27" s="7">
        <f t="shared" si="8"/>
        <v>731149</v>
      </c>
      <c r="G27" s="7">
        <f t="shared" si="9"/>
        <v>19765093</v>
      </c>
    </row>
    <row r="28">
      <c r="A28" s="5">
        <v>27.0</v>
      </c>
      <c r="B28" s="6">
        <v>267237.0</v>
      </c>
      <c r="C28" s="6">
        <v>27347.0</v>
      </c>
      <c r="D28" s="7">
        <f t="shared" si="7"/>
        <v>294584</v>
      </c>
      <c r="E28" s="6">
        <v>654000.0</v>
      </c>
      <c r="F28" s="7">
        <f t="shared" si="8"/>
        <v>921237</v>
      </c>
      <c r="G28" s="7">
        <f t="shared" si="9"/>
        <v>20686330</v>
      </c>
    </row>
    <row r="29">
      <c r="A29" s="5">
        <v>28.0</v>
      </c>
      <c r="B29" s="6">
        <v>246951.0</v>
      </c>
      <c r="C29" s="6">
        <v>21124.0</v>
      </c>
      <c r="D29" s="7">
        <f t="shared" si="7"/>
        <v>268075</v>
      </c>
      <c r="E29" s="6">
        <v>681000.0</v>
      </c>
      <c r="F29" s="7">
        <f t="shared" si="8"/>
        <v>927951</v>
      </c>
      <c r="G29" s="7">
        <f t="shared" si="9"/>
        <v>21614281</v>
      </c>
    </row>
    <row r="30">
      <c r="A30" s="3">
        <v>29.0</v>
      </c>
      <c r="B30" s="8"/>
      <c r="C30" s="8"/>
      <c r="D30" s="4"/>
      <c r="E30" s="8"/>
      <c r="F30" s="4"/>
      <c r="G30" s="4"/>
    </row>
    <row r="31">
      <c r="A31" s="5">
        <v>30.0</v>
      </c>
      <c r="B31" s="6">
        <v>800819.0</v>
      </c>
      <c r="C31" s="6">
        <v>126542.0</v>
      </c>
      <c r="D31" s="7">
        <f>SUM(B31:C31)</f>
        <v>927361</v>
      </c>
      <c r="E31" s="6">
        <v>500000.0</v>
      </c>
      <c r="F31" s="7">
        <f>E31+B31</f>
        <v>1300819</v>
      </c>
      <c r="G31" s="7">
        <f>F31+G29</f>
        <v>22915100</v>
      </c>
    </row>
    <row r="32">
      <c r="A32" s="5" t="s">
        <v>6</v>
      </c>
      <c r="B32" s="7">
        <f t="shared" ref="B32:F32" si="10">SUM(B2:B31)</f>
        <v>7870100</v>
      </c>
      <c r="C32" s="7">
        <f t="shared" si="10"/>
        <v>799661</v>
      </c>
      <c r="D32" s="7">
        <f t="shared" si="10"/>
        <v>8669761</v>
      </c>
      <c r="E32" s="7">
        <f t="shared" si="10"/>
        <v>15045000</v>
      </c>
      <c r="F32" s="6">
        <f t="shared" si="10"/>
        <v>22915100</v>
      </c>
      <c r="G32" s="7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5">
        <v>1.0</v>
      </c>
      <c r="B2" s="6">
        <v>105903.0</v>
      </c>
      <c r="C2" s="6">
        <v>5295.0</v>
      </c>
      <c r="D2" s="7">
        <f t="shared" ref="D2:D6" si="1">SUM(B2:C2)</f>
        <v>111198</v>
      </c>
      <c r="E2" s="6">
        <v>642000.0</v>
      </c>
      <c r="F2" s="7">
        <f t="shared" ref="F2:F6" si="2">E2+B2</f>
        <v>747903</v>
      </c>
      <c r="G2" s="7">
        <f>F2</f>
        <v>747903</v>
      </c>
      <c r="H2" s="17">
        <f>E2</f>
        <v>642000</v>
      </c>
    </row>
    <row r="3">
      <c r="A3" s="5">
        <v>2.0</v>
      </c>
      <c r="B3" s="6">
        <v>253452.0</v>
      </c>
      <c r="C3" s="6">
        <v>38346.0</v>
      </c>
      <c r="D3" s="7">
        <f t="shared" si="1"/>
        <v>291798</v>
      </c>
      <c r="E3" s="6">
        <v>640000.0</v>
      </c>
      <c r="F3" s="7">
        <f t="shared" si="2"/>
        <v>893452</v>
      </c>
      <c r="G3" s="7">
        <f t="shared" ref="G3:G5" si="3">F3+G2</f>
        <v>1641355</v>
      </c>
      <c r="H3" s="18">
        <v>653000.0</v>
      </c>
    </row>
    <row r="4">
      <c r="A4" s="5">
        <v>3.0</v>
      </c>
      <c r="B4" s="6">
        <v>280636.0</v>
      </c>
      <c r="C4" s="6">
        <v>40574.0</v>
      </c>
      <c r="D4" s="7">
        <f t="shared" si="1"/>
        <v>321210</v>
      </c>
      <c r="E4" s="6">
        <v>549000.0</v>
      </c>
      <c r="F4" s="7">
        <f t="shared" si="2"/>
        <v>829636</v>
      </c>
      <c r="G4" s="7">
        <f t="shared" si="3"/>
        <v>2470991</v>
      </c>
      <c r="H4" s="10">
        <v>549000.0</v>
      </c>
    </row>
    <row r="5">
      <c r="A5" s="5">
        <v>4.0</v>
      </c>
      <c r="B5" s="6">
        <v>328891.0</v>
      </c>
      <c r="C5" s="6">
        <v>49240.0</v>
      </c>
      <c r="D5" s="7">
        <f t="shared" si="1"/>
        <v>378131</v>
      </c>
      <c r="E5" s="6">
        <v>495000.0</v>
      </c>
      <c r="F5" s="7">
        <f t="shared" si="2"/>
        <v>823891</v>
      </c>
      <c r="G5" s="7">
        <f t="shared" si="3"/>
        <v>3294882</v>
      </c>
      <c r="H5" s="17">
        <f>E5</f>
        <v>495000</v>
      </c>
    </row>
    <row r="6">
      <c r="A6" s="5">
        <v>5.0</v>
      </c>
      <c r="B6" s="6"/>
      <c r="C6" s="6"/>
      <c r="D6" s="7">
        <f t="shared" si="1"/>
        <v>0</v>
      </c>
      <c r="E6" s="6">
        <v>968000.0</v>
      </c>
      <c r="F6" s="7">
        <f t="shared" si="2"/>
        <v>968000</v>
      </c>
      <c r="G6" s="7">
        <f>G5+F6</f>
        <v>4262882</v>
      </c>
      <c r="H6" s="10">
        <v>968000.0</v>
      </c>
    </row>
    <row r="7">
      <c r="A7" s="3">
        <v>6.0</v>
      </c>
      <c r="B7" s="8"/>
      <c r="C7" s="8"/>
      <c r="D7" s="4"/>
      <c r="E7" s="8"/>
      <c r="F7" s="4"/>
      <c r="G7" s="4"/>
    </row>
    <row r="8">
      <c r="A8" s="5">
        <v>7.0</v>
      </c>
      <c r="B8" s="6">
        <v>144711.0</v>
      </c>
      <c r="C8" s="6">
        <v>39948.0</v>
      </c>
      <c r="D8" s="7">
        <f t="shared" ref="D8:D32" si="4">SUM(B8:C8)</f>
        <v>184659</v>
      </c>
      <c r="E8" s="6">
        <v>375000.0</v>
      </c>
      <c r="F8" s="7">
        <f t="shared" ref="F8:F32" si="5">E8+B8</f>
        <v>519711</v>
      </c>
      <c r="G8" s="7">
        <f>F8+G6</f>
        <v>4782593</v>
      </c>
      <c r="H8" s="18">
        <v>425000.0</v>
      </c>
    </row>
    <row r="9">
      <c r="A9" s="5">
        <v>8.0</v>
      </c>
      <c r="B9" s="6">
        <v>57231.0</v>
      </c>
      <c r="C9" s="6">
        <v>5009.0</v>
      </c>
      <c r="D9" s="7">
        <f t="shared" si="4"/>
        <v>62240</v>
      </c>
      <c r="E9" s="6">
        <v>258000.0</v>
      </c>
      <c r="F9" s="7">
        <f t="shared" si="5"/>
        <v>315231</v>
      </c>
      <c r="G9" s="7">
        <f t="shared" ref="G9:G13" si="6">F9+G8</f>
        <v>5097824</v>
      </c>
      <c r="H9" s="10">
        <v>258000.0</v>
      </c>
    </row>
    <row r="10">
      <c r="A10" s="5">
        <v>9.0</v>
      </c>
      <c r="B10" s="6">
        <v>507902.0</v>
      </c>
      <c r="C10" s="6">
        <v>38722.0</v>
      </c>
      <c r="D10" s="7">
        <f t="shared" si="4"/>
        <v>546624</v>
      </c>
      <c r="E10" s="6">
        <v>540000.0</v>
      </c>
      <c r="F10" s="7">
        <f t="shared" si="5"/>
        <v>1047902</v>
      </c>
      <c r="G10" s="7">
        <f t="shared" si="6"/>
        <v>6145726</v>
      </c>
      <c r="H10" s="17">
        <f t="shared" ref="H10:H12" si="7">E10</f>
        <v>540000</v>
      </c>
    </row>
    <row r="11">
      <c r="A11" s="5">
        <v>10.0</v>
      </c>
      <c r="B11" s="6">
        <v>542983.0</v>
      </c>
      <c r="C11" s="6">
        <v>75087.0</v>
      </c>
      <c r="D11" s="7">
        <f t="shared" si="4"/>
        <v>618070</v>
      </c>
      <c r="E11" s="6">
        <v>548000.0</v>
      </c>
      <c r="F11" s="7">
        <f t="shared" si="5"/>
        <v>1090983</v>
      </c>
      <c r="G11" s="7">
        <f t="shared" si="6"/>
        <v>7236709</v>
      </c>
      <c r="H11" s="17">
        <f t="shared" si="7"/>
        <v>548000</v>
      </c>
    </row>
    <row r="12">
      <c r="A12" s="5">
        <v>11.0</v>
      </c>
      <c r="B12" s="6">
        <v>26917.0</v>
      </c>
      <c r="C12" s="6">
        <v>2583.0</v>
      </c>
      <c r="D12" s="7">
        <f t="shared" si="4"/>
        <v>29500</v>
      </c>
      <c r="E12" s="6">
        <v>718000.0</v>
      </c>
      <c r="F12" s="7">
        <f t="shared" si="5"/>
        <v>744917</v>
      </c>
      <c r="G12" s="7">
        <f t="shared" si="6"/>
        <v>7981626</v>
      </c>
      <c r="H12" s="17">
        <f t="shared" si="7"/>
        <v>718000</v>
      </c>
    </row>
    <row r="13">
      <c r="A13" s="5">
        <v>12.0</v>
      </c>
      <c r="B13" s="6">
        <v>64924.0</v>
      </c>
      <c r="C13" s="6">
        <v>7753.0</v>
      </c>
      <c r="D13" s="7">
        <f t="shared" si="4"/>
        <v>72677</v>
      </c>
      <c r="E13" s="6">
        <v>904000.0</v>
      </c>
      <c r="F13" s="7">
        <f t="shared" si="5"/>
        <v>968924</v>
      </c>
      <c r="G13" s="7">
        <f t="shared" si="6"/>
        <v>8950550</v>
      </c>
      <c r="H13" s="10">
        <v>904000.0</v>
      </c>
    </row>
    <row r="14">
      <c r="A14" s="3">
        <v>13.0</v>
      </c>
      <c r="B14" s="8"/>
      <c r="C14" s="8"/>
      <c r="D14" s="4">
        <f t="shared" si="4"/>
        <v>0</v>
      </c>
      <c r="E14" s="8"/>
      <c r="F14" s="4">
        <f t="shared" si="5"/>
        <v>0</v>
      </c>
      <c r="G14" s="4"/>
      <c r="H14" s="17"/>
    </row>
    <row r="15">
      <c r="A15" s="3">
        <v>14.0</v>
      </c>
      <c r="B15" s="8"/>
      <c r="C15" s="8"/>
      <c r="D15" s="4">
        <f t="shared" si="4"/>
        <v>0</v>
      </c>
      <c r="E15" s="8"/>
      <c r="F15" s="4">
        <f t="shared" si="5"/>
        <v>0</v>
      </c>
      <c r="G15" s="4"/>
      <c r="J15" s="11" t="s">
        <v>7</v>
      </c>
      <c r="K15" s="12"/>
    </row>
    <row r="16">
      <c r="A16" s="5">
        <v>15.0</v>
      </c>
      <c r="B16" s="6">
        <v>229997.0</v>
      </c>
      <c r="C16" s="6">
        <v>24325.0</v>
      </c>
      <c r="D16" s="7">
        <f t="shared" si="4"/>
        <v>254322</v>
      </c>
      <c r="E16" s="6">
        <v>733000.0</v>
      </c>
      <c r="F16" s="7">
        <f t="shared" si="5"/>
        <v>962997</v>
      </c>
      <c r="G16" s="7">
        <f>F16+G13</f>
        <v>9913547</v>
      </c>
      <c r="H16" s="18">
        <v>583000.0</v>
      </c>
      <c r="I16" s="11" t="s">
        <v>9</v>
      </c>
    </row>
    <row r="17">
      <c r="A17" s="5">
        <v>16.0</v>
      </c>
      <c r="B17" s="6">
        <v>488093.0</v>
      </c>
      <c r="C17" s="6">
        <v>65286.0</v>
      </c>
      <c r="D17" s="7">
        <f t="shared" si="4"/>
        <v>553379</v>
      </c>
      <c r="E17" s="6">
        <v>646000.0</v>
      </c>
      <c r="F17" s="7">
        <f t="shared" si="5"/>
        <v>1134093</v>
      </c>
      <c r="G17" s="7">
        <f t="shared" ref="G17:G18" si="8">F17+G16</f>
        <v>11047640</v>
      </c>
      <c r="H17" s="17">
        <f>E17</f>
        <v>646000</v>
      </c>
    </row>
    <row r="18">
      <c r="A18" s="5">
        <v>17.0</v>
      </c>
      <c r="B18" s="6">
        <v>253990.0</v>
      </c>
      <c r="C18" s="6">
        <v>12701.0</v>
      </c>
      <c r="D18" s="7">
        <f t="shared" si="4"/>
        <v>266691</v>
      </c>
      <c r="E18" s="6">
        <v>706000.0</v>
      </c>
      <c r="F18" s="7">
        <f t="shared" si="5"/>
        <v>959990</v>
      </c>
      <c r="G18" s="7">
        <f t="shared" si="8"/>
        <v>12007630</v>
      </c>
      <c r="H18" s="18">
        <v>537000.0</v>
      </c>
    </row>
    <row r="19">
      <c r="A19" s="5">
        <v>18.0</v>
      </c>
      <c r="B19" s="6">
        <v>354988.0</v>
      </c>
      <c r="C19" s="6">
        <v>20445.0</v>
      </c>
      <c r="D19" s="7">
        <f t="shared" si="4"/>
        <v>375433</v>
      </c>
      <c r="E19" s="6">
        <v>988000.0</v>
      </c>
      <c r="F19" s="7">
        <f t="shared" si="5"/>
        <v>1342988</v>
      </c>
      <c r="G19" s="7">
        <f t="shared" ref="G19:G20" si="9">G18+F19</f>
        <v>13350618</v>
      </c>
      <c r="H19" s="18">
        <v>706000.0</v>
      </c>
    </row>
    <row r="20">
      <c r="A20" s="5">
        <v>19.0</v>
      </c>
      <c r="B20" s="6">
        <v>354486.0</v>
      </c>
      <c r="C20" s="6">
        <v>20445.0</v>
      </c>
      <c r="D20" s="7">
        <f t="shared" si="4"/>
        <v>374931</v>
      </c>
      <c r="E20" s="6">
        <v>986000.0</v>
      </c>
      <c r="F20" s="7">
        <f t="shared" si="5"/>
        <v>1340486</v>
      </c>
      <c r="G20" s="7">
        <f t="shared" si="9"/>
        <v>14691104</v>
      </c>
      <c r="H20" s="17">
        <f>E20</f>
        <v>986000</v>
      </c>
    </row>
    <row r="21">
      <c r="A21" s="3">
        <v>20.0</v>
      </c>
      <c r="B21" s="8"/>
      <c r="C21" s="8"/>
      <c r="D21" s="4">
        <f t="shared" si="4"/>
        <v>0</v>
      </c>
      <c r="E21" s="8"/>
      <c r="F21" s="4">
        <f t="shared" si="5"/>
        <v>0</v>
      </c>
      <c r="G21" s="4"/>
      <c r="K21" s="12"/>
    </row>
    <row r="22">
      <c r="A22" s="5">
        <v>21.0</v>
      </c>
      <c r="B22" s="6">
        <v>147427.0</v>
      </c>
      <c r="C22" s="6">
        <v>9373.0</v>
      </c>
      <c r="D22" s="7">
        <f t="shared" si="4"/>
        <v>156800</v>
      </c>
      <c r="E22" s="6">
        <v>362000.0</v>
      </c>
      <c r="F22" s="7">
        <f t="shared" si="5"/>
        <v>509427</v>
      </c>
      <c r="G22" s="6">
        <f>F22+G20</f>
        <v>15200531</v>
      </c>
      <c r="H22" s="17">
        <v>352000.0</v>
      </c>
    </row>
    <row r="23">
      <c r="A23" s="5">
        <v>22.0</v>
      </c>
      <c r="B23" s="6">
        <v>78567.0</v>
      </c>
      <c r="C23" s="6">
        <v>13730.0</v>
      </c>
      <c r="D23" s="7">
        <f t="shared" si="4"/>
        <v>92297</v>
      </c>
      <c r="E23" s="6">
        <v>736000.0</v>
      </c>
      <c r="F23" s="7">
        <f t="shared" si="5"/>
        <v>814567</v>
      </c>
      <c r="G23" s="7">
        <f t="shared" ref="G23:G27" si="10">F23+G22</f>
        <v>16015098</v>
      </c>
      <c r="H23" s="17">
        <f t="shared" ref="H23:H26" si="11">E23</f>
        <v>736000</v>
      </c>
    </row>
    <row r="24">
      <c r="A24" s="5">
        <v>23.0</v>
      </c>
      <c r="B24" s="6">
        <v>182730.0</v>
      </c>
      <c r="C24" s="6">
        <v>9843.0</v>
      </c>
      <c r="D24" s="7">
        <f t="shared" si="4"/>
        <v>192573</v>
      </c>
      <c r="E24" s="6">
        <v>644000.0</v>
      </c>
      <c r="F24" s="7">
        <f t="shared" si="5"/>
        <v>826730</v>
      </c>
      <c r="G24" s="7">
        <f t="shared" si="10"/>
        <v>16841828</v>
      </c>
      <c r="H24" s="17">
        <f t="shared" si="11"/>
        <v>644000</v>
      </c>
    </row>
    <row r="25">
      <c r="A25" s="5">
        <v>24.0</v>
      </c>
      <c r="B25" s="6">
        <v>114405.0</v>
      </c>
      <c r="C25" s="6">
        <v>23737.0</v>
      </c>
      <c r="D25" s="7">
        <f t="shared" si="4"/>
        <v>138142</v>
      </c>
      <c r="E25" s="6">
        <v>546000.0</v>
      </c>
      <c r="F25" s="7">
        <f t="shared" si="5"/>
        <v>660405</v>
      </c>
      <c r="G25" s="7">
        <f t="shared" si="10"/>
        <v>17502233</v>
      </c>
      <c r="H25" s="17">
        <f t="shared" si="11"/>
        <v>546000</v>
      </c>
    </row>
    <row r="26">
      <c r="A26" s="5">
        <v>25.0</v>
      </c>
      <c r="B26" s="6">
        <v>23333.0</v>
      </c>
      <c r="C26" s="6">
        <v>1167.0</v>
      </c>
      <c r="D26" s="7">
        <f t="shared" si="4"/>
        <v>24500</v>
      </c>
      <c r="E26" s="6">
        <v>658000.0</v>
      </c>
      <c r="F26" s="7">
        <f t="shared" si="5"/>
        <v>681333</v>
      </c>
      <c r="G26" s="7">
        <f t="shared" si="10"/>
        <v>18183566</v>
      </c>
      <c r="H26" s="17">
        <f t="shared" si="11"/>
        <v>658000</v>
      </c>
    </row>
    <row r="27">
      <c r="A27" s="5">
        <v>26.0</v>
      </c>
      <c r="B27" s="6">
        <v>319465.0</v>
      </c>
      <c r="C27" s="6">
        <v>52985.0</v>
      </c>
      <c r="D27" s="7">
        <f t="shared" si="4"/>
        <v>372450</v>
      </c>
      <c r="E27" s="6">
        <v>845000.0</v>
      </c>
      <c r="F27" s="7">
        <f t="shared" si="5"/>
        <v>1164465</v>
      </c>
      <c r="G27" s="7">
        <f t="shared" si="10"/>
        <v>19348031</v>
      </c>
      <c r="H27" s="18">
        <v>755000.0</v>
      </c>
    </row>
    <row r="28">
      <c r="A28" s="3">
        <v>27.0</v>
      </c>
      <c r="B28" s="8"/>
      <c r="C28" s="8"/>
      <c r="D28" s="4">
        <f t="shared" si="4"/>
        <v>0</v>
      </c>
      <c r="E28" s="8"/>
      <c r="F28" s="4">
        <f t="shared" si="5"/>
        <v>0</v>
      </c>
      <c r="G28" s="4"/>
    </row>
    <row r="29">
      <c r="A29" s="5">
        <v>28.0</v>
      </c>
      <c r="B29" s="6">
        <v>214965.0</v>
      </c>
      <c r="C29" s="6">
        <v>23845.0</v>
      </c>
      <c r="D29" s="7">
        <f t="shared" si="4"/>
        <v>238810</v>
      </c>
      <c r="E29" s="6">
        <v>545000.0</v>
      </c>
      <c r="F29" s="7">
        <f t="shared" si="5"/>
        <v>759965</v>
      </c>
      <c r="G29" s="7">
        <f>F297+G27</f>
        <v>19348031</v>
      </c>
      <c r="H29" s="17">
        <f t="shared" ref="H29:H30" si="12">E29</f>
        <v>545000</v>
      </c>
    </row>
    <row r="30">
      <c r="A30" s="5">
        <v>29.0</v>
      </c>
      <c r="B30" s="6">
        <v>196996.0</v>
      </c>
      <c r="C30" s="6">
        <v>19603.0</v>
      </c>
      <c r="D30" s="7">
        <f t="shared" si="4"/>
        <v>216599</v>
      </c>
      <c r="E30" s="6">
        <v>637000.0</v>
      </c>
      <c r="F30" s="6">
        <f t="shared" si="5"/>
        <v>833996</v>
      </c>
      <c r="G30" s="7">
        <f t="shared" ref="G30:G32" si="13">F30+G29</f>
        <v>20182027</v>
      </c>
      <c r="H30" s="17">
        <f t="shared" si="12"/>
        <v>637000</v>
      </c>
    </row>
    <row r="31">
      <c r="A31" s="5">
        <v>30.0</v>
      </c>
      <c r="B31" s="6">
        <v>131641.0</v>
      </c>
      <c r="C31" s="6">
        <v>24347.0</v>
      </c>
      <c r="D31" s="7">
        <f t="shared" si="4"/>
        <v>155988</v>
      </c>
      <c r="E31" s="6">
        <v>851000.0</v>
      </c>
      <c r="F31" s="7">
        <f t="shared" si="5"/>
        <v>982641</v>
      </c>
      <c r="G31" s="7">
        <f t="shared" si="13"/>
        <v>21164668</v>
      </c>
      <c r="H31" s="19">
        <v>831000.0</v>
      </c>
    </row>
    <row r="32">
      <c r="A32" s="5">
        <v>31.0</v>
      </c>
      <c r="B32" s="6">
        <v>203195.0</v>
      </c>
      <c r="C32" s="6">
        <v>27226.0</v>
      </c>
      <c r="D32" s="7">
        <f t="shared" si="4"/>
        <v>230421</v>
      </c>
      <c r="E32" s="6">
        <v>563000.0</v>
      </c>
      <c r="F32" s="7">
        <f t="shared" si="5"/>
        <v>766195</v>
      </c>
      <c r="G32" s="7">
        <f t="shared" si="13"/>
        <v>21930863</v>
      </c>
      <c r="H32" s="10">
        <v>563000.0</v>
      </c>
    </row>
    <row r="33">
      <c r="A33" s="5" t="s">
        <v>6</v>
      </c>
      <c r="B33" s="7">
        <f t="shared" ref="B33:C33" si="14">SUM(B2:B32)</f>
        <v>5607828</v>
      </c>
      <c r="C33" s="7">
        <f t="shared" si="14"/>
        <v>651615</v>
      </c>
      <c r="D33" s="7">
        <f>SUM(D2:D31)</f>
        <v>6029022</v>
      </c>
      <c r="E33" s="7">
        <f>SUM(E2:E32)</f>
        <v>17083000</v>
      </c>
      <c r="F33" s="6">
        <f>SUM(F2:F31)</f>
        <v>21924633</v>
      </c>
      <c r="G33" s="7"/>
    </row>
    <row r="34">
      <c r="A34" s="9"/>
    </row>
    <row r="35">
      <c r="A35" s="9"/>
      <c r="D35" s="11" t="s">
        <v>10</v>
      </c>
      <c r="E35" s="6">
        <v>1.6443E7</v>
      </c>
      <c r="H35" s="17">
        <f>SUM(H2:H32)</f>
        <v>16425000</v>
      </c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  <col customWidth="1" min="9" max="9" width="16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I1" s="2" t="s">
        <v>11</v>
      </c>
    </row>
    <row r="2">
      <c r="A2" s="5">
        <v>1.0</v>
      </c>
      <c r="B2" s="6">
        <v>472745.0</v>
      </c>
      <c r="C2" s="6">
        <v>32790.0</v>
      </c>
      <c r="D2" s="7">
        <f t="shared" ref="D2:D3" si="1">C2+B2</f>
        <v>505535</v>
      </c>
      <c r="E2" s="6">
        <v>497000.0</v>
      </c>
      <c r="F2" s="7">
        <f t="shared" ref="F2:F3" si="2">E2+B2</f>
        <v>969745</v>
      </c>
      <c r="G2" s="7">
        <f>F2</f>
        <v>969745</v>
      </c>
      <c r="I2" s="7">
        <f t="shared" ref="I2:I3" si="3">E2</f>
        <v>497000</v>
      </c>
      <c r="J2" s="17">
        <f t="shared" ref="J2:J3" si="4">I2</f>
        <v>497000</v>
      </c>
    </row>
    <row r="3">
      <c r="A3" s="5">
        <v>2.0</v>
      </c>
      <c r="B3" s="6">
        <v>202333.0</v>
      </c>
      <c r="C3" s="6">
        <v>14734.0</v>
      </c>
      <c r="D3" s="7">
        <f t="shared" si="1"/>
        <v>217067</v>
      </c>
      <c r="E3" s="6">
        <v>719000.0</v>
      </c>
      <c r="F3" s="7">
        <f t="shared" si="2"/>
        <v>921333</v>
      </c>
      <c r="G3" s="7">
        <f>G2+F3</f>
        <v>1891078</v>
      </c>
      <c r="I3" s="7">
        <f t="shared" si="3"/>
        <v>719000</v>
      </c>
      <c r="J3" s="17">
        <f t="shared" si="4"/>
        <v>719000</v>
      </c>
      <c r="M3" s="12"/>
      <c r="N3" s="13"/>
    </row>
    <row r="4">
      <c r="A4" s="3">
        <v>3.0</v>
      </c>
      <c r="B4" s="8"/>
      <c r="C4" s="8"/>
      <c r="D4" s="4"/>
      <c r="E4" s="8"/>
      <c r="F4" s="4"/>
      <c r="G4" s="4"/>
      <c r="I4" s="20"/>
    </row>
    <row r="5">
      <c r="A5" s="3">
        <v>4.0</v>
      </c>
      <c r="B5" s="8"/>
      <c r="C5" s="8"/>
      <c r="D5" s="4"/>
      <c r="E5" s="8"/>
      <c r="F5" s="4"/>
      <c r="G5" s="4"/>
      <c r="I5" s="20"/>
    </row>
    <row r="6">
      <c r="A6" s="5">
        <v>5.0</v>
      </c>
      <c r="B6" s="6">
        <v>743954.0</v>
      </c>
      <c r="C6" s="6">
        <v>34678.0</v>
      </c>
      <c r="D6" s="7">
        <f t="shared" ref="D6:D10" si="5">C6+B6</f>
        <v>778632</v>
      </c>
      <c r="E6" s="6">
        <v>707000.0</v>
      </c>
      <c r="F6" s="7">
        <f t="shared" ref="F6:F9" si="6">E6+B6</f>
        <v>1450954</v>
      </c>
      <c r="G6" s="7">
        <f>F6+G3</f>
        <v>3342032</v>
      </c>
      <c r="I6" s="7">
        <f>E6</f>
        <v>707000</v>
      </c>
      <c r="J6" s="17">
        <f>I6</f>
        <v>707000</v>
      </c>
    </row>
    <row r="7">
      <c r="A7" s="5">
        <v>6.0</v>
      </c>
      <c r="B7" s="6">
        <v>209919.0</v>
      </c>
      <c r="C7" s="6">
        <v>10496.0</v>
      </c>
      <c r="D7" s="7">
        <f t="shared" si="5"/>
        <v>220415</v>
      </c>
      <c r="E7" s="6">
        <v>695000.0</v>
      </c>
      <c r="F7" s="7">
        <f t="shared" si="6"/>
        <v>904919</v>
      </c>
      <c r="G7" s="7">
        <f t="shared" ref="G7:G10" si="7">F7+G6</f>
        <v>4246951</v>
      </c>
      <c r="I7" s="7">
        <f>D7</f>
        <v>220415</v>
      </c>
      <c r="J7" s="19">
        <v>695000.0</v>
      </c>
    </row>
    <row r="8">
      <c r="A8" s="5">
        <v>7.0</v>
      </c>
      <c r="B8" s="6">
        <v>368997.0</v>
      </c>
      <c r="C8" s="6">
        <v>42253.0</v>
      </c>
      <c r="D8" s="7">
        <f t="shared" si="5"/>
        <v>411250</v>
      </c>
      <c r="E8" s="6">
        <v>373000.0</v>
      </c>
      <c r="F8" s="7">
        <f t="shared" si="6"/>
        <v>741997</v>
      </c>
      <c r="G8" s="7">
        <f t="shared" si="7"/>
        <v>4988948</v>
      </c>
      <c r="I8" s="6">
        <v>620000.0</v>
      </c>
      <c r="J8" s="19">
        <v>552000.0</v>
      </c>
    </row>
    <row r="9">
      <c r="A9" s="5">
        <v>8.0</v>
      </c>
      <c r="B9" s="6">
        <v>291359.0</v>
      </c>
      <c r="C9" s="6">
        <v>41040.0</v>
      </c>
      <c r="D9" s="7">
        <f t="shared" si="5"/>
        <v>332399</v>
      </c>
      <c r="E9" s="6">
        <v>778000.0</v>
      </c>
      <c r="F9" s="7">
        <f t="shared" si="6"/>
        <v>1069359</v>
      </c>
      <c r="G9" s="7">
        <f t="shared" si="7"/>
        <v>6058307</v>
      </c>
      <c r="I9" s="6">
        <v>978000.0</v>
      </c>
      <c r="J9" s="17">
        <f>I9</f>
        <v>978000</v>
      </c>
    </row>
    <row r="10">
      <c r="A10" s="5">
        <v>9.0</v>
      </c>
      <c r="B10" s="6">
        <v>809719.0</v>
      </c>
      <c r="C10" s="6">
        <v>131988.0</v>
      </c>
      <c r="D10" s="7">
        <f t="shared" si="5"/>
        <v>941707</v>
      </c>
      <c r="E10" s="6">
        <v>949000.0</v>
      </c>
      <c r="F10" s="6">
        <v>949000.0</v>
      </c>
      <c r="G10" s="7">
        <f t="shared" si="7"/>
        <v>7007307</v>
      </c>
      <c r="I10" s="6">
        <v>1079000.0</v>
      </c>
      <c r="J10" s="10">
        <v>1079000.0</v>
      </c>
    </row>
    <row r="11">
      <c r="A11" s="3">
        <v>10.0</v>
      </c>
      <c r="B11" s="8"/>
      <c r="C11" s="8"/>
      <c r="D11" s="4"/>
      <c r="E11" s="8"/>
      <c r="F11" s="4"/>
      <c r="G11" s="4"/>
      <c r="I11" s="20"/>
    </row>
    <row r="12">
      <c r="A12" s="3">
        <v>11.0</v>
      </c>
      <c r="B12" s="8"/>
      <c r="C12" s="8"/>
      <c r="D12" s="4"/>
      <c r="E12" s="8"/>
      <c r="F12" s="4"/>
      <c r="G12" s="4"/>
      <c r="I12" s="20"/>
    </row>
    <row r="13">
      <c r="A13" s="5">
        <v>12.0</v>
      </c>
      <c r="B13" s="6">
        <v>584910.0</v>
      </c>
      <c r="C13" s="6">
        <v>5844.0</v>
      </c>
      <c r="D13" s="7">
        <f t="shared" ref="D13:D17" si="8">C13+B13</f>
        <v>590754</v>
      </c>
      <c r="E13" s="6">
        <v>337000.0</v>
      </c>
      <c r="F13" s="7">
        <f t="shared" ref="F13:F17" si="9">E13+B13</f>
        <v>921910</v>
      </c>
      <c r="G13" s="7">
        <f>F13+G10</f>
        <v>7929217</v>
      </c>
      <c r="I13" s="6">
        <v>507000.0</v>
      </c>
      <c r="J13" s="19">
        <v>537000.0</v>
      </c>
    </row>
    <row r="14">
      <c r="A14" s="5">
        <v>13.0</v>
      </c>
      <c r="B14" s="6">
        <v>333575.0</v>
      </c>
      <c r="C14" s="6">
        <v>45621.0</v>
      </c>
      <c r="D14" s="7">
        <f t="shared" si="8"/>
        <v>379196</v>
      </c>
      <c r="E14" s="6">
        <v>765000.0</v>
      </c>
      <c r="F14" s="7">
        <f t="shared" si="9"/>
        <v>1098575</v>
      </c>
      <c r="G14" s="7">
        <f t="shared" ref="G14:G17" si="10">F14+G13</f>
        <v>9027792</v>
      </c>
      <c r="I14" s="6">
        <v>1011000.0</v>
      </c>
      <c r="J14" s="17">
        <f t="shared" ref="J14:J16" si="11">I14</f>
        <v>1011000</v>
      </c>
    </row>
    <row r="15">
      <c r="A15" s="5">
        <v>14.0</v>
      </c>
      <c r="B15" s="6">
        <v>312645.0</v>
      </c>
      <c r="C15" s="6">
        <v>52977.0</v>
      </c>
      <c r="D15" s="7">
        <f t="shared" si="8"/>
        <v>365622</v>
      </c>
      <c r="E15" s="6">
        <v>511000.0</v>
      </c>
      <c r="F15" s="7">
        <f t="shared" si="9"/>
        <v>823645</v>
      </c>
      <c r="G15" s="7">
        <f t="shared" si="10"/>
        <v>9851437</v>
      </c>
      <c r="I15" s="6">
        <v>703000.0</v>
      </c>
      <c r="J15" s="10">
        <f t="shared" si="11"/>
        <v>703000</v>
      </c>
      <c r="K15" s="12"/>
    </row>
    <row r="16">
      <c r="A16" s="5">
        <v>15.0</v>
      </c>
      <c r="B16" s="6">
        <v>545650.0</v>
      </c>
      <c r="C16" s="6">
        <v>60821.0</v>
      </c>
      <c r="D16" s="7">
        <f t="shared" si="8"/>
        <v>606471</v>
      </c>
      <c r="E16" s="6">
        <v>774000.0</v>
      </c>
      <c r="F16" s="7">
        <f t="shared" si="9"/>
        <v>1319650</v>
      </c>
      <c r="G16" s="7">
        <f t="shared" si="10"/>
        <v>11171087</v>
      </c>
      <c r="I16" s="21">
        <v>984000.0</v>
      </c>
      <c r="J16" s="22">
        <f t="shared" si="11"/>
        <v>984000</v>
      </c>
    </row>
    <row r="17">
      <c r="A17" s="5">
        <v>16.0</v>
      </c>
      <c r="B17" s="6">
        <v>463953.0</v>
      </c>
      <c r="C17" s="6">
        <v>65129.0</v>
      </c>
      <c r="D17" s="7">
        <f t="shared" si="8"/>
        <v>529082</v>
      </c>
      <c r="E17" s="6">
        <v>1111000.0</v>
      </c>
      <c r="F17" s="7">
        <f t="shared" si="9"/>
        <v>1574953</v>
      </c>
      <c r="G17" s="7">
        <f t="shared" si="10"/>
        <v>12746040</v>
      </c>
      <c r="I17" s="21">
        <v>1271000.0</v>
      </c>
      <c r="J17" s="19">
        <v>1281000.0</v>
      </c>
    </row>
    <row r="18">
      <c r="A18" s="3">
        <v>17.0</v>
      </c>
      <c r="B18" s="8"/>
      <c r="C18" s="8"/>
      <c r="D18" s="4"/>
      <c r="E18" s="8"/>
      <c r="F18" s="4"/>
      <c r="G18" s="4"/>
      <c r="I18" s="20"/>
    </row>
    <row r="19">
      <c r="A19" s="5">
        <v>18.0</v>
      </c>
      <c r="B19" s="6">
        <v>365238.0</v>
      </c>
      <c r="C19" s="6">
        <v>26762.0</v>
      </c>
      <c r="D19" s="7">
        <f t="shared" ref="D19:D24" si="12">SUM(B19:C19)</f>
        <v>392000</v>
      </c>
      <c r="E19" s="6">
        <v>537000.0</v>
      </c>
      <c r="F19" s="7">
        <f t="shared" ref="F19:F24" si="13">E19+B19</f>
        <v>902238</v>
      </c>
      <c r="G19" s="7">
        <f>F19+G17</f>
        <v>13648278</v>
      </c>
      <c r="I19" s="21">
        <v>687000.0</v>
      </c>
      <c r="J19" s="22">
        <f t="shared" ref="J19:J22" si="14">I19</f>
        <v>687000</v>
      </c>
    </row>
    <row r="20">
      <c r="A20" s="5">
        <v>19.0</v>
      </c>
      <c r="B20" s="6">
        <v>360825.0</v>
      </c>
      <c r="C20" s="6">
        <v>36365.0</v>
      </c>
      <c r="D20" s="7">
        <f t="shared" si="12"/>
        <v>397190</v>
      </c>
      <c r="E20" s="6">
        <v>663000.0</v>
      </c>
      <c r="F20" s="7">
        <f t="shared" si="13"/>
        <v>1023825</v>
      </c>
      <c r="G20" s="7">
        <f t="shared" ref="G20:G24" si="15">F20+G19</f>
        <v>14672103</v>
      </c>
      <c r="I20" s="21">
        <v>663000.0</v>
      </c>
      <c r="J20" s="22">
        <f t="shared" si="14"/>
        <v>663000</v>
      </c>
    </row>
    <row r="21">
      <c r="A21" s="5">
        <v>20.0</v>
      </c>
      <c r="B21" s="6">
        <v>148494.0</v>
      </c>
      <c r="C21" s="6">
        <v>13307.0</v>
      </c>
      <c r="D21" s="7">
        <f t="shared" si="12"/>
        <v>161801</v>
      </c>
      <c r="E21" s="6">
        <v>206000.0</v>
      </c>
      <c r="F21" s="7">
        <f t="shared" si="13"/>
        <v>354494</v>
      </c>
      <c r="G21" s="7">
        <f t="shared" si="15"/>
        <v>15026597</v>
      </c>
      <c r="I21" s="21">
        <v>256000.0</v>
      </c>
      <c r="J21" s="22">
        <f t="shared" si="14"/>
        <v>256000</v>
      </c>
      <c r="K21" s="12"/>
    </row>
    <row r="22">
      <c r="A22" s="5">
        <v>21.0</v>
      </c>
      <c r="B22" s="6">
        <v>844706.0</v>
      </c>
      <c r="C22" s="6">
        <v>86180.0</v>
      </c>
      <c r="D22" s="7">
        <f t="shared" si="12"/>
        <v>930886</v>
      </c>
      <c r="E22" s="6">
        <v>243000.0</v>
      </c>
      <c r="F22" s="7">
        <f t="shared" si="13"/>
        <v>1087706</v>
      </c>
      <c r="G22" s="6">
        <f t="shared" si="15"/>
        <v>16114303</v>
      </c>
      <c r="I22" s="21">
        <v>543000.0</v>
      </c>
      <c r="J22" s="22">
        <f t="shared" si="14"/>
        <v>543000</v>
      </c>
    </row>
    <row r="23">
      <c r="A23" s="5">
        <v>22.0</v>
      </c>
      <c r="B23" s="6">
        <v>543590.0</v>
      </c>
      <c r="C23" s="6">
        <v>84124.0</v>
      </c>
      <c r="D23" s="7">
        <f t="shared" si="12"/>
        <v>627714</v>
      </c>
      <c r="E23" s="6">
        <v>246000.0</v>
      </c>
      <c r="F23" s="7">
        <f t="shared" si="13"/>
        <v>789590</v>
      </c>
      <c r="G23" s="7">
        <f t="shared" si="15"/>
        <v>16903893</v>
      </c>
      <c r="I23" s="21">
        <v>518000.0</v>
      </c>
      <c r="J23" s="10">
        <v>518000.0</v>
      </c>
    </row>
    <row r="24">
      <c r="A24" s="5">
        <v>23.0</v>
      </c>
      <c r="B24" s="6">
        <v>432216.0</v>
      </c>
      <c r="C24" s="6">
        <v>25256.0</v>
      </c>
      <c r="D24" s="7">
        <f t="shared" si="12"/>
        <v>457472</v>
      </c>
      <c r="E24" s="6">
        <v>882000.0</v>
      </c>
      <c r="F24" s="7">
        <f t="shared" si="13"/>
        <v>1314216</v>
      </c>
      <c r="G24" s="7">
        <f t="shared" si="15"/>
        <v>18218109</v>
      </c>
      <c r="I24" s="21">
        <v>882000.0</v>
      </c>
      <c r="J24" s="10">
        <v>882000.0</v>
      </c>
    </row>
    <row r="25">
      <c r="A25" s="3">
        <v>24.0</v>
      </c>
      <c r="B25" s="8"/>
      <c r="C25" s="8"/>
      <c r="D25" s="4"/>
      <c r="E25" s="8"/>
      <c r="F25" s="4"/>
      <c r="G25" s="4"/>
      <c r="I25" s="23"/>
    </row>
    <row r="26">
      <c r="A26" s="5">
        <v>25.0</v>
      </c>
      <c r="B26" s="6">
        <v>134102.0</v>
      </c>
      <c r="C26" s="6">
        <v>25013.0</v>
      </c>
      <c r="D26" s="7">
        <f t="shared" ref="D26:D31" si="16">C26+B26</f>
        <v>159115</v>
      </c>
      <c r="E26" s="6">
        <v>440000.0</v>
      </c>
      <c r="F26" s="7">
        <f t="shared" ref="F26:F31" si="17">E26+B26</f>
        <v>574102</v>
      </c>
      <c r="G26" s="7">
        <f>F26+G24</f>
        <v>18792211</v>
      </c>
      <c r="I26" s="21">
        <v>440000.0</v>
      </c>
      <c r="J26" s="22">
        <f>I26</f>
        <v>440000</v>
      </c>
    </row>
    <row r="27">
      <c r="A27" s="5">
        <v>26.0</v>
      </c>
      <c r="B27" s="6">
        <v>244516.0</v>
      </c>
      <c r="C27" s="6">
        <v>26932.0</v>
      </c>
      <c r="D27" s="7">
        <f t="shared" si="16"/>
        <v>271448</v>
      </c>
      <c r="E27" s="6">
        <v>720000.0</v>
      </c>
      <c r="F27" s="7">
        <f t="shared" si="17"/>
        <v>964516</v>
      </c>
      <c r="G27" s="7">
        <f t="shared" ref="G27:G30" si="18">F27+G26</f>
        <v>19756727</v>
      </c>
      <c r="I27" s="21">
        <v>845000.0</v>
      </c>
      <c r="J27" s="19">
        <v>980000.0</v>
      </c>
    </row>
    <row r="28">
      <c r="A28" s="5">
        <v>27.0</v>
      </c>
      <c r="B28" s="6">
        <v>233954.0</v>
      </c>
      <c r="C28" s="6">
        <v>59623.0</v>
      </c>
      <c r="D28" s="7">
        <f t="shared" si="16"/>
        <v>293577</v>
      </c>
      <c r="E28" s="6">
        <v>397000.0</v>
      </c>
      <c r="F28" s="7">
        <f t="shared" si="17"/>
        <v>630954</v>
      </c>
      <c r="G28" s="7">
        <f t="shared" si="18"/>
        <v>20387681</v>
      </c>
      <c r="I28" s="21">
        <v>537000.0</v>
      </c>
      <c r="J28" s="22">
        <f t="shared" ref="J28:J31" si="19">I28</f>
        <v>537000</v>
      </c>
      <c r="K28" s="11" t="s">
        <v>7</v>
      </c>
    </row>
    <row r="29">
      <c r="A29" s="5">
        <v>28.0</v>
      </c>
      <c r="B29" s="6">
        <v>414005.0</v>
      </c>
      <c r="C29" s="6">
        <v>53484.0</v>
      </c>
      <c r="D29" s="7">
        <f t="shared" si="16"/>
        <v>467489</v>
      </c>
      <c r="E29" s="6">
        <v>786000.0</v>
      </c>
      <c r="F29" s="7">
        <f t="shared" si="17"/>
        <v>1200005</v>
      </c>
      <c r="G29" s="7">
        <f t="shared" si="18"/>
        <v>21587686</v>
      </c>
      <c r="I29" s="21">
        <v>1021000.0</v>
      </c>
      <c r="J29" s="22">
        <f t="shared" si="19"/>
        <v>1021000</v>
      </c>
    </row>
    <row r="30">
      <c r="A30" s="5">
        <v>29.0</v>
      </c>
      <c r="B30" s="6">
        <v>675373.0</v>
      </c>
      <c r="C30" s="6">
        <v>62737.0</v>
      </c>
      <c r="D30" s="7">
        <f t="shared" si="16"/>
        <v>738110</v>
      </c>
      <c r="E30" s="6">
        <v>805000.0</v>
      </c>
      <c r="F30" s="6">
        <f t="shared" si="17"/>
        <v>1480373</v>
      </c>
      <c r="G30" s="7">
        <f t="shared" si="18"/>
        <v>23068059</v>
      </c>
      <c r="I30" s="21">
        <v>1065000.0</v>
      </c>
      <c r="J30" s="22">
        <f t="shared" si="19"/>
        <v>1065000</v>
      </c>
      <c r="K30" s="24">
        <v>478110.0</v>
      </c>
    </row>
    <row r="31">
      <c r="A31" s="5">
        <v>30.0</v>
      </c>
      <c r="B31" s="6">
        <v>522191.0</v>
      </c>
      <c r="C31" s="6">
        <v>26000.0</v>
      </c>
      <c r="D31" s="7">
        <f t="shared" si="16"/>
        <v>548191</v>
      </c>
      <c r="E31" s="6">
        <v>1118000.0</v>
      </c>
      <c r="F31" s="7">
        <f t="shared" si="17"/>
        <v>1640191</v>
      </c>
      <c r="G31" s="7">
        <f>G30+F31</f>
        <v>24708250</v>
      </c>
      <c r="I31" s="21">
        <v>1118000.0</v>
      </c>
      <c r="J31" s="22">
        <f t="shared" si="19"/>
        <v>1118000</v>
      </c>
    </row>
    <row r="32">
      <c r="A32" s="5" t="s">
        <v>6</v>
      </c>
      <c r="B32" s="7">
        <f t="shared" ref="B32:F32" si="20">SUM(B2:B31)</f>
        <v>10258969</v>
      </c>
      <c r="C32" s="7">
        <f t="shared" si="20"/>
        <v>1064154</v>
      </c>
      <c r="D32" s="7">
        <f t="shared" si="20"/>
        <v>11323123</v>
      </c>
      <c r="E32" s="7">
        <f t="shared" si="20"/>
        <v>15259000</v>
      </c>
      <c r="F32" s="6">
        <f t="shared" si="20"/>
        <v>24708250</v>
      </c>
      <c r="G32" s="7"/>
      <c r="I32" s="7">
        <f t="shared" ref="I32:J32" si="21">SUM(I2:I31)</f>
        <v>17871415</v>
      </c>
      <c r="J32" s="17">
        <f t="shared" si="21"/>
        <v>18453000</v>
      </c>
    </row>
    <row r="33">
      <c r="A33" s="9"/>
    </row>
    <row r="34">
      <c r="A34" s="9"/>
    </row>
    <row r="35">
      <c r="A35" s="9"/>
    </row>
    <row r="36">
      <c r="A36" s="9"/>
      <c r="J36" s="17"/>
    </row>
    <row r="37">
      <c r="A37" s="9"/>
      <c r="I37" s="11" t="s">
        <v>12</v>
      </c>
      <c r="J37" s="10">
        <v>1.8453E7</v>
      </c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8.38"/>
    <col customWidth="1" min="4" max="4" width="18.5"/>
    <col customWidth="1" min="5" max="5" width="16.25"/>
    <col customWidth="1" min="6" max="6" width="18.5"/>
    <col customWidth="1" min="7" max="7" width="17.75"/>
    <col customWidth="1" min="9" max="9" width="16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I1" s="25" t="s">
        <v>11</v>
      </c>
      <c r="L1" s="26"/>
      <c r="M1" s="27" t="s">
        <v>0</v>
      </c>
      <c r="N1" s="27" t="s">
        <v>1</v>
      </c>
    </row>
    <row r="2">
      <c r="A2" s="3">
        <v>1.0</v>
      </c>
      <c r="B2" s="8"/>
      <c r="C2" s="8"/>
      <c r="D2" s="4"/>
      <c r="E2" s="8"/>
      <c r="F2" s="4"/>
      <c r="G2" s="4"/>
      <c r="I2" s="28"/>
      <c r="L2" s="29">
        <v>1.0</v>
      </c>
      <c r="M2" s="30"/>
      <c r="N2" s="30"/>
    </row>
    <row r="3">
      <c r="A3" s="5">
        <v>2.0</v>
      </c>
      <c r="B3" s="6">
        <v>1030783.0</v>
      </c>
      <c r="C3" s="6">
        <v>68536.0</v>
      </c>
      <c r="D3" s="7">
        <f t="shared" ref="D3:D8" si="1">B3+C3</f>
        <v>1099319</v>
      </c>
      <c r="E3" s="6">
        <v>1020000.0</v>
      </c>
      <c r="F3" s="7">
        <f t="shared" ref="F3:F8" si="2">E3+B3</f>
        <v>2050783</v>
      </c>
      <c r="G3" s="7">
        <f>F3</f>
        <v>2050783</v>
      </c>
      <c r="I3" s="21">
        <v>1020000.0</v>
      </c>
      <c r="L3" s="31">
        <v>2.0</v>
      </c>
      <c r="M3" s="32">
        <v>1030783.0</v>
      </c>
      <c r="N3" s="32">
        <v>68536.0</v>
      </c>
    </row>
    <row r="4">
      <c r="A4" s="5">
        <v>3.0</v>
      </c>
      <c r="B4" s="6">
        <v>383901.0</v>
      </c>
      <c r="C4" s="6">
        <v>88292.0</v>
      </c>
      <c r="D4" s="7">
        <f t="shared" si="1"/>
        <v>472193</v>
      </c>
      <c r="E4" s="6">
        <v>900000.0</v>
      </c>
      <c r="F4" s="7">
        <f t="shared" si="2"/>
        <v>1283901</v>
      </c>
      <c r="G4" s="7">
        <f t="shared" ref="G4:G8" si="3">F4+G3</f>
        <v>3334684</v>
      </c>
      <c r="I4" s="21">
        <v>835000.0</v>
      </c>
      <c r="L4" s="31">
        <v>3.0</v>
      </c>
      <c r="M4" s="33">
        <v>432101.0</v>
      </c>
      <c r="N4" s="33">
        <v>40092.0</v>
      </c>
    </row>
    <row r="5">
      <c r="A5" s="5">
        <v>4.0</v>
      </c>
      <c r="B5" s="6">
        <v>139746.0</v>
      </c>
      <c r="C5" s="6">
        <v>17113.0</v>
      </c>
      <c r="D5" s="7">
        <f t="shared" si="1"/>
        <v>156859</v>
      </c>
      <c r="E5" s="6">
        <v>700000.0</v>
      </c>
      <c r="F5" s="7">
        <f t="shared" si="2"/>
        <v>839746</v>
      </c>
      <c r="G5" s="7">
        <f t="shared" si="3"/>
        <v>4174430</v>
      </c>
      <c r="I5" s="21">
        <v>780000.0</v>
      </c>
      <c r="L5" s="31">
        <v>4.0</v>
      </c>
      <c r="M5" s="34">
        <v>139746.0</v>
      </c>
      <c r="N5" s="34">
        <v>17113.0</v>
      </c>
    </row>
    <row r="6">
      <c r="A6" s="5">
        <v>5.0</v>
      </c>
      <c r="B6" s="6">
        <v>197272.0</v>
      </c>
      <c r="C6" s="6">
        <v>17296.0</v>
      </c>
      <c r="D6" s="7">
        <f t="shared" si="1"/>
        <v>214568</v>
      </c>
      <c r="E6" s="6">
        <v>765000.0</v>
      </c>
      <c r="F6" s="17">
        <f t="shared" si="2"/>
        <v>962272</v>
      </c>
      <c r="G6" s="7">
        <f t="shared" si="3"/>
        <v>5136702</v>
      </c>
      <c r="I6" s="21">
        <v>765000.0</v>
      </c>
      <c r="L6" s="31">
        <v>5.0</v>
      </c>
      <c r="M6" s="34">
        <v>197272.0</v>
      </c>
      <c r="N6" s="34">
        <v>17296.0</v>
      </c>
    </row>
    <row r="7">
      <c r="A7" s="5">
        <v>6.0</v>
      </c>
      <c r="B7" s="6">
        <v>273324.0</v>
      </c>
      <c r="C7" s="6">
        <v>33352.0</v>
      </c>
      <c r="D7" s="7">
        <f t="shared" si="1"/>
        <v>306676</v>
      </c>
      <c r="E7" s="6">
        <v>960000.0</v>
      </c>
      <c r="F7" s="7">
        <f t="shared" si="2"/>
        <v>1233324</v>
      </c>
      <c r="G7" s="7">
        <f t="shared" si="3"/>
        <v>6370026</v>
      </c>
      <c r="I7" s="21">
        <v>960000.0</v>
      </c>
      <c r="J7" s="10"/>
      <c r="L7" s="31">
        <v>6.0</v>
      </c>
      <c r="M7" s="34">
        <v>273324.0</v>
      </c>
      <c r="N7" s="34">
        <v>33351.0</v>
      </c>
    </row>
    <row r="8">
      <c r="A8" s="5">
        <v>7.0</v>
      </c>
      <c r="B8" s="6">
        <v>348905.0</v>
      </c>
      <c r="C8" s="6">
        <v>45196.0</v>
      </c>
      <c r="D8" s="7">
        <f t="shared" si="1"/>
        <v>394101</v>
      </c>
      <c r="E8" s="6">
        <v>735000.0</v>
      </c>
      <c r="F8" s="7">
        <f t="shared" si="2"/>
        <v>1083905</v>
      </c>
      <c r="G8" s="7">
        <f t="shared" si="3"/>
        <v>7453931</v>
      </c>
      <c r="I8" s="21">
        <v>735000.0</v>
      </c>
      <c r="J8" s="10"/>
      <c r="L8" s="31">
        <v>7.0</v>
      </c>
      <c r="M8" s="34">
        <v>348905.0</v>
      </c>
      <c r="N8" s="34">
        <v>45196.0</v>
      </c>
    </row>
    <row r="9">
      <c r="A9" s="3">
        <v>8.0</v>
      </c>
      <c r="B9" s="8"/>
      <c r="C9" s="8"/>
      <c r="D9" s="4"/>
      <c r="E9" s="8"/>
      <c r="F9" s="4"/>
      <c r="G9" s="4"/>
      <c r="I9" s="21"/>
      <c r="L9" s="29">
        <v>8.0</v>
      </c>
      <c r="M9" s="30"/>
      <c r="N9" s="30"/>
    </row>
    <row r="10">
      <c r="A10" s="5">
        <v>9.0</v>
      </c>
      <c r="B10" s="6">
        <v>313082.0</v>
      </c>
      <c r="C10" s="6">
        <v>14355.0</v>
      </c>
      <c r="D10" s="7">
        <f t="shared" ref="D10:D15" si="4">B10+C10</f>
        <v>327437</v>
      </c>
      <c r="E10" s="6">
        <v>666000.0</v>
      </c>
      <c r="F10" s="6">
        <f>B10+E10</f>
        <v>979082</v>
      </c>
      <c r="G10" s="7">
        <f>F10+G8</f>
        <v>8433013</v>
      </c>
      <c r="I10" s="21">
        <v>666000.0</v>
      </c>
      <c r="J10" s="10"/>
      <c r="L10" s="31">
        <v>9.0</v>
      </c>
      <c r="M10" s="33">
        <v>246891.0</v>
      </c>
      <c r="N10" s="33">
        <v>11045.0</v>
      </c>
    </row>
    <row r="11">
      <c r="A11" s="5">
        <v>10.0</v>
      </c>
      <c r="B11" s="6">
        <v>74881.0</v>
      </c>
      <c r="C11" s="6">
        <v>4476.0</v>
      </c>
      <c r="D11" s="7">
        <f t="shared" si="4"/>
        <v>79357</v>
      </c>
      <c r="E11" s="6">
        <v>588000.0</v>
      </c>
      <c r="F11" s="7">
        <f t="shared" ref="F11:F15" si="5">E11+B11</f>
        <v>662881</v>
      </c>
      <c r="G11" s="7">
        <f t="shared" ref="G11:G15" si="6">F11+G10</f>
        <v>9095894</v>
      </c>
      <c r="I11" s="21">
        <v>588000.0</v>
      </c>
      <c r="L11" s="31">
        <v>10.0</v>
      </c>
      <c r="M11" s="34">
        <v>74881.0</v>
      </c>
      <c r="N11" s="34">
        <v>4476.0</v>
      </c>
    </row>
    <row r="12">
      <c r="A12" s="5">
        <v>11.0</v>
      </c>
      <c r="B12" s="6">
        <v>499613.0</v>
      </c>
      <c r="C12" s="6">
        <v>74614.0</v>
      </c>
      <c r="D12" s="7">
        <f t="shared" si="4"/>
        <v>574227</v>
      </c>
      <c r="E12" s="6">
        <v>582000.0</v>
      </c>
      <c r="F12" s="7">
        <f t="shared" si="5"/>
        <v>1081613</v>
      </c>
      <c r="G12" s="7">
        <f t="shared" si="6"/>
        <v>10177507</v>
      </c>
      <c r="I12" s="21">
        <v>582000.0</v>
      </c>
      <c r="L12" s="31">
        <v>11.0</v>
      </c>
      <c r="M12" s="34">
        <v>499613.0</v>
      </c>
      <c r="N12" s="34">
        <v>74914.0</v>
      </c>
    </row>
    <row r="13">
      <c r="A13" s="5">
        <v>12.0</v>
      </c>
      <c r="B13" s="6">
        <v>146284.0</v>
      </c>
      <c r="C13" s="6">
        <v>99814.0</v>
      </c>
      <c r="D13" s="7">
        <f t="shared" si="4"/>
        <v>246098</v>
      </c>
      <c r="E13" s="6">
        <v>880000.0</v>
      </c>
      <c r="F13" s="7">
        <f t="shared" si="5"/>
        <v>1026284</v>
      </c>
      <c r="G13" s="7">
        <f t="shared" si="6"/>
        <v>11203791</v>
      </c>
      <c r="I13" s="21">
        <v>810000.0</v>
      </c>
      <c r="J13" s="10"/>
      <c r="L13" s="31">
        <v>12.0</v>
      </c>
      <c r="M13" s="33">
        <v>238783.0</v>
      </c>
      <c r="N13" s="33">
        <v>7314.0</v>
      </c>
    </row>
    <row r="14">
      <c r="A14" s="5">
        <v>13.0</v>
      </c>
      <c r="B14" s="6">
        <v>267641.0</v>
      </c>
      <c r="C14" s="6">
        <v>20283.0</v>
      </c>
      <c r="D14" s="7">
        <f t="shared" si="4"/>
        <v>287924</v>
      </c>
      <c r="E14" s="6">
        <v>610000.0</v>
      </c>
      <c r="F14" s="7">
        <f t="shared" si="5"/>
        <v>877641</v>
      </c>
      <c r="G14" s="7">
        <f t="shared" si="6"/>
        <v>12081432</v>
      </c>
      <c r="I14" s="21">
        <v>610000.0</v>
      </c>
      <c r="L14" s="31">
        <v>13.0</v>
      </c>
      <c r="M14" s="34">
        <v>267641.0</v>
      </c>
      <c r="N14" s="34">
        <v>20283.0</v>
      </c>
    </row>
    <row r="15">
      <c r="A15" s="5">
        <v>14.0</v>
      </c>
      <c r="B15" s="6">
        <v>781239.0</v>
      </c>
      <c r="C15" s="6">
        <v>96269.0</v>
      </c>
      <c r="D15" s="7">
        <f t="shared" si="4"/>
        <v>877508</v>
      </c>
      <c r="E15" s="6">
        <v>1174000.0</v>
      </c>
      <c r="F15" s="7">
        <f t="shared" si="5"/>
        <v>1955239</v>
      </c>
      <c r="G15" s="7">
        <f t="shared" si="6"/>
        <v>14036671</v>
      </c>
      <c r="I15" s="21">
        <v>1174000.0</v>
      </c>
      <c r="K15" s="12"/>
      <c r="L15" s="31">
        <v>14.0</v>
      </c>
      <c r="M15" s="34">
        <v>781239.0</v>
      </c>
      <c r="N15" s="34">
        <v>96269.0</v>
      </c>
    </row>
    <row r="16">
      <c r="A16" s="3">
        <v>15.0</v>
      </c>
      <c r="B16" s="20"/>
      <c r="C16" s="20"/>
      <c r="D16" s="20"/>
      <c r="E16" s="20"/>
      <c r="F16" s="20"/>
      <c r="G16" s="20"/>
      <c r="I16" s="35"/>
      <c r="L16" s="29">
        <v>15.0</v>
      </c>
      <c r="M16" s="36"/>
      <c r="N16" s="36"/>
    </row>
    <row r="17">
      <c r="A17" s="5">
        <v>16.0</v>
      </c>
      <c r="B17" s="6">
        <v>425354.0</v>
      </c>
      <c r="C17" s="6">
        <v>62345.0</v>
      </c>
      <c r="D17" s="7">
        <f t="shared" ref="D17:D25" si="7">B17+C17</f>
        <v>487699</v>
      </c>
      <c r="E17" s="6">
        <v>748000.0</v>
      </c>
      <c r="F17" s="7">
        <f t="shared" ref="F17:F25" si="8">E17+B17</f>
        <v>1173354</v>
      </c>
      <c r="G17" s="7">
        <f>F17+G15</f>
        <v>15210025</v>
      </c>
      <c r="I17" s="21">
        <v>1018000.0</v>
      </c>
      <c r="J17" s="10"/>
      <c r="L17" s="31">
        <v>16.0</v>
      </c>
      <c r="M17" s="34">
        <v>425354.0</v>
      </c>
      <c r="N17" s="34">
        <v>62345.0</v>
      </c>
    </row>
    <row r="18">
      <c r="A18" s="5">
        <v>17.0</v>
      </c>
      <c r="B18" s="6">
        <v>656066.0</v>
      </c>
      <c r="C18" s="6">
        <v>88434.0</v>
      </c>
      <c r="D18" s="7">
        <f t="shared" si="7"/>
        <v>744500</v>
      </c>
      <c r="E18" s="6">
        <v>1110000.0</v>
      </c>
      <c r="F18" s="7">
        <f t="shared" si="8"/>
        <v>1766066</v>
      </c>
      <c r="G18" s="7">
        <f t="shared" ref="G18:G25" si="9">F18+G17</f>
        <v>16976091</v>
      </c>
      <c r="I18" s="21">
        <v>1345000.0</v>
      </c>
      <c r="L18" s="31">
        <v>17.0</v>
      </c>
      <c r="M18" s="34">
        <v>656066.0</v>
      </c>
      <c r="N18" s="34">
        <v>88434.0</v>
      </c>
    </row>
    <row r="19">
      <c r="A19" s="5">
        <v>18.0</v>
      </c>
      <c r="B19" s="6">
        <v>799031.0</v>
      </c>
      <c r="C19" s="6">
        <v>145308.0</v>
      </c>
      <c r="D19" s="7">
        <f t="shared" si="7"/>
        <v>944339</v>
      </c>
      <c r="E19" s="6">
        <v>965000.0</v>
      </c>
      <c r="F19" s="7">
        <f t="shared" si="8"/>
        <v>1764031</v>
      </c>
      <c r="G19" s="7">
        <f t="shared" si="9"/>
        <v>18740122</v>
      </c>
      <c r="I19" s="21">
        <v>1210000.0</v>
      </c>
      <c r="L19" s="31">
        <v>18.0</v>
      </c>
      <c r="M19" s="33">
        <v>823933.0</v>
      </c>
      <c r="N19" s="33">
        <v>120406.0</v>
      </c>
    </row>
    <row r="20">
      <c r="A20" s="5">
        <v>19.0</v>
      </c>
      <c r="B20" s="6">
        <v>241087.0</v>
      </c>
      <c r="C20" s="6">
        <v>34856.0</v>
      </c>
      <c r="D20" s="7">
        <f t="shared" si="7"/>
        <v>275943</v>
      </c>
      <c r="E20" s="6">
        <v>916000.0</v>
      </c>
      <c r="F20" s="7">
        <f t="shared" si="8"/>
        <v>1157087</v>
      </c>
      <c r="G20" s="7">
        <f t="shared" si="9"/>
        <v>19897209</v>
      </c>
      <c r="I20" s="21">
        <v>1042000.0</v>
      </c>
      <c r="L20" s="31">
        <v>19.0</v>
      </c>
      <c r="M20" s="34">
        <v>241087.0</v>
      </c>
      <c r="N20" s="34">
        <v>34856.0</v>
      </c>
    </row>
    <row r="21">
      <c r="A21" s="5">
        <v>20.0</v>
      </c>
      <c r="B21" s="6">
        <v>295972.0</v>
      </c>
      <c r="C21" s="6">
        <v>57554.0</v>
      </c>
      <c r="D21" s="7">
        <f t="shared" si="7"/>
        <v>353526</v>
      </c>
      <c r="E21" s="6">
        <v>1150000.0</v>
      </c>
      <c r="F21" s="7">
        <f t="shared" si="8"/>
        <v>1445972</v>
      </c>
      <c r="G21" s="7">
        <f t="shared" si="9"/>
        <v>21343181</v>
      </c>
      <c r="I21" s="21">
        <v>1320000.0</v>
      </c>
      <c r="K21" s="12"/>
      <c r="L21" s="31">
        <v>20.0</v>
      </c>
      <c r="M21" s="33">
        <v>322352.0</v>
      </c>
      <c r="N21" s="34">
        <v>57554.0</v>
      </c>
    </row>
    <row r="22">
      <c r="A22" s="5">
        <v>21.0</v>
      </c>
      <c r="B22" s="6">
        <v>877940.0</v>
      </c>
      <c r="C22" s="6">
        <v>107694.0</v>
      </c>
      <c r="D22" s="7">
        <f t="shared" si="7"/>
        <v>985634</v>
      </c>
      <c r="E22" s="6">
        <v>1340000.0</v>
      </c>
      <c r="F22" s="7">
        <f t="shared" si="8"/>
        <v>2217940</v>
      </c>
      <c r="G22" s="6">
        <f t="shared" si="9"/>
        <v>23561121</v>
      </c>
      <c r="I22" s="21">
        <v>1540000.0</v>
      </c>
      <c r="L22" s="31">
        <v>21.0</v>
      </c>
      <c r="M22" s="34">
        <v>877940.0</v>
      </c>
      <c r="N22" s="34">
        <v>107694.0</v>
      </c>
    </row>
    <row r="23">
      <c r="A23" s="5">
        <v>22.0</v>
      </c>
      <c r="B23" s="6">
        <v>761555.0</v>
      </c>
      <c r="C23" s="6">
        <v>118910.0</v>
      </c>
      <c r="D23" s="7">
        <f t="shared" si="7"/>
        <v>880465</v>
      </c>
      <c r="E23" s="6">
        <v>1135000.0</v>
      </c>
      <c r="F23" s="7">
        <f t="shared" si="8"/>
        <v>1896555</v>
      </c>
      <c r="G23" s="7">
        <f t="shared" si="9"/>
        <v>25457676</v>
      </c>
      <c r="I23" s="21">
        <v>1285000.0</v>
      </c>
      <c r="J23" s="10"/>
      <c r="L23" s="31">
        <v>22.0</v>
      </c>
      <c r="M23" s="34">
        <v>761555.0</v>
      </c>
      <c r="N23" s="34">
        <v>118910.0</v>
      </c>
    </row>
    <row r="24">
      <c r="A24" s="5">
        <v>23.0</v>
      </c>
      <c r="B24" s="6">
        <v>669951.0</v>
      </c>
      <c r="C24" s="6">
        <v>99260.0</v>
      </c>
      <c r="D24" s="7">
        <f t="shared" si="7"/>
        <v>769211</v>
      </c>
      <c r="E24" s="6">
        <v>1348000.0</v>
      </c>
      <c r="F24" s="7">
        <f t="shared" si="8"/>
        <v>2017951</v>
      </c>
      <c r="G24" s="7">
        <f t="shared" si="9"/>
        <v>27475627</v>
      </c>
      <c r="I24" s="21">
        <v>1508000.0</v>
      </c>
      <c r="J24" s="10"/>
      <c r="L24" s="31">
        <v>23.0</v>
      </c>
      <c r="M24" s="33">
        <v>695952.0</v>
      </c>
      <c r="N24" s="33">
        <v>73259.0</v>
      </c>
    </row>
    <row r="25">
      <c r="A25" s="5">
        <v>24.0</v>
      </c>
      <c r="B25" s="6">
        <v>3092023.0</v>
      </c>
      <c r="C25" s="6">
        <v>77993.0</v>
      </c>
      <c r="D25" s="7">
        <f t="shared" si="7"/>
        <v>3170016</v>
      </c>
      <c r="E25" s="6">
        <v>1142000.0</v>
      </c>
      <c r="F25" s="7">
        <f t="shared" si="8"/>
        <v>4234023</v>
      </c>
      <c r="G25" s="7">
        <f t="shared" si="9"/>
        <v>31709650</v>
      </c>
      <c r="I25" s="21">
        <v>1142000.0</v>
      </c>
      <c r="L25" s="31">
        <v>24.0</v>
      </c>
      <c r="M25" s="33">
        <v>2779565.0</v>
      </c>
      <c r="N25" s="33">
        <v>390000.0</v>
      </c>
    </row>
    <row r="26">
      <c r="A26" s="3">
        <v>25.0</v>
      </c>
      <c r="B26" s="20"/>
      <c r="C26" s="20"/>
      <c r="D26" s="20"/>
      <c r="E26" s="20"/>
      <c r="F26" s="20"/>
      <c r="G26" s="20"/>
      <c r="I26" s="35"/>
      <c r="L26" s="29">
        <v>25.0</v>
      </c>
      <c r="M26" s="36"/>
      <c r="N26" s="36"/>
    </row>
    <row r="27">
      <c r="A27" s="5">
        <v>26.0</v>
      </c>
      <c r="B27" s="6">
        <v>1456038.0</v>
      </c>
      <c r="C27" s="6">
        <v>160729.0</v>
      </c>
      <c r="D27" s="7">
        <f t="shared" ref="D27:D29" si="10">B27+C27</f>
        <v>1616767</v>
      </c>
      <c r="E27" s="6">
        <v>890000.0</v>
      </c>
      <c r="F27" s="7">
        <f t="shared" ref="F27:F29" si="11">E27+B27</f>
        <v>2346038</v>
      </c>
      <c r="G27" s="7">
        <f>F27+G25</f>
        <v>34055688</v>
      </c>
      <c r="I27" s="21">
        <v>1060000.0</v>
      </c>
      <c r="J27" s="10"/>
      <c r="L27" s="31">
        <v>26.0</v>
      </c>
      <c r="M27" s="34">
        <v>1456038.0</v>
      </c>
      <c r="N27" s="34">
        <v>160729.0</v>
      </c>
    </row>
    <row r="28">
      <c r="A28" s="5">
        <v>27.0</v>
      </c>
      <c r="B28" s="6">
        <v>298634.0</v>
      </c>
      <c r="C28" s="6">
        <v>41168.0</v>
      </c>
      <c r="D28" s="7">
        <f t="shared" si="10"/>
        <v>339802</v>
      </c>
      <c r="E28" s="6">
        <v>1130000.0</v>
      </c>
      <c r="F28" s="7">
        <f t="shared" si="11"/>
        <v>1428634</v>
      </c>
      <c r="G28" s="7">
        <f t="shared" ref="G28:G29" si="12">F28+G27</f>
        <v>35484322</v>
      </c>
      <c r="I28" s="21">
        <v>1250000.0</v>
      </c>
      <c r="L28" s="31">
        <v>27.0</v>
      </c>
      <c r="M28" s="37">
        <v>298643.0</v>
      </c>
      <c r="N28" s="37">
        <v>41168.0</v>
      </c>
    </row>
    <row r="29">
      <c r="A29" s="5">
        <v>28.0</v>
      </c>
      <c r="B29" s="6">
        <v>793438.0</v>
      </c>
      <c r="C29" s="6">
        <v>72557.0</v>
      </c>
      <c r="D29" s="7">
        <f t="shared" si="10"/>
        <v>865995</v>
      </c>
      <c r="E29" s="6">
        <v>938000.0</v>
      </c>
      <c r="F29" s="7">
        <f t="shared" si="11"/>
        <v>1731438</v>
      </c>
      <c r="G29" s="7">
        <f t="shared" si="12"/>
        <v>37215760</v>
      </c>
      <c r="I29" s="21">
        <v>1148000.0</v>
      </c>
      <c r="L29" s="31">
        <v>28.0</v>
      </c>
      <c r="M29" s="37">
        <v>793438.0</v>
      </c>
      <c r="N29" s="37">
        <v>72557.0</v>
      </c>
    </row>
    <row r="30">
      <c r="A30" s="5">
        <v>29.0</v>
      </c>
      <c r="B30" s="35"/>
      <c r="C30" s="35"/>
      <c r="D30" s="35"/>
      <c r="E30" s="6">
        <v>390000.0</v>
      </c>
      <c r="F30" s="35"/>
      <c r="G30" s="35"/>
      <c r="K30" s="11"/>
      <c r="L30" s="29">
        <v>29.0</v>
      </c>
      <c r="M30" s="30"/>
      <c r="N30" s="30"/>
    </row>
    <row r="31">
      <c r="A31" s="5">
        <v>30.0</v>
      </c>
      <c r="B31" s="6">
        <v>307140.0</v>
      </c>
      <c r="C31" s="6">
        <v>40819.0</v>
      </c>
      <c r="D31" s="7">
        <f>B31+C31</f>
        <v>347959</v>
      </c>
      <c r="E31" s="6">
        <v>1230000.0</v>
      </c>
      <c r="F31" s="6">
        <f t="shared" ref="F31:F32" si="13">E31+B31</f>
        <v>1537140</v>
      </c>
      <c r="G31" s="7">
        <f>F31+G29</f>
        <v>38752900</v>
      </c>
      <c r="I31" s="21">
        <v>1295000.0</v>
      </c>
      <c r="L31" s="31">
        <v>30.0</v>
      </c>
      <c r="M31" s="37">
        <v>307140.0</v>
      </c>
      <c r="N31" s="37">
        <v>40819.0</v>
      </c>
    </row>
    <row r="32">
      <c r="A32" s="5">
        <v>31.0</v>
      </c>
      <c r="B32" s="6">
        <v>532015.0</v>
      </c>
      <c r="C32" s="6">
        <v>88196.0</v>
      </c>
      <c r="D32" s="7">
        <f>C32+B32</f>
        <v>620211</v>
      </c>
      <c r="E32" s="6">
        <v>1173000.0</v>
      </c>
      <c r="F32" s="7">
        <f t="shared" si="13"/>
        <v>1705015</v>
      </c>
      <c r="G32" s="7">
        <f>G31+F32</f>
        <v>40457915</v>
      </c>
      <c r="H32" s="11" t="s">
        <v>13</v>
      </c>
      <c r="I32" s="21">
        <v>1173000.0</v>
      </c>
      <c r="L32" s="31">
        <v>31.0</v>
      </c>
      <c r="M32" s="38"/>
      <c r="N32" s="38"/>
    </row>
    <row r="33">
      <c r="A33" s="5" t="s">
        <v>6</v>
      </c>
      <c r="B33" s="7">
        <f>SUM(B3:B32)</f>
        <v>15662915</v>
      </c>
      <c r="C33" s="7"/>
      <c r="D33" s="7"/>
      <c r="E33" s="7">
        <f>SUM(E3:E32)</f>
        <v>25185000</v>
      </c>
      <c r="F33" s="6"/>
      <c r="G33" s="7"/>
      <c r="I33" s="28">
        <f>SUM(I3:I32)</f>
        <v>26861000</v>
      </c>
      <c r="L33" s="31" t="s">
        <v>6</v>
      </c>
      <c r="M33" s="39">
        <f>SUM(M3:M32)</f>
        <v>14970242</v>
      </c>
      <c r="N33" s="38"/>
    </row>
    <row r="34">
      <c r="A34" s="9"/>
      <c r="I34" s="22"/>
      <c r="L34" s="40"/>
      <c r="M34" s="40"/>
      <c r="N34" s="40"/>
    </row>
    <row r="35">
      <c r="A35" s="9"/>
      <c r="I35" s="22"/>
      <c r="L35" s="40"/>
      <c r="M35" s="40"/>
      <c r="N35" s="40"/>
    </row>
    <row r="36">
      <c r="A36" s="9"/>
      <c r="L36" s="40"/>
      <c r="M36" s="40"/>
      <c r="N36" s="40"/>
    </row>
    <row r="37">
      <c r="A37" s="9"/>
      <c r="I37" s="22"/>
      <c r="J37" s="17"/>
      <c r="L37" s="40"/>
      <c r="M37" s="40"/>
      <c r="N37" s="40"/>
    </row>
    <row r="38">
      <c r="A38" s="9"/>
      <c r="I38" s="22"/>
      <c r="J38" s="10"/>
      <c r="L38" s="40"/>
      <c r="M38" s="40"/>
      <c r="N38" s="40"/>
    </row>
    <row r="39">
      <c r="A39" s="9"/>
      <c r="I39" s="22"/>
      <c r="L39" s="40"/>
      <c r="M39" s="40"/>
      <c r="N39" s="40"/>
    </row>
    <row r="40">
      <c r="A40" s="9"/>
      <c r="I40" s="22"/>
      <c r="L40" s="40"/>
      <c r="M40" s="40"/>
      <c r="N40" s="40"/>
    </row>
    <row r="41">
      <c r="A41" s="9"/>
      <c r="I41" s="22"/>
      <c r="L41" s="40"/>
      <c r="M41" s="40"/>
      <c r="N41" s="40"/>
    </row>
    <row r="42">
      <c r="A42" s="9"/>
      <c r="I42" s="22"/>
      <c r="L42" s="40"/>
      <c r="M42" s="40"/>
      <c r="N42" s="40"/>
    </row>
    <row r="43">
      <c r="A43" s="9"/>
      <c r="I43" s="22"/>
      <c r="L43" s="40"/>
      <c r="M43" s="40"/>
      <c r="N43" s="40"/>
    </row>
    <row r="44">
      <c r="A44" s="9"/>
      <c r="I44" s="22"/>
      <c r="L44" s="40"/>
      <c r="M44" s="40"/>
      <c r="N44" s="40"/>
    </row>
    <row r="45">
      <c r="A45" s="9"/>
      <c r="I45" s="22"/>
      <c r="L45" s="40"/>
      <c r="M45" s="40"/>
      <c r="N45" s="40"/>
    </row>
    <row r="46">
      <c r="A46" s="9"/>
      <c r="I46" s="22"/>
      <c r="L46" s="40"/>
      <c r="M46" s="40"/>
      <c r="N46" s="40"/>
    </row>
    <row r="47">
      <c r="A47" s="9"/>
      <c r="I47" s="22"/>
      <c r="L47" s="40"/>
      <c r="M47" s="40"/>
      <c r="N47" s="40"/>
    </row>
    <row r="48">
      <c r="A48" s="9"/>
      <c r="I48" s="22"/>
      <c r="L48" s="40"/>
      <c r="M48" s="40"/>
      <c r="N48" s="40"/>
    </row>
    <row r="49">
      <c r="A49" s="9"/>
      <c r="I49" s="22"/>
      <c r="L49" s="40"/>
      <c r="M49" s="40"/>
      <c r="N49" s="40"/>
    </row>
    <row r="50">
      <c r="A50" s="9"/>
      <c r="I50" s="22"/>
      <c r="L50" s="40"/>
      <c r="M50" s="40"/>
      <c r="N50" s="40"/>
    </row>
    <row r="51">
      <c r="A51" s="9"/>
      <c r="I51" s="22"/>
      <c r="L51" s="40"/>
      <c r="M51" s="40"/>
      <c r="N51" s="40"/>
    </row>
    <row r="52">
      <c r="A52" s="9"/>
      <c r="I52" s="22"/>
      <c r="L52" s="40"/>
      <c r="M52" s="40"/>
      <c r="N52" s="40"/>
    </row>
    <row r="53">
      <c r="A53" s="9"/>
      <c r="I53" s="22"/>
      <c r="L53" s="40"/>
      <c r="M53" s="40"/>
      <c r="N53" s="40"/>
    </row>
    <row r="54">
      <c r="A54" s="9"/>
      <c r="I54" s="22"/>
      <c r="L54" s="40"/>
      <c r="M54" s="40"/>
      <c r="N54" s="40"/>
    </row>
    <row r="55">
      <c r="A55" s="9"/>
      <c r="I55" s="22"/>
      <c r="L55" s="40"/>
      <c r="M55" s="40"/>
      <c r="N55" s="40"/>
    </row>
    <row r="56">
      <c r="A56" s="9"/>
      <c r="I56" s="22"/>
      <c r="L56" s="40"/>
      <c r="M56" s="40"/>
      <c r="N56" s="40"/>
    </row>
    <row r="57">
      <c r="A57" s="9"/>
      <c r="I57" s="22"/>
      <c r="L57" s="40"/>
      <c r="M57" s="40"/>
      <c r="N57" s="40"/>
    </row>
    <row r="58">
      <c r="A58" s="9"/>
      <c r="I58" s="22"/>
      <c r="L58" s="40"/>
      <c r="M58" s="40"/>
      <c r="N58" s="40"/>
    </row>
    <row r="59">
      <c r="A59" s="9"/>
      <c r="I59" s="22"/>
      <c r="L59" s="40"/>
      <c r="M59" s="40"/>
      <c r="N59" s="40"/>
    </row>
    <row r="60">
      <c r="A60" s="9"/>
      <c r="I60" s="22"/>
      <c r="L60" s="40"/>
      <c r="M60" s="40"/>
      <c r="N60" s="40"/>
    </row>
    <row r="61">
      <c r="A61" s="9"/>
      <c r="I61" s="22"/>
      <c r="L61" s="40"/>
      <c r="M61" s="40"/>
      <c r="N61" s="40"/>
    </row>
    <row r="62">
      <c r="A62" s="9"/>
      <c r="I62" s="22"/>
      <c r="L62" s="40"/>
      <c r="M62" s="40"/>
      <c r="N62" s="40"/>
    </row>
    <row r="63">
      <c r="A63" s="9"/>
      <c r="I63" s="22"/>
      <c r="L63" s="40"/>
      <c r="M63" s="40"/>
      <c r="N63" s="40"/>
    </row>
    <row r="64">
      <c r="A64" s="9"/>
      <c r="I64" s="22"/>
      <c r="L64" s="40"/>
      <c r="M64" s="40"/>
      <c r="N64" s="40"/>
    </row>
    <row r="65">
      <c r="A65" s="9"/>
      <c r="I65" s="22"/>
      <c r="L65" s="40"/>
      <c r="M65" s="40"/>
      <c r="N65" s="40"/>
    </row>
    <row r="66">
      <c r="A66" s="9"/>
      <c r="I66" s="22"/>
      <c r="L66" s="40"/>
      <c r="M66" s="40"/>
      <c r="N66" s="40"/>
    </row>
    <row r="67">
      <c r="A67" s="9"/>
      <c r="I67" s="22"/>
      <c r="L67" s="40"/>
      <c r="M67" s="40"/>
      <c r="N67" s="40"/>
    </row>
    <row r="68">
      <c r="A68" s="9"/>
      <c r="I68" s="22"/>
      <c r="L68" s="40"/>
      <c r="M68" s="40"/>
      <c r="N68" s="40"/>
    </row>
    <row r="69">
      <c r="A69" s="9"/>
      <c r="I69" s="22"/>
      <c r="L69" s="40"/>
      <c r="M69" s="40"/>
      <c r="N69" s="40"/>
    </row>
    <row r="70">
      <c r="A70" s="9"/>
      <c r="I70" s="22"/>
      <c r="L70" s="40"/>
      <c r="M70" s="40"/>
      <c r="N70" s="40"/>
    </row>
    <row r="71">
      <c r="A71" s="9"/>
      <c r="I71" s="22"/>
      <c r="L71" s="40"/>
      <c r="M71" s="40"/>
      <c r="N71" s="40"/>
    </row>
    <row r="72">
      <c r="A72" s="9"/>
      <c r="I72" s="22"/>
      <c r="L72" s="40"/>
      <c r="M72" s="40"/>
      <c r="N72" s="40"/>
    </row>
    <row r="73">
      <c r="A73" s="9"/>
      <c r="I73" s="22"/>
      <c r="L73" s="40"/>
      <c r="M73" s="40"/>
      <c r="N73" s="40"/>
    </row>
    <row r="74">
      <c r="A74" s="9"/>
      <c r="I74" s="22"/>
      <c r="L74" s="40"/>
      <c r="M74" s="40"/>
      <c r="N74" s="40"/>
    </row>
    <row r="75">
      <c r="A75" s="9"/>
      <c r="I75" s="22"/>
      <c r="L75" s="40"/>
      <c r="M75" s="40"/>
      <c r="N75" s="40"/>
    </row>
    <row r="76">
      <c r="A76" s="9"/>
      <c r="I76" s="22"/>
      <c r="L76" s="40"/>
      <c r="M76" s="40"/>
      <c r="N76" s="40"/>
    </row>
    <row r="77">
      <c r="A77" s="9"/>
      <c r="I77" s="22"/>
      <c r="L77" s="40"/>
      <c r="M77" s="40"/>
      <c r="N77" s="40"/>
    </row>
    <row r="78">
      <c r="A78" s="9"/>
      <c r="I78" s="22"/>
      <c r="L78" s="40"/>
      <c r="M78" s="40"/>
      <c r="N78" s="40"/>
    </row>
    <row r="79">
      <c r="A79" s="9"/>
      <c r="I79" s="22"/>
      <c r="L79" s="40"/>
      <c r="M79" s="40"/>
      <c r="N79" s="40"/>
    </row>
    <row r="80">
      <c r="A80" s="9"/>
      <c r="I80" s="22"/>
      <c r="L80" s="40"/>
      <c r="M80" s="40"/>
      <c r="N80" s="40"/>
    </row>
    <row r="81">
      <c r="A81" s="9"/>
      <c r="I81" s="22"/>
      <c r="L81" s="40"/>
      <c r="M81" s="40"/>
      <c r="N81" s="40"/>
    </row>
    <row r="82">
      <c r="A82" s="9"/>
      <c r="I82" s="22"/>
      <c r="L82" s="40"/>
      <c r="M82" s="40"/>
      <c r="N82" s="40"/>
    </row>
    <row r="83">
      <c r="A83" s="9"/>
      <c r="I83" s="22"/>
      <c r="L83" s="40"/>
      <c r="M83" s="40"/>
      <c r="N83" s="40"/>
    </row>
    <row r="84">
      <c r="A84" s="9"/>
      <c r="I84" s="22"/>
      <c r="L84" s="40"/>
      <c r="M84" s="40"/>
      <c r="N84" s="40"/>
    </row>
    <row r="85">
      <c r="A85" s="9"/>
      <c r="I85" s="22"/>
      <c r="L85" s="40"/>
      <c r="M85" s="40"/>
      <c r="N85" s="40"/>
    </row>
    <row r="86">
      <c r="A86" s="9"/>
      <c r="I86" s="22"/>
      <c r="L86" s="40"/>
      <c r="M86" s="40"/>
      <c r="N86" s="40"/>
    </row>
    <row r="87">
      <c r="A87" s="9"/>
      <c r="I87" s="22"/>
      <c r="L87" s="40"/>
      <c r="M87" s="40"/>
      <c r="N87" s="40"/>
    </row>
    <row r="88">
      <c r="A88" s="9"/>
      <c r="I88" s="22"/>
      <c r="L88" s="40"/>
      <c r="M88" s="40"/>
      <c r="N88" s="40"/>
    </row>
    <row r="89">
      <c r="A89" s="9"/>
      <c r="I89" s="22"/>
      <c r="L89" s="40"/>
      <c r="M89" s="40"/>
      <c r="N89" s="40"/>
    </row>
    <row r="90">
      <c r="A90" s="9"/>
      <c r="I90" s="22"/>
      <c r="L90" s="40"/>
      <c r="M90" s="40"/>
      <c r="N90" s="40"/>
    </row>
    <row r="91">
      <c r="A91" s="9"/>
      <c r="I91" s="22"/>
      <c r="L91" s="40"/>
      <c r="M91" s="40"/>
      <c r="N91" s="40"/>
    </row>
    <row r="92">
      <c r="A92" s="9"/>
      <c r="I92" s="22"/>
      <c r="L92" s="40"/>
      <c r="M92" s="40"/>
      <c r="N92" s="40"/>
    </row>
    <row r="93">
      <c r="A93" s="9"/>
      <c r="I93" s="22"/>
      <c r="L93" s="40"/>
      <c r="M93" s="40"/>
      <c r="N93" s="40"/>
    </row>
    <row r="94">
      <c r="A94" s="9"/>
      <c r="I94" s="22"/>
      <c r="L94" s="40"/>
      <c r="M94" s="40"/>
      <c r="N94" s="40"/>
    </row>
    <row r="95">
      <c r="A95" s="9"/>
      <c r="I95" s="22"/>
      <c r="L95" s="40"/>
      <c r="M95" s="40"/>
      <c r="N95" s="40"/>
    </row>
    <row r="96">
      <c r="A96" s="9"/>
      <c r="I96" s="22"/>
      <c r="L96" s="40"/>
      <c r="M96" s="40"/>
      <c r="N96" s="40"/>
    </row>
    <row r="97">
      <c r="A97" s="9"/>
      <c r="I97" s="22"/>
      <c r="L97" s="40"/>
      <c r="M97" s="40"/>
      <c r="N97" s="40"/>
    </row>
    <row r="98">
      <c r="A98" s="9"/>
      <c r="I98" s="22"/>
      <c r="L98" s="40"/>
      <c r="M98" s="40"/>
      <c r="N98" s="40"/>
    </row>
    <row r="99">
      <c r="A99" s="9"/>
      <c r="I99" s="22"/>
      <c r="L99" s="40"/>
      <c r="M99" s="40"/>
      <c r="N99" s="40"/>
    </row>
    <row r="100">
      <c r="A100" s="9"/>
      <c r="I100" s="22"/>
      <c r="L100" s="40"/>
      <c r="M100" s="40"/>
      <c r="N100" s="40"/>
    </row>
    <row r="101">
      <c r="A101" s="9"/>
      <c r="I101" s="22"/>
      <c r="L101" s="40"/>
      <c r="M101" s="40"/>
      <c r="N101" s="40"/>
    </row>
    <row r="102">
      <c r="A102" s="9"/>
      <c r="I102" s="22"/>
      <c r="L102" s="40"/>
      <c r="M102" s="40"/>
      <c r="N102" s="40"/>
    </row>
    <row r="103">
      <c r="A103" s="9"/>
      <c r="I103" s="22"/>
      <c r="L103" s="40"/>
      <c r="M103" s="40"/>
      <c r="N103" s="40"/>
    </row>
    <row r="104">
      <c r="A104" s="9"/>
      <c r="I104" s="22"/>
      <c r="L104" s="40"/>
      <c r="M104" s="40"/>
      <c r="N104" s="40"/>
    </row>
    <row r="105">
      <c r="A105" s="9"/>
      <c r="I105" s="22"/>
      <c r="L105" s="40"/>
      <c r="M105" s="40"/>
      <c r="N105" s="40"/>
    </row>
    <row r="106">
      <c r="A106" s="9"/>
      <c r="I106" s="22"/>
      <c r="L106" s="40"/>
      <c r="M106" s="40"/>
      <c r="N106" s="40"/>
    </row>
    <row r="107">
      <c r="A107" s="9"/>
      <c r="I107" s="22"/>
      <c r="L107" s="40"/>
      <c r="M107" s="40"/>
      <c r="N107" s="40"/>
    </row>
    <row r="108">
      <c r="A108" s="9"/>
      <c r="I108" s="22"/>
      <c r="L108" s="40"/>
      <c r="M108" s="40"/>
      <c r="N108" s="40"/>
    </row>
    <row r="109">
      <c r="A109" s="9"/>
      <c r="I109" s="22"/>
      <c r="L109" s="40"/>
      <c r="M109" s="40"/>
      <c r="N109" s="40"/>
    </row>
    <row r="110">
      <c r="A110" s="9"/>
      <c r="I110" s="22"/>
      <c r="L110" s="40"/>
      <c r="M110" s="40"/>
      <c r="N110" s="40"/>
    </row>
    <row r="111">
      <c r="A111" s="9"/>
      <c r="I111" s="22"/>
      <c r="L111" s="40"/>
      <c r="M111" s="40"/>
      <c r="N111" s="40"/>
    </row>
    <row r="112">
      <c r="A112" s="9"/>
      <c r="I112" s="22"/>
      <c r="L112" s="40"/>
      <c r="M112" s="40"/>
      <c r="N112" s="40"/>
    </row>
    <row r="113">
      <c r="A113" s="9"/>
      <c r="I113" s="22"/>
      <c r="L113" s="40"/>
      <c r="M113" s="40"/>
      <c r="N113" s="40"/>
    </row>
    <row r="114">
      <c r="A114" s="9"/>
      <c r="I114" s="22"/>
      <c r="L114" s="40"/>
      <c r="M114" s="40"/>
      <c r="N114" s="40"/>
    </row>
    <row r="115">
      <c r="A115" s="9"/>
      <c r="I115" s="22"/>
      <c r="L115" s="40"/>
      <c r="M115" s="40"/>
      <c r="N115" s="40"/>
    </row>
    <row r="116">
      <c r="A116" s="9"/>
      <c r="I116" s="22"/>
      <c r="L116" s="40"/>
      <c r="M116" s="40"/>
      <c r="N116" s="40"/>
    </row>
    <row r="117">
      <c r="A117" s="9"/>
      <c r="I117" s="22"/>
      <c r="L117" s="40"/>
      <c r="M117" s="40"/>
      <c r="N117" s="40"/>
    </row>
    <row r="118">
      <c r="A118" s="9"/>
      <c r="I118" s="22"/>
      <c r="L118" s="40"/>
      <c r="M118" s="40"/>
      <c r="N118" s="40"/>
    </row>
    <row r="119">
      <c r="A119" s="9"/>
      <c r="I119" s="22"/>
      <c r="L119" s="40"/>
      <c r="M119" s="40"/>
      <c r="N119" s="40"/>
    </row>
    <row r="120">
      <c r="A120" s="9"/>
      <c r="I120" s="22"/>
      <c r="L120" s="40"/>
      <c r="M120" s="40"/>
      <c r="N120" s="40"/>
    </row>
    <row r="121">
      <c r="A121" s="9"/>
      <c r="I121" s="22"/>
      <c r="L121" s="40"/>
      <c r="M121" s="40"/>
      <c r="N121" s="40"/>
    </row>
    <row r="122">
      <c r="A122" s="9"/>
      <c r="I122" s="22"/>
      <c r="L122" s="40"/>
      <c r="M122" s="40"/>
      <c r="N122" s="40"/>
    </row>
    <row r="123">
      <c r="A123" s="9"/>
      <c r="I123" s="22"/>
      <c r="L123" s="40"/>
      <c r="M123" s="40"/>
      <c r="N123" s="40"/>
    </row>
    <row r="124">
      <c r="A124" s="9"/>
      <c r="I124" s="22"/>
      <c r="L124" s="40"/>
      <c r="M124" s="40"/>
      <c r="N124" s="40"/>
    </row>
    <row r="125">
      <c r="A125" s="9"/>
      <c r="I125" s="22"/>
      <c r="L125" s="40"/>
      <c r="M125" s="40"/>
      <c r="N125" s="40"/>
    </row>
    <row r="126">
      <c r="A126" s="9"/>
      <c r="I126" s="22"/>
      <c r="L126" s="40"/>
      <c r="M126" s="40"/>
      <c r="N126" s="40"/>
    </row>
    <row r="127">
      <c r="A127" s="9"/>
      <c r="I127" s="22"/>
      <c r="L127" s="40"/>
      <c r="M127" s="40"/>
      <c r="N127" s="40"/>
    </row>
    <row r="128">
      <c r="A128" s="9"/>
      <c r="I128" s="22"/>
      <c r="L128" s="40"/>
      <c r="M128" s="40"/>
      <c r="N128" s="40"/>
    </row>
    <row r="129">
      <c r="A129" s="9"/>
      <c r="I129" s="22"/>
      <c r="L129" s="40"/>
      <c r="M129" s="40"/>
      <c r="N129" s="40"/>
    </row>
    <row r="130">
      <c r="A130" s="9"/>
      <c r="I130" s="22"/>
      <c r="L130" s="40"/>
      <c r="M130" s="40"/>
      <c r="N130" s="40"/>
    </row>
    <row r="131">
      <c r="A131" s="9"/>
      <c r="I131" s="22"/>
      <c r="L131" s="40"/>
      <c r="M131" s="40"/>
      <c r="N131" s="40"/>
    </row>
    <row r="132">
      <c r="A132" s="9"/>
      <c r="I132" s="22"/>
      <c r="L132" s="40"/>
      <c r="M132" s="40"/>
      <c r="N132" s="40"/>
    </row>
    <row r="133">
      <c r="A133" s="9"/>
      <c r="I133" s="22"/>
      <c r="L133" s="40"/>
      <c r="M133" s="40"/>
      <c r="N133" s="40"/>
    </row>
    <row r="134">
      <c r="A134" s="9"/>
      <c r="I134" s="22"/>
      <c r="L134" s="40"/>
      <c r="M134" s="40"/>
      <c r="N134" s="40"/>
    </row>
    <row r="135">
      <c r="A135" s="9"/>
      <c r="I135" s="22"/>
      <c r="L135" s="40"/>
      <c r="M135" s="40"/>
      <c r="N135" s="40"/>
    </row>
    <row r="136">
      <c r="A136" s="9"/>
      <c r="I136" s="22"/>
      <c r="L136" s="40"/>
      <c r="M136" s="40"/>
      <c r="N136" s="40"/>
    </row>
    <row r="137">
      <c r="A137" s="9"/>
      <c r="I137" s="22"/>
      <c r="L137" s="40"/>
      <c r="M137" s="40"/>
      <c r="N137" s="40"/>
    </row>
    <row r="138">
      <c r="A138" s="9"/>
      <c r="I138" s="22"/>
      <c r="L138" s="40"/>
      <c r="M138" s="40"/>
      <c r="N138" s="40"/>
    </row>
    <row r="139">
      <c r="A139" s="9"/>
      <c r="I139" s="22"/>
      <c r="L139" s="40"/>
      <c r="M139" s="40"/>
      <c r="N139" s="40"/>
    </row>
    <row r="140">
      <c r="A140" s="9"/>
      <c r="I140" s="22"/>
      <c r="L140" s="40"/>
      <c r="M140" s="40"/>
      <c r="N140" s="40"/>
    </row>
    <row r="141">
      <c r="A141" s="9"/>
      <c r="I141" s="22"/>
      <c r="L141" s="40"/>
      <c r="M141" s="40"/>
      <c r="N141" s="40"/>
    </row>
    <row r="142">
      <c r="A142" s="9"/>
      <c r="I142" s="22"/>
      <c r="L142" s="40"/>
      <c r="M142" s="40"/>
      <c r="N142" s="40"/>
    </row>
    <row r="143">
      <c r="A143" s="9"/>
      <c r="I143" s="22"/>
      <c r="L143" s="40"/>
      <c r="M143" s="40"/>
      <c r="N143" s="40"/>
    </row>
    <row r="144">
      <c r="A144" s="9"/>
      <c r="I144" s="22"/>
      <c r="L144" s="40"/>
      <c r="M144" s="40"/>
      <c r="N144" s="40"/>
    </row>
    <row r="145">
      <c r="A145" s="9"/>
      <c r="I145" s="22"/>
      <c r="L145" s="40"/>
      <c r="M145" s="40"/>
      <c r="N145" s="40"/>
    </row>
    <row r="146">
      <c r="A146" s="9"/>
      <c r="I146" s="22"/>
      <c r="L146" s="40"/>
      <c r="M146" s="40"/>
      <c r="N146" s="40"/>
    </row>
    <row r="147">
      <c r="A147" s="9"/>
      <c r="I147" s="22"/>
      <c r="L147" s="40"/>
      <c r="M147" s="40"/>
      <c r="N147" s="40"/>
    </row>
    <row r="148">
      <c r="A148" s="9"/>
      <c r="I148" s="22"/>
      <c r="L148" s="40"/>
      <c r="M148" s="40"/>
      <c r="N148" s="40"/>
    </row>
    <row r="149">
      <c r="A149" s="9"/>
      <c r="I149" s="22"/>
      <c r="L149" s="40"/>
      <c r="M149" s="40"/>
      <c r="N149" s="40"/>
    </row>
    <row r="150">
      <c r="A150" s="9"/>
      <c r="I150" s="22"/>
      <c r="L150" s="40"/>
      <c r="M150" s="40"/>
      <c r="N150" s="40"/>
    </row>
    <row r="151">
      <c r="A151" s="9"/>
      <c r="I151" s="22"/>
      <c r="L151" s="40"/>
      <c r="M151" s="40"/>
      <c r="N151" s="40"/>
    </row>
    <row r="152">
      <c r="A152" s="9"/>
      <c r="I152" s="22"/>
      <c r="L152" s="40"/>
      <c r="M152" s="40"/>
      <c r="N152" s="40"/>
    </row>
    <row r="153">
      <c r="A153" s="9"/>
      <c r="I153" s="22"/>
      <c r="L153" s="40"/>
      <c r="M153" s="40"/>
      <c r="N153" s="40"/>
    </row>
    <row r="154">
      <c r="A154" s="9"/>
      <c r="I154" s="22"/>
      <c r="L154" s="40"/>
      <c r="M154" s="40"/>
      <c r="N154" s="40"/>
    </row>
    <row r="155">
      <c r="A155" s="9"/>
      <c r="I155" s="22"/>
      <c r="L155" s="40"/>
      <c r="M155" s="40"/>
      <c r="N155" s="40"/>
    </row>
    <row r="156">
      <c r="A156" s="9"/>
      <c r="I156" s="22"/>
      <c r="L156" s="40"/>
      <c r="M156" s="40"/>
      <c r="N156" s="40"/>
    </row>
    <row r="157">
      <c r="A157" s="9"/>
      <c r="I157" s="22"/>
      <c r="L157" s="40"/>
      <c r="M157" s="40"/>
      <c r="N157" s="40"/>
    </row>
    <row r="158">
      <c r="A158" s="9"/>
      <c r="I158" s="22"/>
      <c r="L158" s="40"/>
      <c r="M158" s="40"/>
      <c r="N158" s="40"/>
    </row>
    <row r="159">
      <c r="A159" s="9"/>
      <c r="I159" s="22"/>
      <c r="L159" s="40"/>
      <c r="M159" s="40"/>
      <c r="N159" s="40"/>
    </row>
    <row r="160">
      <c r="A160" s="9"/>
      <c r="I160" s="22"/>
      <c r="L160" s="40"/>
      <c r="M160" s="40"/>
      <c r="N160" s="40"/>
    </row>
    <row r="161">
      <c r="A161" s="9"/>
      <c r="I161" s="22"/>
      <c r="L161" s="40"/>
      <c r="M161" s="40"/>
      <c r="N161" s="40"/>
    </row>
    <row r="162">
      <c r="A162" s="9"/>
      <c r="I162" s="22"/>
      <c r="L162" s="40"/>
      <c r="M162" s="40"/>
      <c r="N162" s="40"/>
    </row>
    <row r="163">
      <c r="A163" s="9"/>
      <c r="I163" s="22"/>
      <c r="L163" s="40"/>
      <c r="M163" s="40"/>
      <c r="N163" s="40"/>
    </row>
    <row r="164">
      <c r="A164" s="9"/>
      <c r="I164" s="22"/>
      <c r="L164" s="40"/>
      <c r="M164" s="40"/>
      <c r="N164" s="40"/>
    </row>
    <row r="165">
      <c r="A165" s="9"/>
      <c r="I165" s="22"/>
      <c r="L165" s="40"/>
      <c r="M165" s="40"/>
      <c r="N165" s="40"/>
    </row>
    <row r="166">
      <c r="A166" s="9"/>
      <c r="I166" s="22"/>
      <c r="L166" s="40"/>
      <c r="M166" s="40"/>
      <c r="N166" s="40"/>
    </row>
    <row r="167">
      <c r="A167" s="9"/>
      <c r="I167" s="22"/>
      <c r="L167" s="40"/>
      <c r="M167" s="40"/>
      <c r="N167" s="40"/>
    </row>
    <row r="168">
      <c r="A168" s="9"/>
      <c r="I168" s="22"/>
      <c r="L168" s="40"/>
      <c r="M168" s="40"/>
      <c r="N168" s="40"/>
    </row>
    <row r="169">
      <c r="A169" s="9"/>
      <c r="I169" s="22"/>
      <c r="L169" s="40"/>
      <c r="M169" s="40"/>
      <c r="N169" s="40"/>
    </row>
    <row r="170">
      <c r="A170" s="9"/>
      <c r="I170" s="22"/>
      <c r="L170" s="40"/>
      <c r="M170" s="40"/>
      <c r="N170" s="40"/>
    </row>
    <row r="171">
      <c r="A171" s="9"/>
      <c r="I171" s="22"/>
      <c r="L171" s="40"/>
      <c r="M171" s="40"/>
      <c r="N171" s="40"/>
    </row>
    <row r="172">
      <c r="A172" s="9"/>
      <c r="I172" s="22"/>
      <c r="L172" s="40"/>
      <c r="M172" s="40"/>
      <c r="N172" s="40"/>
    </row>
    <row r="173">
      <c r="A173" s="9"/>
      <c r="I173" s="22"/>
      <c r="L173" s="40"/>
      <c r="M173" s="40"/>
      <c r="N173" s="40"/>
    </row>
    <row r="174">
      <c r="A174" s="9"/>
      <c r="I174" s="22"/>
      <c r="L174" s="40"/>
      <c r="M174" s="40"/>
      <c r="N174" s="40"/>
    </row>
    <row r="175">
      <c r="A175" s="9"/>
      <c r="I175" s="22"/>
      <c r="L175" s="40"/>
      <c r="M175" s="40"/>
      <c r="N175" s="40"/>
    </row>
    <row r="176">
      <c r="A176" s="9"/>
      <c r="I176" s="22"/>
      <c r="L176" s="40"/>
      <c r="M176" s="40"/>
      <c r="N176" s="40"/>
    </row>
    <row r="177">
      <c r="A177" s="9"/>
      <c r="I177" s="22"/>
      <c r="L177" s="40"/>
      <c r="M177" s="40"/>
      <c r="N177" s="40"/>
    </row>
    <row r="178">
      <c r="A178" s="9"/>
      <c r="I178" s="22"/>
      <c r="L178" s="40"/>
      <c r="M178" s="40"/>
      <c r="N178" s="40"/>
    </row>
    <row r="179">
      <c r="A179" s="9"/>
      <c r="I179" s="22"/>
      <c r="L179" s="40"/>
      <c r="M179" s="40"/>
      <c r="N179" s="40"/>
    </row>
    <row r="180">
      <c r="A180" s="9"/>
      <c r="I180" s="22"/>
      <c r="L180" s="40"/>
      <c r="M180" s="40"/>
      <c r="N180" s="40"/>
    </row>
    <row r="181">
      <c r="A181" s="9"/>
      <c r="I181" s="22"/>
      <c r="L181" s="40"/>
      <c r="M181" s="40"/>
      <c r="N181" s="40"/>
    </row>
    <row r="182">
      <c r="A182" s="9"/>
      <c r="I182" s="22"/>
      <c r="L182" s="40"/>
      <c r="M182" s="40"/>
      <c r="N182" s="40"/>
    </row>
    <row r="183">
      <c r="A183" s="9"/>
      <c r="I183" s="22"/>
      <c r="L183" s="40"/>
      <c r="M183" s="40"/>
      <c r="N183" s="40"/>
    </row>
    <row r="184">
      <c r="A184" s="9"/>
      <c r="I184" s="22"/>
      <c r="L184" s="40"/>
      <c r="M184" s="40"/>
      <c r="N184" s="40"/>
    </row>
    <row r="185">
      <c r="A185" s="9"/>
      <c r="I185" s="22"/>
      <c r="L185" s="40"/>
      <c r="M185" s="40"/>
      <c r="N185" s="40"/>
    </row>
    <row r="186">
      <c r="A186" s="9"/>
      <c r="I186" s="22"/>
      <c r="L186" s="40"/>
      <c r="M186" s="40"/>
      <c r="N186" s="40"/>
    </row>
    <row r="187">
      <c r="A187" s="9"/>
      <c r="I187" s="22"/>
      <c r="L187" s="40"/>
      <c r="M187" s="40"/>
      <c r="N187" s="40"/>
    </row>
    <row r="188">
      <c r="A188" s="9"/>
      <c r="I188" s="22"/>
      <c r="L188" s="40"/>
      <c r="M188" s="40"/>
      <c r="N188" s="40"/>
    </row>
    <row r="189">
      <c r="A189" s="9"/>
      <c r="I189" s="22"/>
      <c r="L189" s="40"/>
      <c r="M189" s="40"/>
      <c r="N189" s="40"/>
    </row>
    <row r="190">
      <c r="A190" s="9"/>
      <c r="I190" s="22"/>
      <c r="L190" s="40"/>
      <c r="M190" s="40"/>
      <c r="N190" s="40"/>
    </row>
    <row r="191">
      <c r="A191" s="9"/>
      <c r="I191" s="22"/>
      <c r="L191" s="40"/>
      <c r="M191" s="40"/>
      <c r="N191" s="40"/>
    </row>
    <row r="192">
      <c r="A192" s="9"/>
      <c r="I192" s="22"/>
      <c r="L192" s="40"/>
      <c r="M192" s="40"/>
      <c r="N192" s="40"/>
    </row>
    <row r="193">
      <c r="A193" s="9"/>
      <c r="I193" s="22"/>
      <c r="L193" s="40"/>
      <c r="M193" s="40"/>
      <c r="N193" s="40"/>
    </row>
    <row r="194">
      <c r="A194" s="9"/>
      <c r="I194" s="22"/>
      <c r="L194" s="40"/>
      <c r="M194" s="40"/>
      <c r="N194" s="40"/>
    </row>
    <row r="195">
      <c r="A195" s="9"/>
      <c r="I195" s="22"/>
      <c r="L195" s="40"/>
      <c r="M195" s="40"/>
      <c r="N195" s="40"/>
    </row>
    <row r="196">
      <c r="A196" s="9"/>
      <c r="I196" s="22"/>
      <c r="L196" s="40"/>
      <c r="M196" s="40"/>
      <c r="N196" s="40"/>
    </row>
    <row r="197">
      <c r="A197" s="9"/>
      <c r="I197" s="22"/>
      <c r="L197" s="40"/>
      <c r="M197" s="40"/>
      <c r="N197" s="40"/>
    </row>
    <row r="198">
      <c r="A198" s="9"/>
      <c r="I198" s="22"/>
      <c r="L198" s="40"/>
      <c r="M198" s="40"/>
      <c r="N198" s="40"/>
    </row>
    <row r="199">
      <c r="A199" s="9"/>
      <c r="I199" s="22"/>
      <c r="L199" s="40"/>
      <c r="M199" s="40"/>
      <c r="N199" s="40"/>
    </row>
    <row r="200">
      <c r="A200" s="9"/>
      <c r="I200" s="22"/>
      <c r="L200" s="40"/>
      <c r="M200" s="40"/>
      <c r="N200" s="40"/>
    </row>
    <row r="201">
      <c r="A201" s="9"/>
      <c r="I201" s="22"/>
      <c r="L201" s="40"/>
      <c r="M201" s="40"/>
      <c r="N201" s="40"/>
    </row>
    <row r="202">
      <c r="A202" s="9"/>
      <c r="I202" s="22"/>
      <c r="L202" s="40"/>
      <c r="M202" s="40"/>
      <c r="N202" s="40"/>
    </row>
    <row r="203">
      <c r="A203" s="9"/>
      <c r="I203" s="22"/>
      <c r="L203" s="40"/>
      <c r="M203" s="40"/>
      <c r="N203" s="40"/>
    </row>
    <row r="204">
      <c r="A204" s="9"/>
      <c r="I204" s="22"/>
      <c r="L204" s="40"/>
      <c r="M204" s="40"/>
      <c r="N204" s="40"/>
    </row>
    <row r="205">
      <c r="A205" s="9"/>
      <c r="I205" s="22"/>
      <c r="L205" s="40"/>
      <c r="M205" s="40"/>
      <c r="N205" s="40"/>
    </row>
    <row r="206">
      <c r="A206" s="9"/>
      <c r="I206" s="22"/>
      <c r="L206" s="40"/>
      <c r="M206" s="40"/>
      <c r="N206" s="40"/>
    </row>
    <row r="207">
      <c r="A207" s="9"/>
      <c r="I207" s="22"/>
      <c r="L207" s="40"/>
      <c r="M207" s="40"/>
      <c r="N207" s="40"/>
    </row>
    <row r="208">
      <c r="A208" s="9"/>
      <c r="I208" s="22"/>
      <c r="L208" s="40"/>
      <c r="M208" s="40"/>
      <c r="N208" s="40"/>
    </row>
    <row r="209">
      <c r="A209" s="9"/>
      <c r="I209" s="22"/>
      <c r="L209" s="40"/>
      <c r="M209" s="40"/>
      <c r="N209" s="40"/>
    </row>
    <row r="210">
      <c r="A210" s="9"/>
      <c r="I210" s="22"/>
      <c r="L210" s="40"/>
      <c r="M210" s="40"/>
      <c r="N210" s="40"/>
    </row>
    <row r="211">
      <c r="A211" s="9"/>
      <c r="I211" s="22"/>
      <c r="L211" s="40"/>
      <c r="M211" s="40"/>
      <c r="N211" s="40"/>
    </row>
    <row r="212">
      <c r="A212" s="9"/>
      <c r="I212" s="22"/>
      <c r="L212" s="40"/>
      <c r="M212" s="40"/>
      <c r="N212" s="40"/>
    </row>
    <row r="213">
      <c r="A213" s="9"/>
      <c r="I213" s="22"/>
      <c r="L213" s="40"/>
      <c r="M213" s="40"/>
      <c r="N213" s="40"/>
    </row>
    <row r="214">
      <c r="A214" s="9"/>
      <c r="I214" s="22"/>
      <c r="L214" s="40"/>
      <c r="M214" s="40"/>
      <c r="N214" s="40"/>
    </row>
    <row r="215">
      <c r="A215" s="9"/>
      <c r="I215" s="22"/>
      <c r="L215" s="40"/>
      <c r="M215" s="40"/>
      <c r="N215" s="40"/>
    </row>
    <row r="216">
      <c r="A216" s="9"/>
      <c r="I216" s="22"/>
      <c r="L216" s="40"/>
      <c r="M216" s="40"/>
      <c r="N216" s="40"/>
    </row>
    <row r="217">
      <c r="A217" s="9"/>
      <c r="I217" s="22"/>
      <c r="L217" s="40"/>
      <c r="M217" s="40"/>
      <c r="N217" s="40"/>
    </row>
    <row r="218">
      <c r="A218" s="9"/>
      <c r="I218" s="22"/>
      <c r="L218" s="40"/>
      <c r="M218" s="40"/>
      <c r="N218" s="40"/>
    </row>
    <row r="219">
      <c r="A219" s="9"/>
      <c r="I219" s="22"/>
      <c r="L219" s="40"/>
      <c r="M219" s="40"/>
      <c r="N219" s="40"/>
    </row>
    <row r="220">
      <c r="A220" s="9"/>
      <c r="I220" s="22"/>
      <c r="L220" s="40"/>
      <c r="M220" s="40"/>
      <c r="N220" s="40"/>
    </row>
    <row r="221">
      <c r="A221" s="9"/>
      <c r="I221" s="22"/>
      <c r="L221" s="40"/>
      <c r="M221" s="40"/>
      <c r="N221" s="40"/>
    </row>
    <row r="222">
      <c r="A222" s="9"/>
      <c r="I222" s="22"/>
      <c r="L222" s="40"/>
      <c r="M222" s="40"/>
      <c r="N222" s="40"/>
    </row>
    <row r="223">
      <c r="A223" s="9"/>
      <c r="I223" s="22"/>
      <c r="L223" s="40"/>
      <c r="M223" s="40"/>
      <c r="N223" s="40"/>
    </row>
    <row r="224">
      <c r="A224" s="9"/>
      <c r="I224" s="22"/>
      <c r="L224" s="40"/>
      <c r="M224" s="40"/>
      <c r="N224" s="40"/>
    </row>
    <row r="225">
      <c r="A225" s="9"/>
      <c r="I225" s="22"/>
      <c r="L225" s="40"/>
      <c r="M225" s="40"/>
      <c r="N225" s="40"/>
    </row>
    <row r="226">
      <c r="A226" s="9"/>
      <c r="I226" s="22"/>
      <c r="L226" s="40"/>
      <c r="M226" s="40"/>
      <c r="N226" s="40"/>
    </row>
    <row r="227">
      <c r="A227" s="9"/>
      <c r="I227" s="22"/>
      <c r="L227" s="40"/>
      <c r="M227" s="40"/>
      <c r="N227" s="40"/>
    </row>
    <row r="228">
      <c r="A228" s="9"/>
      <c r="I228" s="22"/>
      <c r="L228" s="40"/>
      <c r="M228" s="40"/>
      <c r="N228" s="40"/>
    </row>
    <row r="229">
      <c r="A229" s="9"/>
      <c r="I229" s="22"/>
      <c r="L229" s="40"/>
      <c r="M229" s="40"/>
      <c r="N229" s="40"/>
    </row>
    <row r="230">
      <c r="A230" s="9"/>
      <c r="I230" s="22"/>
      <c r="L230" s="40"/>
      <c r="M230" s="40"/>
      <c r="N230" s="40"/>
    </row>
    <row r="231">
      <c r="A231" s="9"/>
      <c r="I231" s="22"/>
      <c r="L231" s="40"/>
      <c r="M231" s="40"/>
      <c r="N231" s="40"/>
    </row>
    <row r="232">
      <c r="A232" s="9"/>
      <c r="I232" s="22"/>
      <c r="L232" s="40"/>
      <c r="M232" s="40"/>
      <c r="N232" s="40"/>
    </row>
    <row r="233">
      <c r="A233" s="9"/>
      <c r="I233" s="22"/>
      <c r="L233" s="40"/>
      <c r="M233" s="40"/>
      <c r="N233" s="40"/>
    </row>
    <row r="234">
      <c r="A234" s="9"/>
      <c r="I234" s="22"/>
      <c r="L234" s="40"/>
      <c r="M234" s="40"/>
      <c r="N234" s="40"/>
    </row>
    <row r="235">
      <c r="A235" s="9"/>
      <c r="I235" s="22"/>
      <c r="L235" s="40"/>
      <c r="M235" s="40"/>
      <c r="N235" s="40"/>
    </row>
    <row r="236">
      <c r="A236" s="9"/>
      <c r="I236" s="22"/>
      <c r="L236" s="40"/>
      <c r="M236" s="40"/>
      <c r="N236" s="40"/>
    </row>
    <row r="237">
      <c r="A237" s="9"/>
      <c r="I237" s="22"/>
      <c r="L237" s="40"/>
      <c r="M237" s="40"/>
      <c r="N237" s="40"/>
    </row>
    <row r="238">
      <c r="A238" s="9"/>
      <c r="I238" s="22"/>
      <c r="L238" s="40"/>
      <c r="M238" s="40"/>
      <c r="N238" s="40"/>
    </row>
    <row r="239">
      <c r="A239" s="9"/>
      <c r="I239" s="22"/>
      <c r="L239" s="40"/>
      <c r="M239" s="40"/>
      <c r="N239" s="40"/>
    </row>
    <row r="240">
      <c r="A240" s="9"/>
      <c r="I240" s="22"/>
      <c r="L240" s="40"/>
      <c r="M240" s="40"/>
      <c r="N240" s="40"/>
    </row>
    <row r="241">
      <c r="A241" s="9"/>
      <c r="I241" s="22"/>
      <c r="L241" s="40"/>
      <c r="M241" s="40"/>
      <c r="N241" s="40"/>
    </row>
    <row r="242">
      <c r="A242" s="9"/>
      <c r="I242" s="22"/>
      <c r="L242" s="40"/>
      <c r="M242" s="40"/>
      <c r="N242" s="40"/>
    </row>
    <row r="243">
      <c r="A243" s="9"/>
      <c r="I243" s="22"/>
      <c r="L243" s="40"/>
      <c r="M243" s="40"/>
      <c r="N243" s="40"/>
    </row>
    <row r="244">
      <c r="A244" s="9"/>
      <c r="I244" s="22"/>
      <c r="L244" s="40"/>
      <c r="M244" s="40"/>
      <c r="N244" s="40"/>
    </row>
    <row r="245">
      <c r="A245" s="9"/>
      <c r="I245" s="22"/>
      <c r="L245" s="40"/>
      <c r="M245" s="40"/>
      <c r="N245" s="40"/>
    </row>
    <row r="246">
      <c r="A246" s="9"/>
      <c r="I246" s="22"/>
      <c r="L246" s="40"/>
      <c r="M246" s="40"/>
      <c r="N246" s="40"/>
    </row>
    <row r="247">
      <c r="A247" s="9"/>
      <c r="I247" s="22"/>
      <c r="L247" s="40"/>
      <c r="M247" s="40"/>
      <c r="N247" s="40"/>
    </row>
    <row r="248">
      <c r="A248" s="9"/>
      <c r="I248" s="22"/>
      <c r="L248" s="40"/>
      <c r="M248" s="40"/>
      <c r="N248" s="40"/>
    </row>
    <row r="249">
      <c r="A249" s="9"/>
      <c r="I249" s="22"/>
      <c r="L249" s="40"/>
      <c r="M249" s="40"/>
      <c r="N249" s="40"/>
    </row>
    <row r="250">
      <c r="A250" s="9"/>
      <c r="I250" s="22"/>
      <c r="L250" s="40"/>
      <c r="M250" s="40"/>
      <c r="N250" s="40"/>
    </row>
    <row r="251">
      <c r="A251" s="9"/>
      <c r="I251" s="22"/>
      <c r="L251" s="40"/>
      <c r="M251" s="40"/>
      <c r="N251" s="40"/>
    </row>
    <row r="252">
      <c r="A252" s="9"/>
      <c r="I252" s="22"/>
      <c r="L252" s="40"/>
      <c r="M252" s="40"/>
      <c r="N252" s="40"/>
    </row>
    <row r="253">
      <c r="A253" s="9"/>
      <c r="I253" s="22"/>
      <c r="L253" s="40"/>
      <c r="M253" s="40"/>
      <c r="N253" s="40"/>
    </row>
    <row r="254">
      <c r="A254" s="9"/>
      <c r="I254" s="22"/>
      <c r="L254" s="40"/>
      <c r="M254" s="40"/>
      <c r="N254" s="40"/>
    </row>
    <row r="255">
      <c r="A255" s="9"/>
      <c r="I255" s="22"/>
      <c r="L255" s="40"/>
      <c r="M255" s="40"/>
      <c r="N255" s="40"/>
    </row>
    <row r="256">
      <c r="A256" s="9"/>
      <c r="I256" s="22"/>
      <c r="L256" s="40"/>
      <c r="M256" s="40"/>
      <c r="N256" s="40"/>
    </row>
    <row r="257">
      <c r="A257" s="9"/>
      <c r="I257" s="22"/>
      <c r="L257" s="40"/>
      <c r="M257" s="40"/>
      <c r="N257" s="40"/>
    </row>
    <row r="258">
      <c r="A258" s="9"/>
      <c r="I258" s="22"/>
      <c r="L258" s="40"/>
      <c r="M258" s="40"/>
      <c r="N258" s="40"/>
    </row>
    <row r="259">
      <c r="A259" s="9"/>
      <c r="I259" s="22"/>
      <c r="L259" s="40"/>
      <c r="M259" s="40"/>
      <c r="N259" s="40"/>
    </row>
    <row r="260">
      <c r="A260" s="9"/>
      <c r="I260" s="22"/>
      <c r="L260" s="40"/>
      <c r="M260" s="40"/>
      <c r="N260" s="40"/>
    </row>
    <row r="261">
      <c r="A261" s="9"/>
      <c r="I261" s="22"/>
      <c r="L261" s="40"/>
      <c r="M261" s="40"/>
      <c r="N261" s="40"/>
    </row>
    <row r="262">
      <c r="A262" s="9"/>
      <c r="I262" s="22"/>
      <c r="L262" s="40"/>
      <c r="M262" s="40"/>
      <c r="N262" s="40"/>
    </row>
    <row r="263">
      <c r="A263" s="9"/>
      <c r="I263" s="22"/>
      <c r="L263" s="40"/>
      <c r="M263" s="40"/>
      <c r="N263" s="40"/>
    </row>
    <row r="264">
      <c r="A264" s="9"/>
      <c r="I264" s="22"/>
      <c r="L264" s="40"/>
      <c r="M264" s="40"/>
      <c r="N264" s="40"/>
    </row>
    <row r="265">
      <c r="A265" s="9"/>
      <c r="I265" s="22"/>
      <c r="L265" s="40"/>
      <c r="M265" s="40"/>
      <c r="N265" s="40"/>
    </row>
    <row r="266">
      <c r="A266" s="9"/>
      <c r="I266" s="22"/>
      <c r="L266" s="40"/>
      <c r="M266" s="40"/>
      <c r="N266" s="40"/>
    </row>
    <row r="267">
      <c r="A267" s="9"/>
      <c r="I267" s="22"/>
      <c r="L267" s="40"/>
      <c r="M267" s="40"/>
      <c r="N267" s="40"/>
    </row>
    <row r="268">
      <c r="A268" s="9"/>
      <c r="I268" s="22"/>
      <c r="L268" s="40"/>
      <c r="M268" s="40"/>
      <c r="N268" s="40"/>
    </row>
    <row r="269">
      <c r="A269" s="9"/>
      <c r="I269" s="22"/>
      <c r="L269" s="40"/>
      <c r="M269" s="40"/>
      <c r="N269" s="40"/>
    </row>
    <row r="270">
      <c r="A270" s="9"/>
      <c r="I270" s="22"/>
      <c r="L270" s="40"/>
      <c r="M270" s="40"/>
      <c r="N270" s="40"/>
    </row>
    <row r="271">
      <c r="A271" s="9"/>
      <c r="I271" s="22"/>
      <c r="L271" s="40"/>
      <c r="M271" s="40"/>
      <c r="N271" s="40"/>
    </row>
    <row r="272">
      <c r="A272" s="9"/>
      <c r="I272" s="22"/>
      <c r="L272" s="40"/>
      <c r="M272" s="40"/>
      <c r="N272" s="40"/>
    </row>
    <row r="273">
      <c r="A273" s="9"/>
      <c r="I273" s="22"/>
      <c r="L273" s="40"/>
      <c r="M273" s="40"/>
      <c r="N273" s="40"/>
    </row>
    <row r="274">
      <c r="A274" s="9"/>
      <c r="I274" s="22"/>
      <c r="L274" s="40"/>
      <c r="M274" s="40"/>
      <c r="N274" s="40"/>
    </row>
    <row r="275">
      <c r="A275" s="9"/>
      <c r="I275" s="22"/>
      <c r="L275" s="40"/>
      <c r="M275" s="40"/>
      <c r="N275" s="40"/>
    </row>
    <row r="276">
      <c r="A276" s="9"/>
      <c r="I276" s="22"/>
      <c r="L276" s="40"/>
      <c r="M276" s="40"/>
      <c r="N276" s="40"/>
    </row>
    <row r="277">
      <c r="A277" s="9"/>
      <c r="I277" s="22"/>
      <c r="L277" s="40"/>
      <c r="M277" s="40"/>
      <c r="N277" s="40"/>
    </row>
    <row r="278">
      <c r="A278" s="9"/>
      <c r="I278" s="22"/>
      <c r="L278" s="40"/>
      <c r="M278" s="40"/>
      <c r="N278" s="40"/>
    </row>
    <row r="279">
      <c r="A279" s="9"/>
      <c r="I279" s="22"/>
      <c r="L279" s="40"/>
      <c r="M279" s="40"/>
      <c r="N279" s="40"/>
    </row>
    <row r="280">
      <c r="A280" s="9"/>
      <c r="I280" s="22"/>
      <c r="L280" s="40"/>
      <c r="M280" s="40"/>
      <c r="N280" s="40"/>
    </row>
    <row r="281">
      <c r="A281" s="9"/>
      <c r="I281" s="22"/>
      <c r="L281" s="40"/>
      <c r="M281" s="40"/>
      <c r="N281" s="40"/>
    </row>
    <row r="282">
      <c r="A282" s="9"/>
      <c r="I282" s="22"/>
      <c r="L282" s="40"/>
      <c r="M282" s="40"/>
      <c r="N282" s="40"/>
    </row>
    <row r="283">
      <c r="A283" s="9"/>
      <c r="I283" s="22"/>
      <c r="L283" s="40"/>
      <c r="M283" s="40"/>
      <c r="N283" s="40"/>
    </row>
    <row r="284">
      <c r="A284" s="9"/>
      <c r="I284" s="22"/>
      <c r="L284" s="40"/>
      <c r="M284" s="40"/>
      <c r="N284" s="40"/>
    </row>
    <row r="285">
      <c r="A285" s="9"/>
      <c r="I285" s="22"/>
      <c r="L285" s="40"/>
      <c r="M285" s="40"/>
      <c r="N285" s="40"/>
    </row>
    <row r="286">
      <c r="A286" s="9"/>
      <c r="I286" s="22"/>
      <c r="L286" s="40"/>
      <c r="M286" s="40"/>
      <c r="N286" s="40"/>
    </row>
    <row r="287">
      <c r="A287" s="9"/>
      <c r="I287" s="22"/>
      <c r="L287" s="40"/>
      <c r="M287" s="40"/>
      <c r="N287" s="40"/>
    </row>
    <row r="288">
      <c r="A288" s="9"/>
      <c r="I288" s="22"/>
      <c r="L288" s="40"/>
      <c r="M288" s="40"/>
      <c r="N288" s="40"/>
    </row>
    <row r="289">
      <c r="A289" s="9"/>
      <c r="I289" s="22"/>
      <c r="L289" s="40"/>
      <c r="M289" s="40"/>
      <c r="N289" s="40"/>
    </row>
    <row r="290">
      <c r="A290" s="9"/>
      <c r="I290" s="22"/>
      <c r="L290" s="40"/>
      <c r="M290" s="40"/>
      <c r="N290" s="40"/>
    </row>
    <row r="291">
      <c r="A291" s="9"/>
      <c r="I291" s="22"/>
      <c r="L291" s="40"/>
      <c r="M291" s="40"/>
      <c r="N291" s="40"/>
    </row>
    <row r="292">
      <c r="A292" s="9"/>
      <c r="I292" s="22"/>
      <c r="L292" s="40"/>
      <c r="M292" s="40"/>
      <c r="N292" s="40"/>
    </row>
    <row r="293">
      <c r="A293" s="9"/>
      <c r="I293" s="22"/>
      <c r="L293" s="40"/>
      <c r="M293" s="40"/>
      <c r="N293" s="40"/>
    </row>
    <row r="294">
      <c r="A294" s="9"/>
      <c r="I294" s="22"/>
      <c r="L294" s="40"/>
      <c r="M294" s="40"/>
      <c r="N294" s="40"/>
    </row>
    <row r="295">
      <c r="A295" s="9"/>
      <c r="I295" s="22"/>
      <c r="L295" s="40"/>
      <c r="M295" s="40"/>
      <c r="N295" s="40"/>
    </row>
    <row r="296">
      <c r="A296" s="9"/>
      <c r="I296" s="22"/>
      <c r="L296" s="40"/>
      <c r="M296" s="40"/>
      <c r="N296" s="40"/>
    </row>
    <row r="297">
      <c r="A297" s="9"/>
      <c r="I297" s="22"/>
      <c r="L297" s="40"/>
      <c r="M297" s="40"/>
      <c r="N297" s="40"/>
    </row>
    <row r="298">
      <c r="A298" s="9"/>
      <c r="I298" s="22"/>
      <c r="L298" s="40"/>
      <c r="M298" s="40"/>
      <c r="N298" s="40"/>
    </row>
    <row r="299">
      <c r="A299" s="9"/>
      <c r="I299" s="22"/>
      <c r="L299" s="40"/>
      <c r="M299" s="40"/>
      <c r="N299" s="40"/>
    </row>
    <row r="300">
      <c r="A300" s="9"/>
      <c r="I300" s="22"/>
      <c r="L300" s="40"/>
      <c r="M300" s="40"/>
      <c r="N300" s="40"/>
    </row>
    <row r="301">
      <c r="A301" s="9"/>
      <c r="I301" s="22"/>
      <c r="L301" s="40"/>
      <c r="M301" s="40"/>
      <c r="N301" s="40"/>
    </row>
    <row r="302">
      <c r="A302" s="9"/>
      <c r="I302" s="22"/>
      <c r="L302" s="40"/>
      <c r="M302" s="40"/>
      <c r="N302" s="40"/>
    </row>
    <row r="303">
      <c r="A303" s="9"/>
      <c r="I303" s="22"/>
      <c r="L303" s="40"/>
      <c r="M303" s="40"/>
      <c r="N303" s="40"/>
    </row>
    <row r="304">
      <c r="A304" s="9"/>
      <c r="I304" s="22"/>
      <c r="L304" s="40"/>
      <c r="M304" s="40"/>
      <c r="N304" s="40"/>
    </row>
    <row r="305">
      <c r="A305" s="9"/>
      <c r="I305" s="22"/>
      <c r="L305" s="40"/>
      <c r="M305" s="40"/>
      <c r="N305" s="40"/>
    </row>
    <row r="306">
      <c r="A306" s="9"/>
      <c r="I306" s="22"/>
      <c r="L306" s="40"/>
      <c r="M306" s="40"/>
      <c r="N306" s="40"/>
    </row>
    <row r="307">
      <c r="A307" s="9"/>
      <c r="I307" s="22"/>
      <c r="L307" s="40"/>
      <c r="M307" s="40"/>
      <c r="N307" s="40"/>
    </row>
    <row r="308">
      <c r="A308" s="9"/>
      <c r="I308" s="22"/>
      <c r="L308" s="40"/>
      <c r="M308" s="40"/>
      <c r="N308" s="40"/>
    </row>
    <row r="309">
      <c r="A309" s="9"/>
      <c r="I309" s="22"/>
      <c r="L309" s="40"/>
      <c r="M309" s="40"/>
      <c r="N309" s="40"/>
    </row>
    <row r="310">
      <c r="A310" s="9"/>
      <c r="I310" s="22"/>
      <c r="L310" s="40"/>
      <c r="M310" s="40"/>
      <c r="N310" s="40"/>
    </row>
    <row r="311">
      <c r="A311" s="9"/>
      <c r="I311" s="22"/>
      <c r="L311" s="40"/>
      <c r="M311" s="40"/>
      <c r="N311" s="40"/>
    </row>
    <row r="312">
      <c r="A312" s="9"/>
      <c r="I312" s="22"/>
      <c r="L312" s="40"/>
      <c r="M312" s="40"/>
      <c r="N312" s="40"/>
    </row>
    <row r="313">
      <c r="A313" s="9"/>
      <c r="I313" s="22"/>
      <c r="L313" s="40"/>
      <c r="M313" s="40"/>
      <c r="N313" s="40"/>
    </row>
    <row r="314">
      <c r="A314" s="9"/>
      <c r="I314" s="22"/>
      <c r="L314" s="40"/>
      <c r="M314" s="40"/>
      <c r="N314" s="40"/>
    </row>
    <row r="315">
      <c r="A315" s="9"/>
      <c r="I315" s="22"/>
      <c r="L315" s="40"/>
      <c r="M315" s="40"/>
      <c r="N315" s="40"/>
    </row>
    <row r="316">
      <c r="A316" s="9"/>
      <c r="I316" s="22"/>
      <c r="L316" s="40"/>
      <c r="M316" s="40"/>
      <c r="N316" s="40"/>
    </row>
    <row r="317">
      <c r="A317" s="9"/>
      <c r="I317" s="22"/>
      <c r="L317" s="40"/>
      <c r="M317" s="40"/>
      <c r="N317" s="40"/>
    </row>
    <row r="318">
      <c r="A318" s="9"/>
      <c r="I318" s="22"/>
      <c r="L318" s="40"/>
      <c r="M318" s="40"/>
      <c r="N318" s="40"/>
    </row>
    <row r="319">
      <c r="A319" s="9"/>
      <c r="I319" s="22"/>
      <c r="L319" s="40"/>
      <c r="M319" s="40"/>
      <c r="N319" s="40"/>
    </row>
    <row r="320">
      <c r="A320" s="9"/>
      <c r="I320" s="22"/>
      <c r="L320" s="40"/>
      <c r="M320" s="40"/>
      <c r="N320" s="40"/>
    </row>
    <row r="321">
      <c r="A321" s="9"/>
      <c r="I321" s="22"/>
      <c r="L321" s="40"/>
      <c r="M321" s="40"/>
      <c r="N321" s="40"/>
    </row>
    <row r="322">
      <c r="A322" s="9"/>
      <c r="I322" s="22"/>
      <c r="L322" s="40"/>
      <c r="M322" s="40"/>
      <c r="N322" s="40"/>
    </row>
    <row r="323">
      <c r="A323" s="9"/>
      <c r="I323" s="22"/>
      <c r="L323" s="40"/>
      <c r="M323" s="40"/>
      <c r="N323" s="40"/>
    </row>
    <row r="324">
      <c r="A324" s="9"/>
      <c r="I324" s="22"/>
      <c r="L324" s="40"/>
      <c r="M324" s="40"/>
      <c r="N324" s="40"/>
    </row>
    <row r="325">
      <c r="A325" s="9"/>
      <c r="I325" s="22"/>
      <c r="L325" s="40"/>
      <c r="M325" s="40"/>
      <c r="N325" s="40"/>
    </row>
    <row r="326">
      <c r="A326" s="9"/>
      <c r="I326" s="22"/>
      <c r="L326" s="40"/>
      <c r="M326" s="40"/>
      <c r="N326" s="40"/>
    </row>
    <row r="327">
      <c r="A327" s="9"/>
      <c r="I327" s="22"/>
      <c r="L327" s="40"/>
      <c r="M327" s="40"/>
      <c r="N327" s="40"/>
    </row>
    <row r="328">
      <c r="A328" s="9"/>
      <c r="I328" s="22"/>
      <c r="L328" s="40"/>
      <c r="M328" s="40"/>
      <c r="N328" s="40"/>
    </row>
    <row r="329">
      <c r="A329" s="9"/>
      <c r="I329" s="22"/>
      <c r="L329" s="40"/>
      <c r="M329" s="40"/>
      <c r="N329" s="40"/>
    </row>
    <row r="330">
      <c r="A330" s="9"/>
      <c r="I330" s="22"/>
      <c r="L330" s="40"/>
      <c r="M330" s="40"/>
      <c r="N330" s="40"/>
    </row>
    <row r="331">
      <c r="A331" s="9"/>
      <c r="I331" s="22"/>
      <c r="L331" s="40"/>
      <c r="M331" s="40"/>
      <c r="N331" s="40"/>
    </row>
    <row r="332">
      <c r="A332" s="9"/>
      <c r="I332" s="22"/>
      <c r="L332" s="40"/>
      <c r="M332" s="40"/>
      <c r="N332" s="40"/>
    </row>
    <row r="333">
      <c r="A333" s="9"/>
      <c r="I333" s="22"/>
      <c r="L333" s="40"/>
      <c r="M333" s="40"/>
      <c r="N333" s="40"/>
    </row>
    <row r="334">
      <c r="A334" s="9"/>
      <c r="I334" s="22"/>
      <c r="L334" s="40"/>
      <c r="M334" s="40"/>
      <c r="N334" s="40"/>
    </row>
    <row r="335">
      <c r="A335" s="9"/>
      <c r="I335" s="22"/>
      <c r="L335" s="40"/>
      <c r="M335" s="40"/>
      <c r="N335" s="40"/>
    </row>
    <row r="336">
      <c r="A336" s="9"/>
      <c r="I336" s="22"/>
      <c r="L336" s="40"/>
      <c r="M336" s="40"/>
      <c r="N336" s="40"/>
    </row>
    <row r="337">
      <c r="A337" s="9"/>
      <c r="I337" s="22"/>
      <c r="L337" s="40"/>
      <c r="M337" s="40"/>
      <c r="N337" s="40"/>
    </row>
    <row r="338">
      <c r="A338" s="9"/>
      <c r="I338" s="22"/>
      <c r="L338" s="40"/>
      <c r="M338" s="40"/>
      <c r="N338" s="40"/>
    </row>
    <row r="339">
      <c r="A339" s="9"/>
      <c r="I339" s="22"/>
      <c r="L339" s="40"/>
      <c r="M339" s="40"/>
      <c r="N339" s="40"/>
    </row>
    <row r="340">
      <c r="A340" s="9"/>
      <c r="I340" s="22"/>
      <c r="L340" s="40"/>
      <c r="M340" s="40"/>
      <c r="N340" s="40"/>
    </row>
    <row r="341">
      <c r="A341" s="9"/>
      <c r="I341" s="22"/>
      <c r="L341" s="40"/>
      <c r="M341" s="40"/>
      <c r="N341" s="40"/>
    </row>
    <row r="342">
      <c r="A342" s="9"/>
      <c r="I342" s="22"/>
      <c r="L342" s="40"/>
      <c r="M342" s="40"/>
      <c r="N342" s="40"/>
    </row>
    <row r="343">
      <c r="A343" s="9"/>
      <c r="I343" s="22"/>
      <c r="L343" s="40"/>
      <c r="M343" s="40"/>
      <c r="N343" s="40"/>
    </row>
    <row r="344">
      <c r="A344" s="9"/>
      <c r="I344" s="22"/>
      <c r="L344" s="40"/>
      <c r="M344" s="40"/>
      <c r="N344" s="40"/>
    </row>
    <row r="345">
      <c r="A345" s="9"/>
      <c r="I345" s="22"/>
      <c r="L345" s="40"/>
      <c r="M345" s="40"/>
      <c r="N345" s="40"/>
    </row>
    <row r="346">
      <c r="A346" s="9"/>
      <c r="I346" s="22"/>
      <c r="L346" s="40"/>
      <c r="M346" s="40"/>
      <c r="N346" s="40"/>
    </row>
    <row r="347">
      <c r="A347" s="9"/>
      <c r="I347" s="22"/>
      <c r="L347" s="40"/>
      <c r="M347" s="40"/>
      <c r="N347" s="40"/>
    </row>
    <row r="348">
      <c r="A348" s="9"/>
      <c r="I348" s="22"/>
      <c r="L348" s="40"/>
      <c r="M348" s="40"/>
      <c r="N348" s="40"/>
    </row>
    <row r="349">
      <c r="A349" s="9"/>
      <c r="I349" s="22"/>
      <c r="L349" s="40"/>
      <c r="M349" s="40"/>
      <c r="N349" s="40"/>
    </row>
    <row r="350">
      <c r="A350" s="9"/>
      <c r="I350" s="22"/>
      <c r="L350" s="40"/>
      <c r="M350" s="40"/>
      <c r="N350" s="40"/>
    </row>
    <row r="351">
      <c r="A351" s="9"/>
      <c r="I351" s="22"/>
      <c r="L351" s="40"/>
      <c r="M351" s="40"/>
      <c r="N351" s="40"/>
    </row>
    <row r="352">
      <c r="A352" s="9"/>
      <c r="I352" s="22"/>
      <c r="L352" s="40"/>
      <c r="M352" s="40"/>
      <c r="N352" s="40"/>
    </row>
    <row r="353">
      <c r="A353" s="9"/>
      <c r="I353" s="22"/>
      <c r="L353" s="40"/>
      <c r="M353" s="40"/>
      <c r="N353" s="40"/>
    </row>
    <row r="354">
      <c r="A354" s="9"/>
      <c r="I354" s="22"/>
      <c r="L354" s="40"/>
      <c r="M354" s="40"/>
      <c r="N354" s="40"/>
    </row>
    <row r="355">
      <c r="A355" s="9"/>
      <c r="I355" s="22"/>
      <c r="L355" s="40"/>
      <c r="M355" s="40"/>
      <c r="N355" s="40"/>
    </row>
    <row r="356">
      <c r="A356" s="9"/>
      <c r="I356" s="22"/>
      <c r="L356" s="40"/>
      <c r="M356" s="40"/>
      <c r="N356" s="40"/>
    </row>
    <row r="357">
      <c r="A357" s="9"/>
      <c r="I357" s="22"/>
      <c r="L357" s="40"/>
      <c r="M357" s="40"/>
      <c r="N357" s="40"/>
    </row>
    <row r="358">
      <c r="A358" s="9"/>
      <c r="I358" s="22"/>
      <c r="L358" s="40"/>
      <c r="M358" s="40"/>
      <c r="N358" s="40"/>
    </row>
    <row r="359">
      <c r="A359" s="9"/>
      <c r="I359" s="22"/>
      <c r="L359" s="40"/>
      <c r="M359" s="40"/>
      <c r="N359" s="40"/>
    </row>
    <row r="360">
      <c r="A360" s="9"/>
      <c r="I360" s="22"/>
      <c r="L360" s="40"/>
      <c r="M360" s="40"/>
      <c r="N360" s="40"/>
    </row>
    <row r="361">
      <c r="A361" s="9"/>
      <c r="I361" s="22"/>
      <c r="L361" s="40"/>
      <c r="M361" s="40"/>
      <c r="N361" s="40"/>
    </row>
    <row r="362">
      <c r="A362" s="9"/>
      <c r="I362" s="22"/>
      <c r="L362" s="40"/>
      <c r="M362" s="40"/>
      <c r="N362" s="40"/>
    </row>
    <row r="363">
      <c r="A363" s="9"/>
      <c r="I363" s="22"/>
      <c r="L363" s="40"/>
      <c r="M363" s="40"/>
      <c r="N363" s="40"/>
    </row>
    <row r="364">
      <c r="A364" s="9"/>
      <c r="I364" s="22"/>
      <c r="L364" s="40"/>
      <c r="M364" s="40"/>
      <c r="N364" s="40"/>
    </row>
    <row r="365">
      <c r="A365" s="9"/>
      <c r="I365" s="22"/>
      <c r="L365" s="40"/>
      <c r="M365" s="40"/>
      <c r="N365" s="40"/>
    </row>
    <row r="366">
      <c r="A366" s="9"/>
      <c r="I366" s="22"/>
      <c r="L366" s="40"/>
      <c r="M366" s="40"/>
      <c r="N366" s="40"/>
    </row>
    <row r="367">
      <c r="A367" s="9"/>
      <c r="I367" s="22"/>
      <c r="L367" s="40"/>
      <c r="M367" s="40"/>
      <c r="N367" s="40"/>
    </row>
    <row r="368">
      <c r="A368" s="9"/>
      <c r="I368" s="22"/>
      <c r="L368" s="40"/>
      <c r="M368" s="40"/>
      <c r="N368" s="40"/>
    </row>
    <row r="369">
      <c r="A369" s="9"/>
      <c r="I369" s="22"/>
      <c r="L369" s="40"/>
      <c r="M369" s="40"/>
      <c r="N369" s="40"/>
    </row>
    <row r="370">
      <c r="A370" s="9"/>
      <c r="I370" s="22"/>
      <c r="L370" s="40"/>
      <c r="M370" s="40"/>
      <c r="N370" s="40"/>
    </row>
    <row r="371">
      <c r="A371" s="9"/>
      <c r="I371" s="22"/>
      <c r="L371" s="40"/>
      <c r="M371" s="40"/>
      <c r="N371" s="40"/>
    </row>
    <row r="372">
      <c r="A372" s="9"/>
      <c r="I372" s="22"/>
      <c r="L372" s="40"/>
      <c r="M372" s="40"/>
      <c r="N372" s="40"/>
    </row>
    <row r="373">
      <c r="A373" s="9"/>
      <c r="I373" s="22"/>
      <c r="L373" s="40"/>
      <c r="M373" s="40"/>
      <c r="N373" s="40"/>
    </row>
    <row r="374">
      <c r="A374" s="9"/>
      <c r="I374" s="22"/>
      <c r="L374" s="40"/>
      <c r="M374" s="40"/>
      <c r="N374" s="40"/>
    </row>
    <row r="375">
      <c r="A375" s="9"/>
      <c r="I375" s="22"/>
      <c r="L375" s="40"/>
      <c r="M375" s="40"/>
      <c r="N375" s="40"/>
    </row>
    <row r="376">
      <c r="A376" s="9"/>
      <c r="I376" s="22"/>
      <c r="L376" s="40"/>
      <c r="M376" s="40"/>
      <c r="N376" s="40"/>
    </row>
    <row r="377">
      <c r="A377" s="9"/>
      <c r="I377" s="22"/>
      <c r="L377" s="40"/>
      <c r="M377" s="40"/>
      <c r="N377" s="40"/>
    </row>
    <row r="378">
      <c r="A378" s="9"/>
      <c r="I378" s="22"/>
      <c r="L378" s="40"/>
      <c r="M378" s="40"/>
      <c r="N378" s="40"/>
    </row>
    <row r="379">
      <c r="A379" s="9"/>
      <c r="I379" s="22"/>
      <c r="L379" s="40"/>
      <c r="M379" s="40"/>
      <c r="N379" s="40"/>
    </row>
    <row r="380">
      <c r="A380" s="9"/>
      <c r="I380" s="22"/>
      <c r="L380" s="40"/>
      <c r="M380" s="40"/>
      <c r="N380" s="40"/>
    </row>
    <row r="381">
      <c r="A381" s="9"/>
      <c r="I381" s="22"/>
      <c r="L381" s="40"/>
      <c r="M381" s="40"/>
      <c r="N381" s="40"/>
    </row>
    <row r="382">
      <c r="A382" s="9"/>
      <c r="I382" s="22"/>
      <c r="L382" s="40"/>
      <c r="M382" s="40"/>
      <c r="N382" s="40"/>
    </row>
    <row r="383">
      <c r="A383" s="9"/>
      <c r="I383" s="22"/>
      <c r="L383" s="40"/>
      <c r="M383" s="40"/>
      <c r="N383" s="40"/>
    </row>
    <row r="384">
      <c r="A384" s="9"/>
      <c r="I384" s="22"/>
      <c r="L384" s="40"/>
      <c r="M384" s="40"/>
      <c r="N384" s="40"/>
    </row>
    <row r="385">
      <c r="A385" s="9"/>
      <c r="I385" s="22"/>
      <c r="L385" s="40"/>
      <c r="M385" s="40"/>
      <c r="N385" s="40"/>
    </row>
    <row r="386">
      <c r="A386" s="9"/>
      <c r="I386" s="22"/>
      <c r="L386" s="40"/>
      <c r="M386" s="40"/>
      <c r="N386" s="40"/>
    </row>
    <row r="387">
      <c r="A387" s="9"/>
      <c r="I387" s="22"/>
      <c r="L387" s="40"/>
      <c r="M387" s="40"/>
      <c r="N387" s="40"/>
    </row>
    <row r="388">
      <c r="A388" s="9"/>
      <c r="I388" s="22"/>
      <c r="L388" s="40"/>
      <c r="M388" s="40"/>
      <c r="N388" s="40"/>
    </row>
    <row r="389">
      <c r="A389" s="9"/>
      <c r="I389" s="22"/>
      <c r="L389" s="40"/>
      <c r="M389" s="40"/>
      <c r="N389" s="40"/>
    </row>
    <row r="390">
      <c r="A390" s="9"/>
      <c r="I390" s="22"/>
      <c r="L390" s="40"/>
      <c r="M390" s="40"/>
      <c r="N390" s="40"/>
    </row>
    <row r="391">
      <c r="A391" s="9"/>
      <c r="I391" s="22"/>
      <c r="L391" s="40"/>
      <c r="M391" s="40"/>
      <c r="N391" s="40"/>
    </row>
    <row r="392">
      <c r="A392" s="9"/>
      <c r="I392" s="22"/>
      <c r="L392" s="40"/>
      <c r="M392" s="40"/>
      <c r="N392" s="40"/>
    </row>
    <row r="393">
      <c r="A393" s="9"/>
      <c r="I393" s="22"/>
      <c r="L393" s="40"/>
      <c r="M393" s="40"/>
      <c r="N393" s="40"/>
    </row>
    <row r="394">
      <c r="A394" s="9"/>
      <c r="I394" s="22"/>
      <c r="L394" s="40"/>
      <c r="M394" s="40"/>
      <c r="N394" s="40"/>
    </row>
    <row r="395">
      <c r="A395" s="9"/>
      <c r="I395" s="22"/>
      <c r="L395" s="40"/>
      <c r="M395" s="40"/>
      <c r="N395" s="40"/>
    </row>
    <row r="396">
      <c r="A396" s="9"/>
      <c r="I396" s="22"/>
      <c r="L396" s="40"/>
      <c r="M396" s="40"/>
      <c r="N396" s="40"/>
    </row>
    <row r="397">
      <c r="A397" s="9"/>
      <c r="I397" s="22"/>
      <c r="L397" s="40"/>
      <c r="M397" s="40"/>
      <c r="N397" s="40"/>
    </row>
    <row r="398">
      <c r="A398" s="9"/>
      <c r="I398" s="22"/>
      <c r="L398" s="40"/>
      <c r="M398" s="40"/>
      <c r="N398" s="40"/>
    </row>
    <row r="399">
      <c r="A399" s="9"/>
      <c r="I399" s="22"/>
      <c r="L399" s="40"/>
      <c r="M399" s="40"/>
      <c r="N399" s="40"/>
    </row>
    <row r="400">
      <c r="A400" s="9"/>
      <c r="I400" s="22"/>
      <c r="L400" s="40"/>
      <c r="M400" s="40"/>
      <c r="N400" s="40"/>
    </row>
    <row r="401">
      <c r="A401" s="9"/>
      <c r="I401" s="22"/>
      <c r="L401" s="40"/>
      <c r="M401" s="40"/>
      <c r="N401" s="40"/>
    </row>
    <row r="402">
      <c r="A402" s="9"/>
      <c r="I402" s="22"/>
      <c r="L402" s="40"/>
      <c r="M402" s="40"/>
      <c r="N402" s="40"/>
    </row>
    <row r="403">
      <c r="A403" s="9"/>
      <c r="I403" s="22"/>
      <c r="L403" s="40"/>
      <c r="M403" s="40"/>
      <c r="N403" s="40"/>
    </row>
    <row r="404">
      <c r="A404" s="9"/>
      <c r="I404" s="22"/>
      <c r="L404" s="40"/>
      <c r="M404" s="40"/>
      <c r="N404" s="40"/>
    </row>
    <row r="405">
      <c r="A405" s="9"/>
      <c r="I405" s="22"/>
      <c r="L405" s="40"/>
      <c r="M405" s="40"/>
      <c r="N405" s="40"/>
    </row>
    <row r="406">
      <c r="A406" s="9"/>
      <c r="I406" s="22"/>
      <c r="L406" s="40"/>
      <c r="M406" s="40"/>
      <c r="N406" s="40"/>
    </row>
    <row r="407">
      <c r="A407" s="9"/>
      <c r="I407" s="22"/>
      <c r="L407" s="40"/>
      <c r="M407" s="40"/>
      <c r="N407" s="40"/>
    </row>
    <row r="408">
      <c r="A408" s="9"/>
      <c r="I408" s="22"/>
      <c r="L408" s="40"/>
      <c r="M408" s="40"/>
      <c r="N408" s="40"/>
    </row>
    <row r="409">
      <c r="A409" s="9"/>
      <c r="I409" s="22"/>
      <c r="L409" s="40"/>
      <c r="M409" s="40"/>
      <c r="N409" s="40"/>
    </row>
    <row r="410">
      <c r="A410" s="9"/>
      <c r="I410" s="22"/>
      <c r="L410" s="40"/>
      <c r="M410" s="40"/>
      <c r="N410" s="40"/>
    </row>
    <row r="411">
      <c r="A411" s="9"/>
      <c r="I411" s="22"/>
      <c r="L411" s="40"/>
      <c r="M411" s="40"/>
      <c r="N411" s="40"/>
    </row>
    <row r="412">
      <c r="A412" s="9"/>
      <c r="I412" s="22"/>
      <c r="L412" s="40"/>
      <c r="M412" s="40"/>
      <c r="N412" s="40"/>
    </row>
    <row r="413">
      <c r="A413" s="9"/>
      <c r="I413" s="22"/>
      <c r="L413" s="40"/>
      <c r="M413" s="40"/>
      <c r="N413" s="40"/>
    </row>
    <row r="414">
      <c r="A414" s="9"/>
      <c r="I414" s="22"/>
      <c r="L414" s="40"/>
      <c r="M414" s="40"/>
      <c r="N414" s="40"/>
    </row>
    <row r="415">
      <c r="A415" s="9"/>
      <c r="I415" s="22"/>
      <c r="L415" s="40"/>
      <c r="M415" s="40"/>
      <c r="N415" s="40"/>
    </row>
    <row r="416">
      <c r="A416" s="9"/>
      <c r="I416" s="22"/>
      <c r="L416" s="40"/>
      <c r="M416" s="40"/>
      <c r="N416" s="40"/>
    </row>
    <row r="417">
      <c r="A417" s="9"/>
      <c r="I417" s="22"/>
      <c r="L417" s="40"/>
      <c r="M417" s="40"/>
      <c r="N417" s="40"/>
    </row>
    <row r="418">
      <c r="A418" s="9"/>
      <c r="I418" s="22"/>
      <c r="L418" s="40"/>
      <c r="M418" s="40"/>
      <c r="N418" s="40"/>
    </row>
    <row r="419">
      <c r="A419" s="9"/>
      <c r="I419" s="22"/>
      <c r="L419" s="40"/>
      <c r="M419" s="40"/>
      <c r="N419" s="40"/>
    </row>
    <row r="420">
      <c r="A420" s="9"/>
      <c r="I420" s="22"/>
      <c r="L420" s="40"/>
      <c r="M420" s="40"/>
      <c r="N420" s="40"/>
    </row>
    <row r="421">
      <c r="A421" s="9"/>
      <c r="I421" s="22"/>
      <c r="L421" s="40"/>
      <c r="M421" s="40"/>
      <c r="N421" s="40"/>
    </row>
    <row r="422">
      <c r="A422" s="9"/>
      <c r="I422" s="22"/>
      <c r="L422" s="40"/>
      <c r="M422" s="40"/>
      <c r="N422" s="40"/>
    </row>
    <row r="423">
      <c r="A423" s="9"/>
      <c r="I423" s="22"/>
      <c r="L423" s="40"/>
      <c r="M423" s="40"/>
      <c r="N423" s="40"/>
    </row>
    <row r="424">
      <c r="A424" s="9"/>
      <c r="I424" s="22"/>
      <c r="L424" s="40"/>
      <c r="M424" s="40"/>
      <c r="N424" s="40"/>
    </row>
    <row r="425">
      <c r="A425" s="9"/>
      <c r="I425" s="22"/>
      <c r="L425" s="40"/>
      <c r="M425" s="40"/>
      <c r="N425" s="40"/>
    </row>
    <row r="426">
      <c r="A426" s="9"/>
      <c r="I426" s="22"/>
      <c r="L426" s="40"/>
      <c r="M426" s="40"/>
      <c r="N426" s="40"/>
    </row>
    <row r="427">
      <c r="A427" s="9"/>
      <c r="I427" s="22"/>
      <c r="L427" s="40"/>
      <c r="M427" s="40"/>
      <c r="N427" s="40"/>
    </row>
    <row r="428">
      <c r="A428" s="9"/>
      <c r="I428" s="22"/>
      <c r="L428" s="40"/>
      <c r="M428" s="40"/>
      <c r="N428" s="40"/>
    </row>
    <row r="429">
      <c r="A429" s="9"/>
      <c r="I429" s="22"/>
      <c r="L429" s="40"/>
      <c r="M429" s="40"/>
      <c r="N429" s="40"/>
    </row>
    <row r="430">
      <c r="A430" s="9"/>
      <c r="I430" s="22"/>
      <c r="L430" s="40"/>
      <c r="M430" s="40"/>
      <c r="N430" s="40"/>
    </row>
    <row r="431">
      <c r="A431" s="9"/>
      <c r="I431" s="22"/>
      <c r="L431" s="40"/>
      <c r="M431" s="40"/>
      <c r="N431" s="40"/>
    </row>
    <row r="432">
      <c r="A432" s="9"/>
      <c r="I432" s="22"/>
      <c r="L432" s="40"/>
      <c r="M432" s="40"/>
      <c r="N432" s="40"/>
    </row>
    <row r="433">
      <c r="A433" s="9"/>
      <c r="I433" s="22"/>
      <c r="L433" s="40"/>
      <c r="M433" s="40"/>
      <c r="N433" s="40"/>
    </row>
    <row r="434">
      <c r="A434" s="9"/>
      <c r="I434" s="22"/>
      <c r="L434" s="40"/>
      <c r="M434" s="40"/>
      <c r="N434" s="40"/>
    </row>
    <row r="435">
      <c r="A435" s="9"/>
      <c r="I435" s="22"/>
      <c r="L435" s="40"/>
      <c r="M435" s="40"/>
      <c r="N435" s="40"/>
    </row>
    <row r="436">
      <c r="A436" s="9"/>
      <c r="I436" s="22"/>
      <c r="L436" s="40"/>
      <c r="M436" s="40"/>
      <c r="N436" s="40"/>
    </row>
    <row r="437">
      <c r="A437" s="9"/>
      <c r="I437" s="22"/>
      <c r="L437" s="40"/>
      <c r="M437" s="40"/>
      <c r="N437" s="40"/>
    </row>
    <row r="438">
      <c r="A438" s="9"/>
      <c r="I438" s="22"/>
      <c r="L438" s="40"/>
      <c r="M438" s="40"/>
      <c r="N438" s="40"/>
    </row>
    <row r="439">
      <c r="A439" s="9"/>
      <c r="I439" s="22"/>
      <c r="L439" s="40"/>
      <c r="M439" s="40"/>
      <c r="N439" s="40"/>
    </row>
    <row r="440">
      <c r="A440" s="9"/>
      <c r="I440" s="22"/>
      <c r="L440" s="40"/>
      <c r="M440" s="40"/>
      <c r="N440" s="40"/>
    </row>
    <row r="441">
      <c r="A441" s="9"/>
      <c r="I441" s="22"/>
      <c r="L441" s="40"/>
      <c r="M441" s="40"/>
      <c r="N441" s="40"/>
    </row>
    <row r="442">
      <c r="A442" s="9"/>
      <c r="I442" s="22"/>
      <c r="L442" s="40"/>
      <c r="M442" s="40"/>
      <c r="N442" s="40"/>
    </row>
    <row r="443">
      <c r="A443" s="9"/>
      <c r="I443" s="22"/>
      <c r="L443" s="40"/>
      <c r="M443" s="40"/>
      <c r="N443" s="40"/>
    </row>
    <row r="444">
      <c r="A444" s="9"/>
      <c r="I444" s="22"/>
      <c r="L444" s="40"/>
      <c r="M444" s="40"/>
      <c r="N444" s="40"/>
    </row>
    <row r="445">
      <c r="A445" s="9"/>
      <c r="I445" s="22"/>
      <c r="L445" s="40"/>
      <c r="M445" s="40"/>
      <c r="N445" s="40"/>
    </row>
    <row r="446">
      <c r="A446" s="9"/>
      <c r="I446" s="22"/>
      <c r="L446" s="40"/>
      <c r="M446" s="40"/>
      <c r="N446" s="40"/>
    </row>
    <row r="447">
      <c r="A447" s="9"/>
      <c r="I447" s="22"/>
      <c r="L447" s="40"/>
      <c r="M447" s="40"/>
      <c r="N447" s="40"/>
    </row>
    <row r="448">
      <c r="A448" s="9"/>
      <c r="I448" s="22"/>
      <c r="L448" s="40"/>
      <c r="M448" s="40"/>
      <c r="N448" s="40"/>
    </row>
    <row r="449">
      <c r="A449" s="9"/>
      <c r="I449" s="22"/>
      <c r="L449" s="40"/>
      <c r="M449" s="40"/>
      <c r="N449" s="40"/>
    </row>
    <row r="450">
      <c r="A450" s="9"/>
      <c r="I450" s="22"/>
      <c r="L450" s="40"/>
      <c r="M450" s="40"/>
      <c r="N450" s="40"/>
    </row>
    <row r="451">
      <c r="A451" s="9"/>
      <c r="I451" s="22"/>
      <c r="L451" s="40"/>
      <c r="M451" s="40"/>
      <c r="N451" s="40"/>
    </row>
    <row r="452">
      <c r="A452" s="9"/>
      <c r="I452" s="22"/>
      <c r="L452" s="40"/>
      <c r="M452" s="40"/>
      <c r="N452" s="40"/>
    </row>
    <row r="453">
      <c r="A453" s="9"/>
      <c r="I453" s="22"/>
      <c r="L453" s="40"/>
      <c r="M453" s="40"/>
      <c r="N453" s="40"/>
    </row>
    <row r="454">
      <c r="A454" s="9"/>
      <c r="I454" s="22"/>
      <c r="L454" s="40"/>
      <c r="M454" s="40"/>
      <c r="N454" s="40"/>
    </row>
    <row r="455">
      <c r="A455" s="9"/>
      <c r="I455" s="22"/>
      <c r="L455" s="40"/>
      <c r="M455" s="40"/>
      <c r="N455" s="40"/>
    </row>
    <row r="456">
      <c r="A456" s="9"/>
      <c r="I456" s="22"/>
      <c r="L456" s="40"/>
      <c r="M456" s="40"/>
      <c r="N456" s="40"/>
    </row>
    <row r="457">
      <c r="A457" s="9"/>
      <c r="I457" s="22"/>
      <c r="L457" s="40"/>
      <c r="M457" s="40"/>
      <c r="N457" s="40"/>
    </row>
    <row r="458">
      <c r="A458" s="9"/>
      <c r="I458" s="22"/>
      <c r="L458" s="40"/>
      <c r="M458" s="40"/>
      <c r="N458" s="40"/>
    </row>
    <row r="459">
      <c r="A459" s="9"/>
      <c r="I459" s="22"/>
      <c r="L459" s="40"/>
      <c r="M459" s="40"/>
      <c r="N459" s="40"/>
    </row>
    <row r="460">
      <c r="A460" s="9"/>
      <c r="I460" s="22"/>
      <c r="L460" s="40"/>
      <c r="M460" s="40"/>
      <c r="N460" s="40"/>
    </row>
    <row r="461">
      <c r="A461" s="9"/>
      <c r="I461" s="22"/>
      <c r="L461" s="40"/>
      <c r="M461" s="40"/>
      <c r="N461" s="40"/>
    </row>
    <row r="462">
      <c r="A462" s="9"/>
      <c r="I462" s="22"/>
      <c r="L462" s="40"/>
      <c r="M462" s="40"/>
      <c r="N462" s="40"/>
    </row>
    <row r="463">
      <c r="A463" s="9"/>
      <c r="I463" s="22"/>
      <c r="L463" s="40"/>
      <c r="M463" s="40"/>
      <c r="N463" s="40"/>
    </row>
    <row r="464">
      <c r="A464" s="9"/>
      <c r="I464" s="22"/>
      <c r="L464" s="40"/>
      <c r="M464" s="40"/>
      <c r="N464" s="40"/>
    </row>
    <row r="465">
      <c r="A465" s="9"/>
      <c r="I465" s="22"/>
      <c r="L465" s="40"/>
      <c r="M465" s="40"/>
      <c r="N465" s="40"/>
    </row>
    <row r="466">
      <c r="A466" s="9"/>
      <c r="I466" s="22"/>
      <c r="L466" s="40"/>
      <c r="M466" s="40"/>
      <c r="N466" s="40"/>
    </row>
    <row r="467">
      <c r="A467" s="9"/>
      <c r="I467" s="22"/>
      <c r="L467" s="40"/>
      <c r="M467" s="40"/>
      <c r="N467" s="40"/>
    </row>
    <row r="468">
      <c r="A468" s="9"/>
      <c r="I468" s="22"/>
      <c r="L468" s="40"/>
      <c r="M468" s="40"/>
      <c r="N468" s="40"/>
    </row>
    <row r="469">
      <c r="A469" s="9"/>
      <c r="I469" s="22"/>
      <c r="L469" s="40"/>
      <c r="M469" s="40"/>
      <c r="N469" s="40"/>
    </row>
    <row r="470">
      <c r="A470" s="9"/>
      <c r="I470" s="22"/>
      <c r="L470" s="40"/>
      <c r="M470" s="40"/>
      <c r="N470" s="40"/>
    </row>
    <row r="471">
      <c r="A471" s="9"/>
      <c r="I471" s="22"/>
      <c r="L471" s="40"/>
      <c r="M471" s="40"/>
      <c r="N471" s="40"/>
    </row>
    <row r="472">
      <c r="A472" s="9"/>
      <c r="I472" s="22"/>
      <c r="L472" s="40"/>
      <c r="M472" s="40"/>
      <c r="N472" s="40"/>
    </row>
    <row r="473">
      <c r="A473" s="9"/>
      <c r="I473" s="22"/>
      <c r="L473" s="40"/>
      <c r="M473" s="40"/>
      <c r="N473" s="40"/>
    </row>
    <row r="474">
      <c r="A474" s="9"/>
      <c r="I474" s="22"/>
      <c r="L474" s="40"/>
      <c r="M474" s="40"/>
      <c r="N474" s="40"/>
    </row>
    <row r="475">
      <c r="A475" s="9"/>
      <c r="I475" s="22"/>
      <c r="L475" s="40"/>
      <c r="M475" s="40"/>
      <c r="N475" s="40"/>
    </row>
    <row r="476">
      <c r="A476" s="9"/>
      <c r="I476" s="22"/>
      <c r="L476" s="40"/>
      <c r="M476" s="40"/>
      <c r="N476" s="40"/>
    </row>
    <row r="477">
      <c r="A477" s="9"/>
      <c r="I477" s="22"/>
      <c r="L477" s="40"/>
      <c r="M477" s="40"/>
      <c r="N477" s="40"/>
    </row>
    <row r="478">
      <c r="A478" s="9"/>
      <c r="I478" s="22"/>
      <c r="L478" s="40"/>
      <c r="M478" s="40"/>
      <c r="N478" s="40"/>
    </row>
    <row r="479">
      <c r="A479" s="9"/>
      <c r="I479" s="22"/>
      <c r="L479" s="40"/>
      <c r="M479" s="40"/>
      <c r="N479" s="40"/>
    </row>
    <row r="480">
      <c r="A480" s="9"/>
      <c r="I480" s="22"/>
      <c r="L480" s="40"/>
      <c r="M480" s="40"/>
      <c r="N480" s="40"/>
    </row>
    <row r="481">
      <c r="A481" s="9"/>
      <c r="I481" s="22"/>
      <c r="L481" s="40"/>
      <c r="M481" s="40"/>
      <c r="N481" s="40"/>
    </row>
    <row r="482">
      <c r="A482" s="9"/>
      <c r="I482" s="22"/>
      <c r="L482" s="40"/>
      <c r="M482" s="40"/>
      <c r="N482" s="40"/>
    </row>
    <row r="483">
      <c r="A483" s="9"/>
      <c r="I483" s="22"/>
      <c r="L483" s="40"/>
      <c r="M483" s="40"/>
      <c r="N483" s="40"/>
    </row>
    <row r="484">
      <c r="A484" s="9"/>
      <c r="I484" s="22"/>
      <c r="L484" s="40"/>
      <c r="M484" s="40"/>
      <c r="N484" s="40"/>
    </row>
    <row r="485">
      <c r="A485" s="9"/>
      <c r="I485" s="22"/>
      <c r="L485" s="40"/>
      <c r="M485" s="40"/>
      <c r="N485" s="40"/>
    </row>
    <row r="486">
      <c r="A486" s="9"/>
      <c r="I486" s="22"/>
      <c r="L486" s="40"/>
      <c r="M486" s="40"/>
      <c r="N486" s="40"/>
    </row>
    <row r="487">
      <c r="A487" s="9"/>
      <c r="I487" s="22"/>
      <c r="L487" s="40"/>
      <c r="M487" s="40"/>
      <c r="N487" s="40"/>
    </row>
    <row r="488">
      <c r="A488" s="9"/>
      <c r="I488" s="22"/>
      <c r="L488" s="40"/>
      <c r="M488" s="40"/>
      <c r="N488" s="40"/>
    </row>
    <row r="489">
      <c r="A489" s="9"/>
      <c r="I489" s="22"/>
      <c r="L489" s="40"/>
      <c r="M489" s="40"/>
      <c r="N489" s="40"/>
    </row>
    <row r="490">
      <c r="A490" s="9"/>
      <c r="I490" s="22"/>
      <c r="L490" s="40"/>
      <c r="M490" s="40"/>
      <c r="N490" s="40"/>
    </row>
    <row r="491">
      <c r="A491" s="9"/>
      <c r="I491" s="22"/>
      <c r="L491" s="40"/>
      <c r="M491" s="40"/>
      <c r="N491" s="40"/>
    </row>
    <row r="492">
      <c r="A492" s="9"/>
      <c r="I492" s="22"/>
      <c r="L492" s="40"/>
      <c r="M492" s="40"/>
      <c r="N492" s="40"/>
    </row>
    <row r="493">
      <c r="A493" s="9"/>
      <c r="I493" s="22"/>
      <c r="L493" s="40"/>
      <c r="M493" s="40"/>
      <c r="N493" s="40"/>
    </row>
    <row r="494">
      <c r="A494" s="9"/>
      <c r="I494" s="22"/>
      <c r="L494" s="40"/>
      <c r="M494" s="40"/>
      <c r="N494" s="40"/>
    </row>
    <row r="495">
      <c r="A495" s="9"/>
      <c r="I495" s="22"/>
      <c r="L495" s="40"/>
      <c r="M495" s="40"/>
      <c r="N495" s="40"/>
    </row>
    <row r="496">
      <c r="A496" s="9"/>
      <c r="I496" s="22"/>
      <c r="L496" s="40"/>
      <c r="M496" s="40"/>
      <c r="N496" s="40"/>
    </row>
    <row r="497">
      <c r="A497" s="9"/>
      <c r="I497" s="22"/>
      <c r="L497" s="40"/>
      <c r="M497" s="40"/>
      <c r="N497" s="40"/>
    </row>
    <row r="498">
      <c r="A498" s="9"/>
      <c r="I498" s="22"/>
      <c r="L498" s="40"/>
      <c r="M498" s="40"/>
      <c r="N498" s="40"/>
    </row>
    <row r="499">
      <c r="A499" s="9"/>
      <c r="I499" s="22"/>
      <c r="L499" s="40"/>
      <c r="M499" s="40"/>
      <c r="N499" s="40"/>
    </row>
    <row r="500">
      <c r="A500" s="9"/>
      <c r="I500" s="22"/>
      <c r="L500" s="40"/>
      <c r="M500" s="40"/>
      <c r="N500" s="40"/>
    </row>
    <row r="501">
      <c r="A501" s="9"/>
      <c r="I501" s="22"/>
      <c r="L501" s="40"/>
      <c r="M501" s="40"/>
      <c r="N501" s="40"/>
    </row>
    <row r="502">
      <c r="A502" s="9"/>
      <c r="I502" s="22"/>
      <c r="L502" s="40"/>
      <c r="M502" s="40"/>
      <c r="N502" s="40"/>
    </row>
    <row r="503">
      <c r="A503" s="9"/>
      <c r="I503" s="22"/>
      <c r="L503" s="40"/>
      <c r="M503" s="40"/>
      <c r="N503" s="40"/>
    </row>
    <row r="504">
      <c r="A504" s="9"/>
      <c r="I504" s="22"/>
      <c r="L504" s="40"/>
      <c r="M504" s="40"/>
      <c r="N504" s="40"/>
    </row>
    <row r="505">
      <c r="A505" s="9"/>
      <c r="I505" s="22"/>
      <c r="L505" s="40"/>
      <c r="M505" s="40"/>
      <c r="N505" s="40"/>
    </row>
    <row r="506">
      <c r="A506" s="9"/>
      <c r="I506" s="22"/>
      <c r="L506" s="40"/>
      <c r="M506" s="40"/>
      <c r="N506" s="40"/>
    </row>
    <row r="507">
      <c r="A507" s="9"/>
      <c r="I507" s="22"/>
      <c r="L507" s="40"/>
      <c r="M507" s="40"/>
      <c r="N507" s="40"/>
    </row>
    <row r="508">
      <c r="A508" s="9"/>
      <c r="I508" s="22"/>
      <c r="L508" s="40"/>
      <c r="M508" s="40"/>
      <c r="N508" s="40"/>
    </row>
    <row r="509">
      <c r="A509" s="9"/>
      <c r="I509" s="22"/>
      <c r="L509" s="40"/>
      <c r="M509" s="40"/>
      <c r="N509" s="40"/>
    </row>
    <row r="510">
      <c r="A510" s="9"/>
      <c r="I510" s="22"/>
      <c r="L510" s="40"/>
      <c r="M510" s="40"/>
      <c r="N510" s="40"/>
    </row>
    <row r="511">
      <c r="A511" s="9"/>
      <c r="I511" s="22"/>
      <c r="L511" s="40"/>
      <c r="M511" s="40"/>
      <c r="N511" s="40"/>
    </row>
    <row r="512">
      <c r="A512" s="9"/>
      <c r="I512" s="22"/>
      <c r="L512" s="40"/>
      <c r="M512" s="40"/>
      <c r="N512" s="40"/>
    </row>
    <row r="513">
      <c r="A513" s="9"/>
      <c r="I513" s="22"/>
      <c r="L513" s="40"/>
      <c r="M513" s="40"/>
      <c r="N513" s="40"/>
    </row>
    <row r="514">
      <c r="A514" s="9"/>
      <c r="I514" s="22"/>
      <c r="L514" s="40"/>
      <c r="M514" s="40"/>
      <c r="N514" s="40"/>
    </row>
    <row r="515">
      <c r="A515" s="9"/>
      <c r="I515" s="22"/>
      <c r="L515" s="40"/>
      <c r="M515" s="40"/>
      <c r="N515" s="40"/>
    </row>
    <row r="516">
      <c r="A516" s="9"/>
      <c r="I516" s="22"/>
      <c r="L516" s="40"/>
      <c r="M516" s="40"/>
      <c r="N516" s="40"/>
    </row>
    <row r="517">
      <c r="A517" s="9"/>
      <c r="I517" s="22"/>
      <c r="L517" s="40"/>
      <c r="M517" s="40"/>
      <c r="N517" s="40"/>
    </row>
    <row r="518">
      <c r="A518" s="9"/>
      <c r="I518" s="22"/>
      <c r="L518" s="40"/>
      <c r="M518" s="40"/>
      <c r="N518" s="40"/>
    </row>
    <row r="519">
      <c r="A519" s="9"/>
      <c r="I519" s="22"/>
      <c r="L519" s="40"/>
      <c r="M519" s="40"/>
      <c r="N519" s="40"/>
    </row>
    <row r="520">
      <c r="A520" s="9"/>
      <c r="I520" s="22"/>
      <c r="L520" s="40"/>
      <c r="M520" s="40"/>
      <c r="N520" s="40"/>
    </row>
    <row r="521">
      <c r="A521" s="9"/>
      <c r="I521" s="22"/>
      <c r="L521" s="40"/>
      <c r="M521" s="40"/>
      <c r="N521" s="40"/>
    </row>
    <row r="522">
      <c r="A522" s="9"/>
      <c r="I522" s="22"/>
      <c r="L522" s="40"/>
      <c r="M522" s="40"/>
      <c r="N522" s="40"/>
    </row>
    <row r="523">
      <c r="A523" s="9"/>
      <c r="I523" s="22"/>
      <c r="L523" s="40"/>
      <c r="M523" s="40"/>
      <c r="N523" s="40"/>
    </row>
    <row r="524">
      <c r="A524" s="9"/>
      <c r="I524" s="22"/>
      <c r="L524" s="40"/>
      <c r="M524" s="40"/>
      <c r="N524" s="40"/>
    </row>
    <row r="525">
      <c r="A525" s="9"/>
      <c r="I525" s="22"/>
      <c r="L525" s="40"/>
      <c r="M525" s="40"/>
      <c r="N525" s="40"/>
    </row>
    <row r="526">
      <c r="A526" s="9"/>
      <c r="I526" s="22"/>
      <c r="L526" s="40"/>
      <c r="M526" s="40"/>
      <c r="N526" s="40"/>
    </row>
    <row r="527">
      <c r="A527" s="9"/>
      <c r="I527" s="22"/>
      <c r="L527" s="40"/>
      <c r="M527" s="40"/>
      <c r="N527" s="40"/>
    </row>
    <row r="528">
      <c r="A528" s="9"/>
      <c r="I528" s="22"/>
      <c r="L528" s="40"/>
      <c r="M528" s="40"/>
      <c r="N528" s="40"/>
    </row>
    <row r="529">
      <c r="A529" s="9"/>
      <c r="I529" s="22"/>
      <c r="L529" s="40"/>
      <c r="M529" s="40"/>
      <c r="N529" s="40"/>
    </row>
    <row r="530">
      <c r="A530" s="9"/>
      <c r="I530" s="22"/>
      <c r="L530" s="40"/>
      <c r="M530" s="40"/>
      <c r="N530" s="40"/>
    </row>
    <row r="531">
      <c r="A531" s="9"/>
      <c r="I531" s="22"/>
      <c r="L531" s="40"/>
      <c r="M531" s="40"/>
      <c r="N531" s="40"/>
    </row>
    <row r="532">
      <c r="A532" s="9"/>
      <c r="I532" s="22"/>
      <c r="L532" s="40"/>
      <c r="M532" s="40"/>
      <c r="N532" s="40"/>
    </row>
    <row r="533">
      <c r="A533" s="9"/>
      <c r="I533" s="22"/>
      <c r="L533" s="40"/>
      <c r="M533" s="40"/>
      <c r="N533" s="40"/>
    </row>
    <row r="534">
      <c r="A534" s="9"/>
      <c r="I534" s="22"/>
      <c r="L534" s="40"/>
      <c r="M534" s="40"/>
      <c r="N534" s="40"/>
    </row>
    <row r="535">
      <c r="A535" s="9"/>
      <c r="I535" s="22"/>
      <c r="L535" s="40"/>
      <c r="M535" s="40"/>
      <c r="N535" s="40"/>
    </row>
    <row r="536">
      <c r="A536" s="9"/>
      <c r="I536" s="22"/>
      <c r="L536" s="40"/>
      <c r="M536" s="40"/>
      <c r="N536" s="40"/>
    </row>
    <row r="537">
      <c r="A537" s="9"/>
      <c r="I537" s="22"/>
      <c r="L537" s="40"/>
      <c r="M537" s="40"/>
      <c r="N537" s="40"/>
    </row>
    <row r="538">
      <c r="A538" s="9"/>
      <c r="I538" s="22"/>
      <c r="L538" s="40"/>
      <c r="M538" s="40"/>
      <c r="N538" s="40"/>
    </row>
    <row r="539">
      <c r="A539" s="9"/>
      <c r="I539" s="22"/>
      <c r="L539" s="40"/>
      <c r="M539" s="40"/>
      <c r="N539" s="40"/>
    </row>
    <row r="540">
      <c r="A540" s="9"/>
      <c r="I540" s="22"/>
      <c r="L540" s="40"/>
      <c r="M540" s="40"/>
      <c r="N540" s="40"/>
    </row>
    <row r="541">
      <c r="A541" s="9"/>
      <c r="I541" s="22"/>
      <c r="L541" s="40"/>
      <c r="M541" s="40"/>
      <c r="N541" s="40"/>
    </row>
    <row r="542">
      <c r="A542" s="9"/>
      <c r="I542" s="22"/>
      <c r="L542" s="40"/>
      <c r="M542" s="40"/>
      <c r="N542" s="40"/>
    </row>
    <row r="543">
      <c r="A543" s="9"/>
      <c r="I543" s="22"/>
      <c r="L543" s="40"/>
      <c r="M543" s="40"/>
      <c r="N543" s="40"/>
    </row>
    <row r="544">
      <c r="A544" s="9"/>
      <c r="I544" s="22"/>
      <c r="L544" s="40"/>
      <c r="M544" s="40"/>
      <c r="N544" s="40"/>
    </row>
    <row r="545">
      <c r="A545" s="9"/>
      <c r="I545" s="22"/>
      <c r="L545" s="40"/>
      <c r="M545" s="40"/>
      <c r="N545" s="40"/>
    </row>
    <row r="546">
      <c r="A546" s="9"/>
      <c r="I546" s="22"/>
      <c r="L546" s="40"/>
      <c r="M546" s="40"/>
      <c r="N546" s="40"/>
    </row>
    <row r="547">
      <c r="A547" s="9"/>
      <c r="I547" s="22"/>
      <c r="L547" s="40"/>
      <c r="M547" s="40"/>
      <c r="N547" s="40"/>
    </row>
    <row r="548">
      <c r="A548" s="9"/>
      <c r="I548" s="22"/>
      <c r="L548" s="40"/>
      <c r="M548" s="40"/>
      <c r="N548" s="40"/>
    </row>
    <row r="549">
      <c r="A549" s="9"/>
      <c r="I549" s="22"/>
      <c r="L549" s="40"/>
      <c r="M549" s="40"/>
      <c r="N549" s="40"/>
    </row>
    <row r="550">
      <c r="A550" s="9"/>
      <c r="I550" s="22"/>
      <c r="L550" s="40"/>
      <c r="M550" s="40"/>
      <c r="N550" s="40"/>
    </row>
    <row r="551">
      <c r="A551" s="9"/>
      <c r="I551" s="22"/>
      <c r="L551" s="40"/>
      <c r="M551" s="40"/>
      <c r="N551" s="40"/>
    </row>
    <row r="552">
      <c r="A552" s="9"/>
      <c r="I552" s="22"/>
      <c r="L552" s="40"/>
      <c r="M552" s="40"/>
      <c r="N552" s="40"/>
    </row>
    <row r="553">
      <c r="A553" s="9"/>
      <c r="I553" s="22"/>
      <c r="L553" s="40"/>
      <c r="M553" s="40"/>
      <c r="N553" s="40"/>
    </row>
    <row r="554">
      <c r="A554" s="9"/>
      <c r="I554" s="22"/>
      <c r="L554" s="40"/>
      <c r="M554" s="40"/>
      <c r="N554" s="40"/>
    </row>
    <row r="555">
      <c r="A555" s="9"/>
      <c r="I555" s="22"/>
      <c r="L555" s="40"/>
      <c r="M555" s="40"/>
      <c r="N555" s="40"/>
    </row>
    <row r="556">
      <c r="A556" s="9"/>
      <c r="I556" s="22"/>
      <c r="L556" s="40"/>
      <c r="M556" s="40"/>
      <c r="N556" s="40"/>
    </row>
    <row r="557">
      <c r="A557" s="9"/>
      <c r="I557" s="22"/>
      <c r="L557" s="40"/>
      <c r="M557" s="40"/>
      <c r="N557" s="40"/>
    </row>
    <row r="558">
      <c r="A558" s="9"/>
      <c r="I558" s="22"/>
      <c r="L558" s="40"/>
      <c r="M558" s="40"/>
      <c r="N558" s="40"/>
    </row>
    <row r="559">
      <c r="A559" s="9"/>
      <c r="I559" s="22"/>
      <c r="L559" s="40"/>
      <c r="M559" s="40"/>
      <c r="N559" s="40"/>
    </row>
    <row r="560">
      <c r="A560" s="9"/>
      <c r="I560" s="22"/>
      <c r="L560" s="40"/>
      <c r="M560" s="40"/>
      <c r="N560" s="40"/>
    </row>
    <row r="561">
      <c r="A561" s="9"/>
      <c r="I561" s="22"/>
      <c r="L561" s="40"/>
      <c r="M561" s="40"/>
      <c r="N561" s="40"/>
    </row>
    <row r="562">
      <c r="A562" s="9"/>
      <c r="I562" s="22"/>
      <c r="L562" s="40"/>
      <c r="M562" s="40"/>
      <c r="N562" s="40"/>
    </row>
    <row r="563">
      <c r="A563" s="9"/>
      <c r="I563" s="22"/>
      <c r="L563" s="40"/>
      <c r="M563" s="40"/>
      <c r="N563" s="40"/>
    </row>
    <row r="564">
      <c r="A564" s="9"/>
      <c r="I564" s="22"/>
      <c r="L564" s="40"/>
      <c r="M564" s="40"/>
      <c r="N564" s="40"/>
    </row>
    <row r="565">
      <c r="A565" s="9"/>
      <c r="I565" s="22"/>
      <c r="L565" s="40"/>
      <c r="M565" s="40"/>
      <c r="N565" s="40"/>
    </row>
    <row r="566">
      <c r="A566" s="9"/>
      <c r="I566" s="22"/>
      <c r="L566" s="40"/>
      <c r="M566" s="40"/>
      <c r="N566" s="40"/>
    </row>
    <row r="567">
      <c r="A567" s="9"/>
      <c r="I567" s="22"/>
      <c r="L567" s="40"/>
      <c r="M567" s="40"/>
      <c r="N567" s="40"/>
    </row>
    <row r="568">
      <c r="A568" s="9"/>
      <c r="I568" s="22"/>
      <c r="L568" s="40"/>
      <c r="M568" s="40"/>
      <c r="N568" s="40"/>
    </row>
    <row r="569">
      <c r="A569" s="9"/>
      <c r="I569" s="22"/>
      <c r="L569" s="40"/>
      <c r="M569" s="40"/>
      <c r="N569" s="40"/>
    </row>
    <row r="570">
      <c r="A570" s="9"/>
      <c r="I570" s="22"/>
      <c r="L570" s="40"/>
      <c r="M570" s="40"/>
      <c r="N570" s="40"/>
    </row>
    <row r="571">
      <c r="A571" s="9"/>
      <c r="I571" s="22"/>
      <c r="L571" s="40"/>
      <c r="M571" s="40"/>
      <c r="N571" s="40"/>
    </row>
    <row r="572">
      <c r="A572" s="9"/>
      <c r="I572" s="22"/>
      <c r="L572" s="40"/>
      <c r="M572" s="40"/>
      <c r="N572" s="40"/>
    </row>
    <row r="573">
      <c r="A573" s="9"/>
      <c r="I573" s="22"/>
      <c r="L573" s="40"/>
      <c r="M573" s="40"/>
      <c r="N573" s="40"/>
    </row>
    <row r="574">
      <c r="A574" s="9"/>
      <c r="I574" s="22"/>
      <c r="L574" s="40"/>
      <c r="M574" s="40"/>
      <c r="N574" s="40"/>
    </row>
    <row r="575">
      <c r="A575" s="9"/>
      <c r="I575" s="22"/>
      <c r="L575" s="40"/>
      <c r="M575" s="40"/>
      <c r="N575" s="40"/>
    </row>
    <row r="576">
      <c r="A576" s="9"/>
      <c r="I576" s="22"/>
      <c r="L576" s="40"/>
      <c r="M576" s="40"/>
      <c r="N576" s="40"/>
    </row>
    <row r="577">
      <c r="A577" s="9"/>
      <c r="I577" s="22"/>
      <c r="L577" s="40"/>
      <c r="M577" s="40"/>
      <c r="N577" s="40"/>
    </row>
    <row r="578">
      <c r="A578" s="9"/>
      <c r="I578" s="22"/>
      <c r="L578" s="40"/>
      <c r="M578" s="40"/>
      <c r="N578" s="40"/>
    </row>
    <row r="579">
      <c r="A579" s="9"/>
      <c r="I579" s="22"/>
      <c r="L579" s="40"/>
      <c r="M579" s="40"/>
      <c r="N579" s="40"/>
    </row>
    <row r="580">
      <c r="A580" s="9"/>
      <c r="I580" s="22"/>
      <c r="L580" s="40"/>
      <c r="M580" s="40"/>
      <c r="N580" s="40"/>
    </row>
    <row r="581">
      <c r="A581" s="9"/>
      <c r="I581" s="22"/>
      <c r="L581" s="40"/>
      <c r="M581" s="40"/>
      <c r="N581" s="40"/>
    </row>
    <row r="582">
      <c r="A582" s="9"/>
      <c r="I582" s="22"/>
      <c r="L582" s="40"/>
      <c r="M582" s="40"/>
      <c r="N582" s="40"/>
    </row>
    <row r="583">
      <c r="A583" s="9"/>
      <c r="I583" s="22"/>
      <c r="L583" s="40"/>
      <c r="M583" s="40"/>
      <c r="N583" s="40"/>
    </row>
    <row r="584">
      <c r="A584" s="9"/>
      <c r="I584" s="22"/>
      <c r="L584" s="40"/>
      <c r="M584" s="40"/>
      <c r="N584" s="40"/>
    </row>
    <row r="585">
      <c r="A585" s="9"/>
      <c r="I585" s="22"/>
      <c r="L585" s="40"/>
      <c r="M585" s="40"/>
      <c r="N585" s="40"/>
    </row>
    <row r="586">
      <c r="A586" s="9"/>
      <c r="I586" s="22"/>
      <c r="L586" s="40"/>
      <c r="M586" s="40"/>
      <c r="N586" s="40"/>
    </row>
    <row r="587">
      <c r="A587" s="9"/>
      <c r="I587" s="22"/>
      <c r="L587" s="40"/>
      <c r="M587" s="40"/>
      <c r="N587" s="40"/>
    </row>
    <row r="588">
      <c r="A588" s="9"/>
      <c r="I588" s="22"/>
      <c r="L588" s="40"/>
      <c r="M588" s="40"/>
      <c r="N588" s="40"/>
    </row>
    <row r="589">
      <c r="A589" s="9"/>
      <c r="I589" s="22"/>
      <c r="L589" s="40"/>
      <c r="M589" s="40"/>
      <c r="N589" s="40"/>
    </row>
    <row r="590">
      <c r="A590" s="9"/>
      <c r="I590" s="22"/>
      <c r="L590" s="40"/>
      <c r="M590" s="40"/>
      <c r="N590" s="40"/>
    </row>
    <row r="591">
      <c r="A591" s="9"/>
      <c r="I591" s="22"/>
      <c r="L591" s="40"/>
      <c r="M591" s="40"/>
      <c r="N591" s="40"/>
    </row>
    <row r="592">
      <c r="A592" s="9"/>
      <c r="I592" s="22"/>
      <c r="L592" s="40"/>
      <c r="M592" s="40"/>
      <c r="N592" s="40"/>
    </row>
    <row r="593">
      <c r="A593" s="9"/>
      <c r="I593" s="22"/>
      <c r="L593" s="40"/>
      <c r="M593" s="40"/>
      <c r="N593" s="40"/>
    </row>
    <row r="594">
      <c r="A594" s="9"/>
      <c r="I594" s="22"/>
      <c r="L594" s="40"/>
      <c r="M594" s="40"/>
      <c r="N594" s="40"/>
    </row>
    <row r="595">
      <c r="A595" s="9"/>
      <c r="I595" s="22"/>
      <c r="L595" s="40"/>
      <c r="M595" s="40"/>
      <c r="N595" s="40"/>
    </row>
    <row r="596">
      <c r="A596" s="9"/>
      <c r="I596" s="22"/>
      <c r="L596" s="40"/>
      <c r="M596" s="40"/>
      <c r="N596" s="40"/>
    </row>
    <row r="597">
      <c r="A597" s="9"/>
      <c r="I597" s="22"/>
      <c r="L597" s="40"/>
      <c r="M597" s="40"/>
      <c r="N597" s="40"/>
    </row>
    <row r="598">
      <c r="A598" s="9"/>
      <c r="I598" s="22"/>
      <c r="L598" s="40"/>
      <c r="M598" s="40"/>
      <c r="N598" s="40"/>
    </row>
    <row r="599">
      <c r="A599" s="9"/>
      <c r="I599" s="22"/>
      <c r="L599" s="40"/>
      <c r="M599" s="40"/>
      <c r="N599" s="40"/>
    </row>
    <row r="600">
      <c r="A600" s="9"/>
      <c r="I600" s="22"/>
      <c r="L600" s="40"/>
      <c r="M600" s="40"/>
      <c r="N600" s="40"/>
    </row>
    <row r="601">
      <c r="A601" s="9"/>
      <c r="I601" s="22"/>
      <c r="L601" s="40"/>
      <c r="M601" s="40"/>
      <c r="N601" s="40"/>
    </row>
    <row r="602">
      <c r="A602" s="9"/>
      <c r="I602" s="22"/>
      <c r="L602" s="40"/>
      <c r="M602" s="40"/>
      <c r="N602" s="40"/>
    </row>
    <row r="603">
      <c r="A603" s="9"/>
      <c r="I603" s="22"/>
      <c r="L603" s="40"/>
      <c r="M603" s="40"/>
      <c r="N603" s="40"/>
    </row>
    <row r="604">
      <c r="A604" s="9"/>
      <c r="I604" s="22"/>
      <c r="L604" s="40"/>
      <c r="M604" s="40"/>
      <c r="N604" s="40"/>
    </row>
    <row r="605">
      <c r="A605" s="9"/>
      <c r="I605" s="22"/>
      <c r="L605" s="40"/>
      <c r="M605" s="40"/>
      <c r="N605" s="40"/>
    </row>
    <row r="606">
      <c r="A606" s="9"/>
      <c r="I606" s="22"/>
      <c r="L606" s="40"/>
      <c r="M606" s="40"/>
      <c r="N606" s="40"/>
    </row>
    <row r="607">
      <c r="A607" s="9"/>
      <c r="I607" s="22"/>
      <c r="L607" s="40"/>
      <c r="M607" s="40"/>
      <c r="N607" s="40"/>
    </row>
    <row r="608">
      <c r="A608" s="9"/>
      <c r="I608" s="22"/>
      <c r="L608" s="40"/>
      <c r="M608" s="40"/>
      <c r="N608" s="40"/>
    </row>
    <row r="609">
      <c r="A609" s="9"/>
      <c r="I609" s="22"/>
      <c r="L609" s="40"/>
      <c r="M609" s="40"/>
      <c r="N609" s="40"/>
    </row>
    <row r="610">
      <c r="A610" s="9"/>
      <c r="I610" s="22"/>
      <c r="L610" s="40"/>
      <c r="M610" s="40"/>
      <c r="N610" s="40"/>
    </row>
    <row r="611">
      <c r="A611" s="9"/>
      <c r="I611" s="22"/>
      <c r="L611" s="40"/>
      <c r="M611" s="40"/>
      <c r="N611" s="40"/>
    </row>
    <row r="612">
      <c r="A612" s="9"/>
      <c r="I612" s="22"/>
      <c r="L612" s="40"/>
      <c r="M612" s="40"/>
      <c r="N612" s="40"/>
    </row>
    <row r="613">
      <c r="A613" s="9"/>
      <c r="I613" s="22"/>
      <c r="L613" s="40"/>
      <c r="M613" s="40"/>
      <c r="N613" s="40"/>
    </row>
    <row r="614">
      <c r="A614" s="9"/>
      <c r="I614" s="22"/>
      <c r="L614" s="40"/>
      <c r="M614" s="40"/>
      <c r="N614" s="40"/>
    </row>
    <row r="615">
      <c r="A615" s="9"/>
      <c r="I615" s="22"/>
      <c r="L615" s="40"/>
      <c r="M615" s="40"/>
      <c r="N615" s="40"/>
    </row>
    <row r="616">
      <c r="A616" s="9"/>
      <c r="I616" s="22"/>
      <c r="L616" s="40"/>
      <c r="M616" s="40"/>
      <c r="N616" s="40"/>
    </row>
    <row r="617">
      <c r="A617" s="9"/>
      <c r="I617" s="22"/>
      <c r="L617" s="40"/>
      <c r="M617" s="40"/>
      <c r="N617" s="40"/>
    </row>
    <row r="618">
      <c r="A618" s="9"/>
      <c r="I618" s="22"/>
      <c r="L618" s="40"/>
      <c r="M618" s="40"/>
      <c r="N618" s="40"/>
    </row>
    <row r="619">
      <c r="A619" s="9"/>
      <c r="I619" s="22"/>
      <c r="L619" s="40"/>
      <c r="M619" s="40"/>
      <c r="N619" s="40"/>
    </row>
    <row r="620">
      <c r="A620" s="9"/>
      <c r="I620" s="22"/>
      <c r="L620" s="40"/>
      <c r="M620" s="40"/>
      <c r="N620" s="40"/>
    </row>
    <row r="621">
      <c r="A621" s="9"/>
      <c r="I621" s="22"/>
      <c r="L621" s="40"/>
      <c r="M621" s="40"/>
      <c r="N621" s="40"/>
    </row>
    <row r="622">
      <c r="A622" s="9"/>
      <c r="I622" s="22"/>
      <c r="L622" s="40"/>
      <c r="M622" s="40"/>
      <c r="N622" s="40"/>
    </row>
    <row r="623">
      <c r="A623" s="9"/>
      <c r="I623" s="22"/>
      <c r="L623" s="40"/>
      <c r="M623" s="40"/>
      <c r="N623" s="40"/>
    </row>
    <row r="624">
      <c r="A624" s="9"/>
      <c r="I624" s="22"/>
      <c r="L624" s="40"/>
      <c r="M624" s="40"/>
      <c r="N624" s="40"/>
    </row>
    <row r="625">
      <c r="A625" s="9"/>
      <c r="I625" s="22"/>
      <c r="L625" s="40"/>
      <c r="M625" s="40"/>
      <c r="N625" s="40"/>
    </row>
    <row r="626">
      <c r="A626" s="9"/>
      <c r="I626" s="22"/>
      <c r="L626" s="40"/>
      <c r="M626" s="40"/>
      <c r="N626" s="40"/>
    </row>
    <row r="627">
      <c r="A627" s="9"/>
      <c r="I627" s="22"/>
      <c r="L627" s="40"/>
      <c r="M627" s="40"/>
      <c r="N627" s="40"/>
    </row>
    <row r="628">
      <c r="A628" s="9"/>
      <c r="I628" s="22"/>
      <c r="L628" s="40"/>
      <c r="M628" s="40"/>
      <c r="N628" s="40"/>
    </row>
    <row r="629">
      <c r="A629" s="9"/>
      <c r="I629" s="22"/>
      <c r="L629" s="40"/>
      <c r="M629" s="40"/>
      <c r="N629" s="40"/>
    </row>
    <row r="630">
      <c r="A630" s="9"/>
      <c r="I630" s="22"/>
      <c r="L630" s="40"/>
      <c r="M630" s="40"/>
      <c r="N630" s="40"/>
    </row>
    <row r="631">
      <c r="A631" s="9"/>
      <c r="I631" s="22"/>
      <c r="L631" s="40"/>
      <c r="M631" s="40"/>
      <c r="N631" s="40"/>
    </row>
    <row r="632">
      <c r="A632" s="9"/>
      <c r="I632" s="22"/>
      <c r="L632" s="40"/>
      <c r="M632" s="40"/>
      <c r="N632" s="40"/>
    </row>
    <row r="633">
      <c r="A633" s="9"/>
      <c r="I633" s="22"/>
      <c r="L633" s="40"/>
      <c r="M633" s="40"/>
      <c r="N633" s="40"/>
    </row>
    <row r="634">
      <c r="A634" s="9"/>
      <c r="I634" s="22"/>
      <c r="L634" s="40"/>
      <c r="M634" s="40"/>
      <c r="N634" s="40"/>
    </row>
    <row r="635">
      <c r="A635" s="9"/>
      <c r="I635" s="22"/>
      <c r="L635" s="40"/>
      <c r="M635" s="40"/>
      <c r="N635" s="40"/>
    </row>
    <row r="636">
      <c r="A636" s="9"/>
      <c r="I636" s="22"/>
      <c r="L636" s="40"/>
      <c r="M636" s="40"/>
      <c r="N636" s="40"/>
    </row>
    <row r="637">
      <c r="A637" s="9"/>
      <c r="I637" s="22"/>
      <c r="L637" s="40"/>
      <c r="M637" s="40"/>
      <c r="N637" s="40"/>
    </row>
    <row r="638">
      <c r="A638" s="9"/>
      <c r="I638" s="22"/>
      <c r="L638" s="40"/>
      <c r="M638" s="40"/>
      <c r="N638" s="40"/>
    </row>
    <row r="639">
      <c r="A639" s="9"/>
      <c r="I639" s="22"/>
      <c r="L639" s="40"/>
      <c r="M639" s="40"/>
      <c r="N639" s="40"/>
    </row>
    <row r="640">
      <c r="A640" s="9"/>
      <c r="I640" s="22"/>
      <c r="L640" s="40"/>
      <c r="M640" s="40"/>
      <c r="N640" s="40"/>
    </row>
    <row r="641">
      <c r="A641" s="9"/>
      <c r="I641" s="22"/>
      <c r="L641" s="40"/>
      <c r="M641" s="40"/>
      <c r="N641" s="40"/>
    </row>
    <row r="642">
      <c r="A642" s="9"/>
      <c r="I642" s="22"/>
      <c r="L642" s="40"/>
      <c r="M642" s="40"/>
      <c r="N642" s="40"/>
    </row>
    <row r="643">
      <c r="A643" s="9"/>
      <c r="I643" s="22"/>
      <c r="L643" s="40"/>
      <c r="M643" s="40"/>
      <c r="N643" s="40"/>
    </row>
    <row r="644">
      <c r="A644" s="9"/>
      <c r="I644" s="22"/>
      <c r="L644" s="40"/>
      <c r="M644" s="40"/>
      <c r="N644" s="40"/>
    </row>
    <row r="645">
      <c r="A645" s="9"/>
      <c r="I645" s="22"/>
      <c r="L645" s="40"/>
      <c r="M645" s="40"/>
      <c r="N645" s="40"/>
    </row>
    <row r="646">
      <c r="A646" s="9"/>
      <c r="I646" s="22"/>
      <c r="L646" s="40"/>
      <c r="M646" s="40"/>
      <c r="N646" s="40"/>
    </row>
    <row r="647">
      <c r="A647" s="9"/>
      <c r="I647" s="22"/>
      <c r="L647" s="40"/>
      <c r="M647" s="40"/>
      <c r="N647" s="40"/>
    </row>
    <row r="648">
      <c r="A648" s="9"/>
      <c r="I648" s="22"/>
      <c r="L648" s="40"/>
      <c r="M648" s="40"/>
      <c r="N648" s="40"/>
    </row>
    <row r="649">
      <c r="A649" s="9"/>
      <c r="I649" s="22"/>
      <c r="L649" s="40"/>
      <c r="M649" s="40"/>
      <c r="N649" s="40"/>
    </row>
    <row r="650">
      <c r="A650" s="9"/>
      <c r="I650" s="22"/>
      <c r="L650" s="40"/>
      <c r="M650" s="40"/>
      <c r="N650" s="40"/>
    </row>
    <row r="651">
      <c r="A651" s="9"/>
      <c r="I651" s="22"/>
      <c r="L651" s="40"/>
      <c r="M651" s="40"/>
      <c r="N651" s="40"/>
    </row>
    <row r="652">
      <c r="A652" s="9"/>
      <c r="I652" s="22"/>
      <c r="L652" s="40"/>
      <c r="M652" s="40"/>
      <c r="N652" s="40"/>
    </row>
    <row r="653">
      <c r="A653" s="9"/>
      <c r="I653" s="22"/>
      <c r="L653" s="40"/>
      <c r="M653" s="40"/>
      <c r="N653" s="40"/>
    </row>
    <row r="654">
      <c r="A654" s="9"/>
      <c r="I654" s="22"/>
      <c r="L654" s="40"/>
      <c r="M654" s="40"/>
      <c r="N654" s="40"/>
    </row>
    <row r="655">
      <c r="A655" s="9"/>
      <c r="I655" s="22"/>
      <c r="L655" s="40"/>
      <c r="M655" s="40"/>
      <c r="N655" s="40"/>
    </row>
    <row r="656">
      <c r="A656" s="9"/>
      <c r="I656" s="22"/>
      <c r="L656" s="40"/>
      <c r="M656" s="40"/>
      <c r="N656" s="40"/>
    </row>
    <row r="657">
      <c r="A657" s="9"/>
      <c r="I657" s="22"/>
      <c r="L657" s="40"/>
      <c r="M657" s="40"/>
      <c r="N657" s="40"/>
    </row>
    <row r="658">
      <c r="A658" s="9"/>
      <c r="I658" s="22"/>
      <c r="L658" s="40"/>
      <c r="M658" s="40"/>
      <c r="N658" s="40"/>
    </row>
    <row r="659">
      <c r="A659" s="9"/>
      <c r="I659" s="22"/>
      <c r="L659" s="40"/>
      <c r="M659" s="40"/>
      <c r="N659" s="40"/>
    </row>
    <row r="660">
      <c r="A660" s="9"/>
      <c r="I660" s="22"/>
      <c r="L660" s="40"/>
      <c r="M660" s="40"/>
      <c r="N660" s="40"/>
    </row>
    <row r="661">
      <c r="A661" s="9"/>
      <c r="I661" s="22"/>
      <c r="L661" s="40"/>
      <c r="M661" s="40"/>
      <c r="N661" s="40"/>
    </row>
    <row r="662">
      <c r="A662" s="9"/>
      <c r="I662" s="22"/>
      <c r="L662" s="40"/>
      <c r="M662" s="40"/>
      <c r="N662" s="40"/>
    </row>
    <row r="663">
      <c r="A663" s="9"/>
      <c r="I663" s="22"/>
      <c r="L663" s="40"/>
      <c r="M663" s="40"/>
      <c r="N663" s="40"/>
    </row>
    <row r="664">
      <c r="A664" s="9"/>
      <c r="I664" s="22"/>
      <c r="L664" s="40"/>
      <c r="M664" s="40"/>
      <c r="N664" s="40"/>
    </row>
    <row r="665">
      <c r="A665" s="9"/>
      <c r="I665" s="22"/>
      <c r="L665" s="40"/>
      <c r="M665" s="40"/>
      <c r="N665" s="40"/>
    </row>
    <row r="666">
      <c r="A666" s="9"/>
      <c r="I666" s="22"/>
      <c r="L666" s="40"/>
      <c r="M666" s="40"/>
      <c r="N666" s="40"/>
    </row>
    <row r="667">
      <c r="A667" s="9"/>
      <c r="I667" s="22"/>
      <c r="L667" s="40"/>
      <c r="M667" s="40"/>
      <c r="N667" s="40"/>
    </row>
    <row r="668">
      <c r="A668" s="9"/>
      <c r="I668" s="22"/>
      <c r="L668" s="40"/>
      <c r="M668" s="40"/>
      <c r="N668" s="40"/>
    </row>
    <row r="669">
      <c r="A669" s="9"/>
      <c r="I669" s="22"/>
      <c r="L669" s="40"/>
      <c r="M669" s="40"/>
      <c r="N669" s="40"/>
    </row>
    <row r="670">
      <c r="A670" s="9"/>
      <c r="I670" s="22"/>
      <c r="L670" s="40"/>
      <c r="M670" s="40"/>
      <c r="N670" s="40"/>
    </row>
    <row r="671">
      <c r="A671" s="9"/>
      <c r="I671" s="22"/>
      <c r="L671" s="40"/>
      <c r="M671" s="40"/>
      <c r="N671" s="40"/>
    </row>
    <row r="672">
      <c r="A672" s="9"/>
      <c r="I672" s="22"/>
      <c r="L672" s="40"/>
      <c r="M672" s="40"/>
      <c r="N672" s="40"/>
    </row>
    <row r="673">
      <c r="A673" s="9"/>
      <c r="I673" s="22"/>
      <c r="L673" s="40"/>
      <c r="M673" s="40"/>
      <c r="N673" s="40"/>
    </row>
    <row r="674">
      <c r="A674" s="9"/>
      <c r="I674" s="22"/>
      <c r="L674" s="40"/>
      <c r="M674" s="40"/>
      <c r="N674" s="40"/>
    </row>
    <row r="675">
      <c r="A675" s="9"/>
      <c r="I675" s="22"/>
      <c r="L675" s="40"/>
      <c r="M675" s="40"/>
      <c r="N675" s="40"/>
    </row>
    <row r="676">
      <c r="A676" s="9"/>
      <c r="I676" s="22"/>
      <c r="L676" s="40"/>
      <c r="M676" s="40"/>
      <c r="N676" s="40"/>
    </row>
    <row r="677">
      <c r="A677" s="9"/>
      <c r="I677" s="22"/>
      <c r="L677" s="40"/>
      <c r="M677" s="40"/>
      <c r="N677" s="40"/>
    </row>
    <row r="678">
      <c r="A678" s="9"/>
      <c r="I678" s="22"/>
      <c r="L678" s="40"/>
      <c r="M678" s="40"/>
      <c r="N678" s="40"/>
    </row>
    <row r="679">
      <c r="A679" s="9"/>
      <c r="I679" s="22"/>
      <c r="L679" s="40"/>
      <c r="M679" s="40"/>
      <c r="N679" s="40"/>
    </row>
    <row r="680">
      <c r="A680" s="9"/>
      <c r="I680" s="22"/>
      <c r="L680" s="40"/>
      <c r="M680" s="40"/>
      <c r="N680" s="40"/>
    </row>
    <row r="681">
      <c r="A681" s="9"/>
      <c r="I681" s="22"/>
      <c r="L681" s="40"/>
      <c r="M681" s="40"/>
      <c r="N681" s="40"/>
    </row>
    <row r="682">
      <c r="A682" s="9"/>
      <c r="I682" s="22"/>
      <c r="L682" s="40"/>
      <c r="M682" s="40"/>
      <c r="N682" s="40"/>
    </row>
    <row r="683">
      <c r="A683" s="9"/>
      <c r="I683" s="22"/>
      <c r="L683" s="40"/>
      <c r="M683" s="40"/>
      <c r="N683" s="40"/>
    </row>
    <row r="684">
      <c r="A684" s="9"/>
      <c r="I684" s="22"/>
      <c r="L684" s="40"/>
      <c r="M684" s="40"/>
      <c r="N684" s="40"/>
    </row>
    <row r="685">
      <c r="A685" s="9"/>
      <c r="I685" s="22"/>
      <c r="L685" s="40"/>
      <c r="M685" s="40"/>
      <c r="N685" s="40"/>
    </row>
    <row r="686">
      <c r="A686" s="9"/>
      <c r="I686" s="22"/>
      <c r="L686" s="40"/>
      <c r="M686" s="40"/>
      <c r="N686" s="40"/>
    </row>
    <row r="687">
      <c r="A687" s="9"/>
      <c r="I687" s="22"/>
      <c r="L687" s="40"/>
      <c r="M687" s="40"/>
      <c r="N687" s="40"/>
    </row>
    <row r="688">
      <c r="A688" s="9"/>
      <c r="I688" s="22"/>
      <c r="L688" s="40"/>
      <c r="M688" s="40"/>
      <c r="N688" s="40"/>
    </row>
    <row r="689">
      <c r="A689" s="9"/>
      <c r="I689" s="22"/>
      <c r="L689" s="40"/>
      <c r="M689" s="40"/>
      <c r="N689" s="40"/>
    </row>
    <row r="690">
      <c r="A690" s="9"/>
      <c r="I690" s="22"/>
      <c r="L690" s="40"/>
      <c r="M690" s="40"/>
      <c r="N690" s="40"/>
    </row>
    <row r="691">
      <c r="A691" s="9"/>
      <c r="I691" s="22"/>
      <c r="L691" s="40"/>
      <c r="M691" s="40"/>
      <c r="N691" s="40"/>
    </row>
    <row r="692">
      <c r="A692" s="9"/>
      <c r="I692" s="22"/>
      <c r="L692" s="40"/>
      <c r="M692" s="40"/>
      <c r="N692" s="40"/>
    </row>
    <row r="693">
      <c r="A693" s="9"/>
      <c r="I693" s="22"/>
      <c r="L693" s="40"/>
      <c r="M693" s="40"/>
      <c r="N693" s="40"/>
    </row>
    <row r="694">
      <c r="A694" s="9"/>
      <c r="I694" s="22"/>
      <c r="L694" s="40"/>
      <c r="M694" s="40"/>
      <c r="N694" s="40"/>
    </row>
    <row r="695">
      <c r="A695" s="9"/>
      <c r="I695" s="22"/>
      <c r="L695" s="40"/>
      <c r="M695" s="40"/>
      <c r="N695" s="40"/>
    </row>
    <row r="696">
      <c r="A696" s="9"/>
      <c r="I696" s="22"/>
      <c r="L696" s="40"/>
      <c r="M696" s="40"/>
      <c r="N696" s="40"/>
    </row>
    <row r="697">
      <c r="A697" s="9"/>
      <c r="I697" s="22"/>
      <c r="L697" s="40"/>
      <c r="M697" s="40"/>
      <c r="N697" s="40"/>
    </row>
    <row r="698">
      <c r="A698" s="9"/>
      <c r="I698" s="22"/>
      <c r="L698" s="40"/>
      <c r="M698" s="40"/>
      <c r="N698" s="40"/>
    </row>
    <row r="699">
      <c r="A699" s="9"/>
      <c r="I699" s="22"/>
      <c r="L699" s="40"/>
      <c r="M699" s="40"/>
      <c r="N699" s="40"/>
    </row>
    <row r="700">
      <c r="A700" s="9"/>
      <c r="I700" s="22"/>
      <c r="L700" s="40"/>
      <c r="M700" s="40"/>
      <c r="N700" s="40"/>
    </row>
    <row r="701">
      <c r="A701" s="9"/>
      <c r="I701" s="22"/>
      <c r="L701" s="40"/>
      <c r="M701" s="40"/>
      <c r="N701" s="40"/>
    </row>
    <row r="702">
      <c r="A702" s="9"/>
      <c r="I702" s="22"/>
      <c r="L702" s="40"/>
      <c r="M702" s="40"/>
      <c r="N702" s="40"/>
    </row>
    <row r="703">
      <c r="A703" s="9"/>
      <c r="I703" s="22"/>
      <c r="L703" s="40"/>
      <c r="M703" s="40"/>
      <c r="N703" s="40"/>
    </row>
    <row r="704">
      <c r="A704" s="9"/>
      <c r="I704" s="22"/>
      <c r="L704" s="40"/>
      <c r="M704" s="40"/>
      <c r="N704" s="40"/>
    </row>
    <row r="705">
      <c r="A705" s="9"/>
      <c r="I705" s="22"/>
      <c r="L705" s="40"/>
      <c r="M705" s="40"/>
      <c r="N705" s="40"/>
    </row>
    <row r="706">
      <c r="A706" s="9"/>
      <c r="I706" s="22"/>
      <c r="L706" s="40"/>
      <c r="M706" s="40"/>
      <c r="N706" s="40"/>
    </row>
    <row r="707">
      <c r="A707" s="9"/>
      <c r="I707" s="22"/>
      <c r="L707" s="40"/>
      <c r="M707" s="40"/>
      <c r="N707" s="40"/>
    </row>
    <row r="708">
      <c r="A708" s="9"/>
      <c r="I708" s="22"/>
      <c r="L708" s="40"/>
      <c r="M708" s="40"/>
      <c r="N708" s="40"/>
    </row>
    <row r="709">
      <c r="A709" s="9"/>
      <c r="I709" s="22"/>
      <c r="L709" s="40"/>
      <c r="M709" s="40"/>
      <c r="N709" s="40"/>
    </row>
    <row r="710">
      <c r="A710" s="9"/>
      <c r="I710" s="22"/>
      <c r="L710" s="40"/>
      <c r="M710" s="40"/>
      <c r="N710" s="40"/>
    </row>
    <row r="711">
      <c r="A711" s="9"/>
      <c r="I711" s="22"/>
      <c r="L711" s="40"/>
      <c r="M711" s="40"/>
      <c r="N711" s="40"/>
    </row>
    <row r="712">
      <c r="A712" s="9"/>
      <c r="I712" s="22"/>
      <c r="L712" s="40"/>
      <c r="M712" s="40"/>
      <c r="N712" s="40"/>
    </row>
    <row r="713">
      <c r="A713" s="9"/>
      <c r="I713" s="22"/>
      <c r="L713" s="40"/>
      <c r="M713" s="40"/>
      <c r="N713" s="40"/>
    </row>
    <row r="714">
      <c r="A714" s="9"/>
      <c r="I714" s="22"/>
      <c r="L714" s="40"/>
      <c r="M714" s="40"/>
      <c r="N714" s="40"/>
    </row>
    <row r="715">
      <c r="A715" s="9"/>
      <c r="I715" s="22"/>
      <c r="L715" s="40"/>
      <c r="M715" s="40"/>
      <c r="N715" s="40"/>
    </row>
    <row r="716">
      <c r="A716" s="9"/>
      <c r="I716" s="22"/>
      <c r="L716" s="40"/>
      <c r="M716" s="40"/>
      <c r="N716" s="40"/>
    </row>
    <row r="717">
      <c r="A717" s="9"/>
      <c r="I717" s="22"/>
      <c r="L717" s="40"/>
      <c r="M717" s="40"/>
      <c r="N717" s="40"/>
    </row>
    <row r="718">
      <c r="A718" s="9"/>
      <c r="I718" s="22"/>
      <c r="L718" s="40"/>
      <c r="M718" s="40"/>
      <c r="N718" s="40"/>
    </row>
    <row r="719">
      <c r="A719" s="9"/>
      <c r="I719" s="22"/>
      <c r="L719" s="40"/>
      <c r="M719" s="40"/>
      <c r="N719" s="40"/>
    </row>
    <row r="720">
      <c r="A720" s="9"/>
      <c r="I720" s="22"/>
      <c r="L720" s="40"/>
      <c r="M720" s="40"/>
      <c r="N720" s="40"/>
    </row>
    <row r="721">
      <c r="A721" s="9"/>
      <c r="I721" s="22"/>
      <c r="L721" s="40"/>
      <c r="M721" s="40"/>
      <c r="N721" s="40"/>
    </row>
    <row r="722">
      <c r="A722" s="9"/>
      <c r="I722" s="22"/>
      <c r="L722" s="40"/>
      <c r="M722" s="40"/>
      <c r="N722" s="40"/>
    </row>
    <row r="723">
      <c r="A723" s="9"/>
      <c r="I723" s="22"/>
      <c r="L723" s="40"/>
      <c r="M723" s="40"/>
      <c r="N723" s="40"/>
    </row>
    <row r="724">
      <c r="A724" s="9"/>
      <c r="I724" s="22"/>
      <c r="L724" s="40"/>
      <c r="M724" s="40"/>
      <c r="N724" s="40"/>
    </row>
    <row r="725">
      <c r="A725" s="9"/>
      <c r="I725" s="22"/>
      <c r="L725" s="40"/>
      <c r="M725" s="40"/>
      <c r="N725" s="40"/>
    </row>
    <row r="726">
      <c r="A726" s="9"/>
      <c r="I726" s="22"/>
      <c r="L726" s="40"/>
      <c r="M726" s="40"/>
      <c r="N726" s="40"/>
    </row>
    <row r="727">
      <c r="A727" s="9"/>
      <c r="I727" s="22"/>
      <c r="L727" s="40"/>
      <c r="M727" s="40"/>
      <c r="N727" s="40"/>
    </row>
    <row r="728">
      <c r="A728" s="9"/>
      <c r="I728" s="22"/>
      <c r="L728" s="40"/>
      <c r="M728" s="40"/>
      <c r="N728" s="40"/>
    </row>
    <row r="729">
      <c r="A729" s="9"/>
      <c r="I729" s="22"/>
      <c r="L729" s="40"/>
      <c r="M729" s="40"/>
      <c r="N729" s="40"/>
    </row>
    <row r="730">
      <c r="A730" s="9"/>
      <c r="I730" s="22"/>
      <c r="L730" s="40"/>
      <c r="M730" s="40"/>
      <c r="N730" s="40"/>
    </row>
    <row r="731">
      <c r="A731" s="9"/>
      <c r="I731" s="22"/>
      <c r="L731" s="40"/>
      <c r="M731" s="40"/>
      <c r="N731" s="40"/>
    </row>
    <row r="732">
      <c r="A732" s="9"/>
      <c r="I732" s="22"/>
      <c r="L732" s="40"/>
      <c r="M732" s="40"/>
      <c r="N732" s="40"/>
    </row>
    <row r="733">
      <c r="A733" s="9"/>
      <c r="I733" s="22"/>
      <c r="L733" s="40"/>
      <c r="M733" s="40"/>
      <c r="N733" s="40"/>
    </row>
    <row r="734">
      <c r="A734" s="9"/>
      <c r="I734" s="22"/>
      <c r="L734" s="40"/>
      <c r="M734" s="40"/>
      <c r="N734" s="40"/>
    </row>
    <row r="735">
      <c r="A735" s="9"/>
      <c r="I735" s="22"/>
      <c r="L735" s="40"/>
      <c r="M735" s="40"/>
      <c r="N735" s="40"/>
    </row>
    <row r="736">
      <c r="A736" s="9"/>
      <c r="I736" s="22"/>
      <c r="L736" s="40"/>
      <c r="M736" s="40"/>
      <c r="N736" s="40"/>
    </row>
    <row r="737">
      <c r="A737" s="9"/>
      <c r="I737" s="22"/>
      <c r="L737" s="40"/>
      <c r="M737" s="40"/>
      <c r="N737" s="40"/>
    </row>
    <row r="738">
      <c r="A738" s="9"/>
      <c r="I738" s="22"/>
      <c r="L738" s="40"/>
      <c r="M738" s="40"/>
      <c r="N738" s="40"/>
    </row>
    <row r="739">
      <c r="A739" s="9"/>
      <c r="I739" s="22"/>
      <c r="L739" s="40"/>
      <c r="M739" s="40"/>
      <c r="N739" s="40"/>
    </row>
    <row r="740">
      <c r="A740" s="9"/>
      <c r="I740" s="22"/>
      <c r="L740" s="40"/>
      <c r="M740" s="40"/>
      <c r="N740" s="40"/>
    </row>
    <row r="741">
      <c r="A741" s="9"/>
      <c r="I741" s="22"/>
      <c r="L741" s="40"/>
      <c r="M741" s="40"/>
      <c r="N741" s="40"/>
    </row>
    <row r="742">
      <c r="A742" s="9"/>
      <c r="I742" s="22"/>
      <c r="L742" s="40"/>
      <c r="M742" s="40"/>
      <c r="N742" s="40"/>
    </row>
    <row r="743">
      <c r="A743" s="9"/>
      <c r="I743" s="22"/>
      <c r="L743" s="40"/>
      <c r="M743" s="40"/>
      <c r="N743" s="40"/>
    </row>
    <row r="744">
      <c r="A744" s="9"/>
      <c r="I744" s="22"/>
      <c r="L744" s="40"/>
      <c r="M744" s="40"/>
      <c r="N744" s="40"/>
    </row>
    <row r="745">
      <c r="A745" s="9"/>
      <c r="I745" s="22"/>
      <c r="L745" s="40"/>
      <c r="M745" s="40"/>
      <c r="N745" s="40"/>
    </row>
    <row r="746">
      <c r="A746" s="9"/>
      <c r="I746" s="22"/>
      <c r="L746" s="40"/>
      <c r="M746" s="40"/>
      <c r="N746" s="40"/>
    </row>
    <row r="747">
      <c r="A747" s="9"/>
      <c r="I747" s="22"/>
      <c r="L747" s="40"/>
      <c r="M747" s="40"/>
      <c r="N747" s="40"/>
    </row>
    <row r="748">
      <c r="A748" s="9"/>
      <c r="I748" s="22"/>
      <c r="L748" s="40"/>
      <c r="M748" s="40"/>
      <c r="N748" s="40"/>
    </row>
    <row r="749">
      <c r="A749" s="9"/>
      <c r="I749" s="22"/>
      <c r="L749" s="40"/>
      <c r="M749" s="40"/>
      <c r="N749" s="40"/>
    </row>
    <row r="750">
      <c r="A750" s="9"/>
      <c r="I750" s="22"/>
      <c r="L750" s="40"/>
      <c r="M750" s="40"/>
      <c r="N750" s="40"/>
    </row>
    <row r="751">
      <c r="A751" s="9"/>
      <c r="I751" s="22"/>
      <c r="L751" s="40"/>
      <c r="M751" s="40"/>
      <c r="N751" s="40"/>
    </row>
    <row r="752">
      <c r="A752" s="9"/>
      <c r="I752" s="22"/>
      <c r="L752" s="40"/>
      <c r="M752" s="40"/>
      <c r="N752" s="40"/>
    </row>
    <row r="753">
      <c r="A753" s="9"/>
      <c r="I753" s="22"/>
      <c r="L753" s="40"/>
      <c r="M753" s="40"/>
      <c r="N753" s="40"/>
    </row>
    <row r="754">
      <c r="A754" s="9"/>
      <c r="I754" s="22"/>
      <c r="L754" s="40"/>
      <c r="M754" s="40"/>
      <c r="N754" s="40"/>
    </row>
    <row r="755">
      <c r="A755" s="9"/>
      <c r="I755" s="22"/>
      <c r="L755" s="40"/>
      <c r="M755" s="40"/>
      <c r="N755" s="40"/>
    </row>
    <row r="756">
      <c r="A756" s="9"/>
      <c r="I756" s="22"/>
      <c r="L756" s="40"/>
      <c r="M756" s="40"/>
      <c r="N756" s="40"/>
    </row>
    <row r="757">
      <c r="A757" s="9"/>
      <c r="I757" s="22"/>
      <c r="L757" s="40"/>
      <c r="M757" s="40"/>
      <c r="N757" s="40"/>
    </row>
    <row r="758">
      <c r="A758" s="9"/>
      <c r="I758" s="22"/>
      <c r="L758" s="40"/>
      <c r="M758" s="40"/>
      <c r="N758" s="40"/>
    </row>
    <row r="759">
      <c r="A759" s="9"/>
      <c r="I759" s="22"/>
      <c r="L759" s="40"/>
      <c r="M759" s="40"/>
      <c r="N759" s="40"/>
    </row>
    <row r="760">
      <c r="A760" s="9"/>
      <c r="I760" s="22"/>
      <c r="L760" s="40"/>
      <c r="M760" s="40"/>
      <c r="N760" s="40"/>
    </row>
    <row r="761">
      <c r="A761" s="9"/>
      <c r="I761" s="22"/>
      <c r="L761" s="40"/>
      <c r="M761" s="40"/>
      <c r="N761" s="40"/>
    </row>
    <row r="762">
      <c r="A762" s="9"/>
      <c r="I762" s="22"/>
      <c r="L762" s="40"/>
      <c r="M762" s="40"/>
      <c r="N762" s="40"/>
    </row>
    <row r="763">
      <c r="A763" s="9"/>
      <c r="I763" s="22"/>
      <c r="L763" s="40"/>
      <c r="M763" s="40"/>
      <c r="N763" s="40"/>
    </row>
    <row r="764">
      <c r="A764" s="9"/>
      <c r="I764" s="22"/>
      <c r="L764" s="40"/>
      <c r="M764" s="40"/>
      <c r="N764" s="40"/>
    </row>
    <row r="765">
      <c r="A765" s="9"/>
      <c r="I765" s="22"/>
      <c r="L765" s="40"/>
      <c r="M765" s="40"/>
      <c r="N765" s="40"/>
    </row>
    <row r="766">
      <c r="A766" s="9"/>
      <c r="I766" s="22"/>
      <c r="L766" s="40"/>
      <c r="M766" s="40"/>
      <c r="N766" s="40"/>
    </row>
    <row r="767">
      <c r="A767" s="9"/>
      <c r="I767" s="22"/>
      <c r="L767" s="40"/>
      <c r="M767" s="40"/>
      <c r="N767" s="40"/>
    </row>
    <row r="768">
      <c r="A768" s="9"/>
      <c r="I768" s="22"/>
      <c r="L768" s="40"/>
      <c r="M768" s="40"/>
      <c r="N768" s="40"/>
    </row>
    <row r="769">
      <c r="A769" s="9"/>
      <c r="I769" s="22"/>
      <c r="L769" s="40"/>
      <c r="M769" s="40"/>
      <c r="N769" s="40"/>
    </row>
    <row r="770">
      <c r="A770" s="9"/>
      <c r="I770" s="22"/>
      <c r="L770" s="40"/>
      <c r="M770" s="40"/>
      <c r="N770" s="40"/>
    </row>
    <row r="771">
      <c r="A771" s="9"/>
      <c r="I771" s="22"/>
      <c r="L771" s="40"/>
      <c r="M771" s="40"/>
      <c r="N771" s="40"/>
    </row>
    <row r="772">
      <c r="A772" s="9"/>
      <c r="I772" s="22"/>
      <c r="L772" s="40"/>
      <c r="M772" s="40"/>
      <c r="N772" s="40"/>
    </row>
    <row r="773">
      <c r="A773" s="9"/>
      <c r="I773" s="22"/>
      <c r="L773" s="40"/>
      <c r="M773" s="40"/>
      <c r="N773" s="40"/>
    </row>
    <row r="774">
      <c r="A774" s="9"/>
      <c r="I774" s="22"/>
      <c r="L774" s="40"/>
      <c r="M774" s="40"/>
      <c r="N774" s="40"/>
    </row>
    <row r="775">
      <c r="A775" s="9"/>
      <c r="I775" s="22"/>
      <c r="L775" s="40"/>
      <c r="M775" s="40"/>
      <c r="N775" s="40"/>
    </row>
    <row r="776">
      <c r="A776" s="9"/>
      <c r="I776" s="22"/>
      <c r="L776" s="40"/>
      <c r="M776" s="40"/>
      <c r="N776" s="40"/>
    </row>
    <row r="777">
      <c r="A777" s="9"/>
      <c r="I777" s="22"/>
      <c r="L777" s="40"/>
      <c r="M777" s="40"/>
      <c r="N777" s="40"/>
    </row>
    <row r="778">
      <c r="A778" s="9"/>
      <c r="I778" s="22"/>
      <c r="L778" s="40"/>
      <c r="M778" s="40"/>
      <c r="N778" s="40"/>
    </row>
    <row r="779">
      <c r="A779" s="9"/>
      <c r="I779" s="22"/>
      <c r="L779" s="40"/>
      <c r="M779" s="40"/>
      <c r="N779" s="40"/>
    </row>
    <row r="780">
      <c r="A780" s="9"/>
      <c r="I780" s="22"/>
      <c r="L780" s="40"/>
      <c r="M780" s="40"/>
      <c r="N780" s="40"/>
    </row>
    <row r="781">
      <c r="A781" s="9"/>
      <c r="I781" s="22"/>
      <c r="L781" s="40"/>
      <c r="M781" s="40"/>
      <c r="N781" s="40"/>
    </row>
    <row r="782">
      <c r="A782" s="9"/>
      <c r="I782" s="22"/>
      <c r="L782" s="40"/>
      <c r="M782" s="40"/>
      <c r="N782" s="40"/>
    </row>
    <row r="783">
      <c r="A783" s="9"/>
      <c r="I783" s="22"/>
      <c r="L783" s="40"/>
      <c r="M783" s="40"/>
      <c r="N783" s="40"/>
    </row>
    <row r="784">
      <c r="A784" s="9"/>
      <c r="I784" s="22"/>
      <c r="L784" s="40"/>
      <c r="M784" s="40"/>
      <c r="N784" s="40"/>
    </row>
    <row r="785">
      <c r="A785" s="9"/>
      <c r="I785" s="22"/>
      <c r="L785" s="40"/>
      <c r="M785" s="40"/>
      <c r="N785" s="40"/>
    </row>
    <row r="786">
      <c r="A786" s="9"/>
      <c r="I786" s="22"/>
      <c r="L786" s="40"/>
      <c r="M786" s="40"/>
      <c r="N786" s="40"/>
    </row>
    <row r="787">
      <c r="A787" s="9"/>
      <c r="I787" s="22"/>
      <c r="L787" s="40"/>
      <c r="M787" s="40"/>
      <c r="N787" s="40"/>
    </row>
    <row r="788">
      <c r="A788" s="9"/>
      <c r="I788" s="22"/>
      <c r="L788" s="40"/>
      <c r="M788" s="40"/>
      <c r="N788" s="40"/>
    </row>
    <row r="789">
      <c r="A789" s="9"/>
      <c r="I789" s="22"/>
      <c r="L789" s="40"/>
      <c r="M789" s="40"/>
      <c r="N789" s="40"/>
    </row>
    <row r="790">
      <c r="A790" s="9"/>
      <c r="I790" s="22"/>
      <c r="L790" s="40"/>
      <c r="M790" s="40"/>
      <c r="N790" s="40"/>
    </row>
    <row r="791">
      <c r="A791" s="9"/>
      <c r="I791" s="22"/>
      <c r="L791" s="40"/>
      <c r="M791" s="40"/>
      <c r="N791" s="40"/>
    </row>
    <row r="792">
      <c r="A792" s="9"/>
      <c r="I792" s="22"/>
      <c r="L792" s="40"/>
      <c r="M792" s="40"/>
      <c r="N792" s="40"/>
    </row>
    <row r="793">
      <c r="A793" s="9"/>
      <c r="I793" s="22"/>
      <c r="L793" s="40"/>
      <c r="M793" s="40"/>
      <c r="N793" s="40"/>
    </row>
    <row r="794">
      <c r="A794" s="9"/>
      <c r="I794" s="22"/>
      <c r="L794" s="40"/>
      <c r="M794" s="40"/>
      <c r="N794" s="40"/>
    </row>
    <row r="795">
      <c r="A795" s="9"/>
      <c r="I795" s="22"/>
      <c r="L795" s="40"/>
      <c r="M795" s="40"/>
      <c r="N795" s="40"/>
    </row>
    <row r="796">
      <c r="A796" s="9"/>
      <c r="I796" s="22"/>
      <c r="L796" s="40"/>
      <c r="M796" s="40"/>
      <c r="N796" s="40"/>
    </row>
    <row r="797">
      <c r="A797" s="9"/>
      <c r="I797" s="22"/>
      <c r="L797" s="40"/>
      <c r="M797" s="40"/>
      <c r="N797" s="40"/>
    </row>
    <row r="798">
      <c r="A798" s="9"/>
      <c r="I798" s="22"/>
      <c r="L798" s="40"/>
      <c r="M798" s="40"/>
      <c r="N798" s="40"/>
    </row>
    <row r="799">
      <c r="A799" s="9"/>
      <c r="I799" s="22"/>
      <c r="L799" s="40"/>
      <c r="M799" s="40"/>
      <c r="N799" s="40"/>
    </row>
    <row r="800">
      <c r="A800" s="9"/>
      <c r="I800" s="22"/>
      <c r="L800" s="40"/>
      <c r="M800" s="40"/>
      <c r="N800" s="40"/>
    </row>
    <row r="801">
      <c r="A801" s="9"/>
      <c r="I801" s="22"/>
      <c r="L801" s="40"/>
      <c r="M801" s="40"/>
      <c r="N801" s="40"/>
    </row>
    <row r="802">
      <c r="A802" s="9"/>
      <c r="I802" s="22"/>
      <c r="L802" s="40"/>
      <c r="M802" s="40"/>
      <c r="N802" s="40"/>
    </row>
    <row r="803">
      <c r="A803" s="9"/>
      <c r="I803" s="22"/>
      <c r="L803" s="40"/>
      <c r="M803" s="40"/>
      <c r="N803" s="40"/>
    </row>
    <row r="804">
      <c r="A804" s="9"/>
      <c r="I804" s="22"/>
      <c r="L804" s="40"/>
      <c r="M804" s="40"/>
      <c r="N804" s="40"/>
    </row>
    <row r="805">
      <c r="A805" s="9"/>
      <c r="I805" s="22"/>
      <c r="L805" s="40"/>
      <c r="M805" s="40"/>
      <c r="N805" s="40"/>
    </row>
    <row r="806">
      <c r="A806" s="9"/>
      <c r="I806" s="22"/>
      <c r="L806" s="40"/>
      <c r="M806" s="40"/>
      <c r="N806" s="40"/>
    </row>
    <row r="807">
      <c r="A807" s="9"/>
      <c r="I807" s="22"/>
      <c r="L807" s="40"/>
      <c r="M807" s="40"/>
      <c r="N807" s="40"/>
    </row>
    <row r="808">
      <c r="A808" s="9"/>
      <c r="I808" s="22"/>
      <c r="L808" s="40"/>
      <c r="M808" s="40"/>
      <c r="N808" s="40"/>
    </row>
    <row r="809">
      <c r="A809" s="9"/>
      <c r="I809" s="22"/>
      <c r="L809" s="40"/>
      <c r="M809" s="40"/>
      <c r="N809" s="40"/>
    </row>
    <row r="810">
      <c r="A810" s="9"/>
      <c r="I810" s="22"/>
      <c r="L810" s="40"/>
      <c r="M810" s="40"/>
      <c r="N810" s="40"/>
    </row>
    <row r="811">
      <c r="A811" s="9"/>
      <c r="I811" s="22"/>
      <c r="L811" s="40"/>
      <c r="M811" s="40"/>
      <c r="N811" s="40"/>
    </row>
    <row r="812">
      <c r="A812" s="9"/>
      <c r="I812" s="22"/>
      <c r="L812" s="40"/>
      <c r="M812" s="40"/>
      <c r="N812" s="40"/>
    </row>
    <row r="813">
      <c r="A813" s="9"/>
      <c r="I813" s="22"/>
      <c r="L813" s="40"/>
      <c r="M813" s="40"/>
      <c r="N813" s="40"/>
    </row>
    <row r="814">
      <c r="A814" s="9"/>
      <c r="I814" s="22"/>
      <c r="L814" s="40"/>
      <c r="M814" s="40"/>
      <c r="N814" s="40"/>
    </row>
    <row r="815">
      <c r="A815" s="9"/>
      <c r="I815" s="22"/>
      <c r="L815" s="40"/>
      <c r="M815" s="40"/>
      <c r="N815" s="40"/>
    </row>
    <row r="816">
      <c r="A816" s="9"/>
      <c r="I816" s="22"/>
      <c r="L816" s="40"/>
      <c r="M816" s="40"/>
      <c r="N816" s="40"/>
    </row>
    <row r="817">
      <c r="A817" s="9"/>
      <c r="I817" s="22"/>
      <c r="L817" s="40"/>
      <c r="M817" s="40"/>
      <c r="N817" s="40"/>
    </row>
    <row r="818">
      <c r="A818" s="9"/>
      <c r="I818" s="22"/>
      <c r="L818" s="40"/>
      <c r="M818" s="40"/>
      <c r="N818" s="40"/>
    </row>
    <row r="819">
      <c r="A819" s="9"/>
      <c r="I819" s="22"/>
      <c r="L819" s="40"/>
      <c r="M819" s="40"/>
      <c r="N819" s="40"/>
    </row>
    <row r="820">
      <c r="A820" s="9"/>
      <c r="I820" s="22"/>
      <c r="L820" s="40"/>
      <c r="M820" s="40"/>
      <c r="N820" s="40"/>
    </row>
    <row r="821">
      <c r="A821" s="9"/>
      <c r="I821" s="22"/>
      <c r="L821" s="40"/>
      <c r="M821" s="40"/>
      <c r="N821" s="40"/>
    </row>
    <row r="822">
      <c r="A822" s="9"/>
      <c r="I822" s="22"/>
      <c r="L822" s="40"/>
      <c r="M822" s="40"/>
      <c r="N822" s="40"/>
    </row>
    <row r="823">
      <c r="A823" s="9"/>
      <c r="I823" s="22"/>
      <c r="L823" s="40"/>
      <c r="M823" s="40"/>
      <c r="N823" s="40"/>
    </row>
    <row r="824">
      <c r="A824" s="9"/>
      <c r="I824" s="22"/>
      <c r="L824" s="40"/>
      <c r="M824" s="40"/>
      <c r="N824" s="40"/>
    </row>
    <row r="825">
      <c r="A825" s="9"/>
      <c r="I825" s="22"/>
      <c r="L825" s="40"/>
      <c r="M825" s="40"/>
      <c r="N825" s="40"/>
    </row>
    <row r="826">
      <c r="A826" s="9"/>
      <c r="I826" s="22"/>
      <c r="L826" s="40"/>
      <c r="M826" s="40"/>
      <c r="N826" s="40"/>
    </row>
    <row r="827">
      <c r="A827" s="9"/>
      <c r="I827" s="22"/>
      <c r="L827" s="40"/>
      <c r="M827" s="40"/>
      <c r="N827" s="40"/>
    </row>
    <row r="828">
      <c r="A828" s="9"/>
      <c r="I828" s="22"/>
      <c r="L828" s="40"/>
      <c r="M828" s="40"/>
      <c r="N828" s="40"/>
    </row>
    <row r="829">
      <c r="A829" s="9"/>
      <c r="I829" s="22"/>
      <c r="L829" s="40"/>
      <c r="M829" s="40"/>
      <c r="N829" s="40"/>
    </row>
    <row r="830">
      <c r="A830" s="9"/>
      <c r="I830" s="22"/>
      <c r="L830" s="40"/>
      <c r="M830" s="40"/>
      <c r="N830" s="40"/>
    </row>
    <row r="831">
      <c r="A831" s="9"/>
      <c r="I831" s="22"/>
      <c r="L831" s="40"/>
      <c r="M831" s="40"/>
      <c r="N831" s="40"/>
    </row>
    <row r="832">
      <c r="A832" s="9"/>
      <c r="I832" s="22"/>
      <c r="L832" s="40"/>
      <c r="M832" s="40"/>
      <c r="N832" s="40"/>
    </row>
    <row r="833">
      <c r="A833" s="9"/>
      <c r="I833" s="22"/>
      <c r="L833" s="40"/>
      <c r="M833" s="40"/>
      <c r="N833" s="40"/>
    </row>
    <row r="834">
      <c r="A834" s="9"/>
      <c r="I834" s="22"/>
      <c r="L834" s="40"/>
      <c r="M834" s="40"/>
      <c r="N834" s="40"/>
    </row>
    <row r="835">
      <c r="A835" s="9"/>
      <c r="I835" s="22"/>
      <c r="L835" s="40"/>
      <c r="M835" s="40"/>
      <c r="N835" s="40"/>
    </row>
    <row r="836">
      <c r="A836" s="9"/>
      <c r="I836" s="22"/>
      <c r="L836" s="40"/>
      <c r="M836" s="40"/>
      <c r="N836" s="40"/>
    </row>
    <row r="837">
      <c r="A837" s="9"/>
      <c r="I837" s="22"/>
      <c r="L837" s="40"/>
      <c r="M837" s="40"/>
      <c r="N837" s="40"/>
    </row>
    <row r="838">
      <c r="A838" s="9"/>
      <c r="I838" s="22"/>
      <c r="L838" s="40"/>
      <c r="M838" s="40"/>
      <c r="N838" s="40"/>
    </row>
    <row r="839">
      <c r="A839" s="9"/>
      <c r="I839" s="22"/>
      <c r="L839" s="40"/>
      <c r="M839" s="40"/>
      <c r="N839" s="40"/>
    </row>
    <row r="840">
      <c r="A840" s="9"/>
      <c r="I840" s="22"/>
      <c r="L840" s="40"/>
      <c r="M840" s="40"/>
      <c r="N840" s="40"/>
    </row>
    <row r="841">
      <c r="A841" s="9"/>
      <c r="I841" s="22"/>
      <c r="L841" s="40"/>
      <c r="M841" s="40"/>
      <c r="N841" s="40"/>
    </row>
    <row r="842">
      <c r="A842" s="9"/>
      <c r="I842" s="22"/>
      <c r="L842" s="40"/>
      <c r="M842" s="40"/>
      <c r="N842" s="40"/>
    </row>
    <row r="843">
      <c r="A843" s="9"/>
      <c r="I843" s="22"/>
      <c r="L843" s="40"/>
      <c r="M843" s="40"/>
      <c r="N843" s="40"/>
    </row>
    <row r="844">
      <c r="A844" s="9"/>
      <c r="I844" s="22"/>
      <c r="L844" s="40"/>
      <c r="M844" s="40"/>
      <c r="N844" s="40"/>
    </row>
    <row r="845">
      <c r="A845" s="9"/>
      <c r="I845" s="22"/>
      <c r="L845" s="40"/>
      <c r="M845" s="40"/>
      <c r="N845" s="40"/>
    </row>
    <row r="846">
      <c r="A846" s="9"/>
      <c r="I846" s="22"/>
      <c r="L846" s="40"/>
      <c r="M846" s="40"/>
      <c r="N846" s="40"/>
    </row>
    <row r="847">
      <c r="A847" s="9"/>
      <c r="I847" s="22"/>
      <c r="L847" s="40"/>
      <c r="M847" s="40"/>
      <c r="N847" s="40"/>
    </row>
    <row r="848">
      <c r="A848" s="9"/>
      <c r="I848" s="22"/>
      <c r="L848" s="40"/>
      <c r="M848" s="40"/>
      <c r="N848" s="40"/>
    </row>
    <row r="849">
      <c r="A849" s="9"/>
      <c r="I849" s="22"/>
      <c r="L849" s="40"/>
      <c r="M849" s="40"/>
      <c r="N849" s="40"/>
    </row>
    <row r="850">
      <c r="A850" s="9"/>
      <c r="I850" s="22"/>
      <c r="L850" s="40"/>
      <c r="M850" s="40"/>
      <c r="N850" s="40"/>
    </row>
    <row r="851">
      <c r="A851" s="9"/>
      <c r="I851" s="22"/>
      <c r="L851" s="40"/>
      <c r="M851" s="40"/>
      <c r="N851" s="40"/>
    </row>
    <row r="852">
      <c r="A852" s="9"/>
      <c r="I852" s="22"/>
      <c r="L852" s="40"/>
      <c r="M852" s="40"/>
      <c r="N852" s="40"/>
    </row>
    <row r="853">
      <c r="A853" s="9"/>
      <c r="I853" s="22"/>
      <c r="L853" s="40"/>
      <c r="M853" s="40"/>
      <c r="N853" s="40"/>
    </row>
    <row r="854">
      <c r="A854" s="9"/>
      <c r="I854" s="22"/>
      <c r="L854" s="40"/>
      <c r="M854" s="40"/>
      <c r="N854" s="40"/>
    </row>
    <row r="855">
      <c r="A855" s="9"/>
      <c r="I855" s="22"/>
      <c r="L855" s="40"/>
      <c r="M855" s="40"/>
      <c r="N855" s="40"/>
    </row>
    <row r="856">
      <c r="A856" s="9"/>
      <c r="I856" s="22"/>
      <c r="L856" s="40"/>
      <c r="M856" s="40"/>
      <c r="N856" s="40"/>
    </row>
    <row r="857">
      <c r="A857" s="9"/>
      <c r="I857" s="22"/>
      <c r="L857" s="40"/>
      <c r="M857" s="40"/>
      <c r="N857" s="40"/>
    </row>
    <row r="858">
      <c r="A858" s="9"/>
      <c r="I858" s="22"/>
      <c r="L858" s="40"/>
      <c r="M858" s="40"/>
      <c r="N858" s="40"/>
    </row>
    <row r="859">
      <c r="A859" s="9"/>
      <c r="I859" s="22"/>
      <c r="L859" s="40"/>
      <c r="M859" s="40"/>
      <c r="N859" s="40"/>
    </row>
    <row r="860">
      <c r="A860" s="9"/>
      <c r="I860" s="22"/>
      <c r="L860" s="40"/>
      <c r="M860" s="40"/>
      <c r="N860" s="40"/>
    </row>
    <row r="861">
      <c r="A861" s="9"/>
      <c r="I861" s="22"/>
      <c r="L861" s="40"/>
      <c r="M861" s="40"/>
      <c r="N861" s="40"/>
    </row>
    <row r="862">
      <c r="A862" s="9"/>
      <c r="I862" s="22"/>
      <c r="L862" s="40"/>
      <c r="M862" s="40"/>
      <c r="N862" s="40"/>
    </row>
    <row r="863">
      <c r="A863" s="9"/>
      <c r="I863" s="22"/>
      <c r="L863" s="40"/>
      <c r="M863" s="40"/>
      <c r="N863" s="40"/>
    </row>
    <row r="864">
      <c r="A864" s="9"/>
      <c r="I864" s="22"/>
      <c r="L864" s="40"/>
      <c r="M864" s="40"/>
      <c r="N864" s="40"/>
    </row>
    <row r="865">
      <c r="A865" s="9"/>
      <c r="I865" s="22"/>
      <c r="L865" s="40"/>
      <c r="M865" s="40"/>
      <c r="N865" s="40"/>
    </row>
    <row r="866">
      <c r="A866" s="9"/>
      <c r="I866" s="22"/>
      <c r="L866" s="40"/>
      <c r="M866" s="40"/>
      <c r="N866" s="40"/>
    </row>
    <row r="867">
      <c r="A867" s="9"/>
      <c r="I867" s="22"/>
      <c r="L867" s="40"/>
      <c r="M867" s="40"/>
      <c r="N867" s="40"/>
    </row>
    <row r="868">
      <c r="A868" s="9"/>
      <c r="I868" s="22"/>
      <c r="L868" s="40"/>
      <c r="M868" s="40"/>
      <c r="N868" s="40"/>
    </row>
    <row r="869">
      <c r="A869" s="9"/>
      <c r="I869" s="22"/>
      <c r="L869" s="40"/>
      <c r="M869" s="40"/>
      <c r="N869" s="40"/>
    </row>
    <row r="870">
      <c r="A870" s="9"/>
      <c r="I870" s="22"/>
      <c r="L870" s="40"/>
      <c r="M870" s="40"/>
      <c r="N870" s="40"/>
    </row>
    <row r="871">
      <c r="A871" s="9"/>
      <c r="I871" s="22"/>
      <c r="L871" s="40"/>
      <c r="M871" s="40"/>
      <c r="N871" s="40"/>
    </row>
    <row r="872">
      <c r="A872" s="9"/>
      <c r="I872" s="22"/>
      <c r="L872" s="40"/>
      <c r="M872" s="40"/>
      <c r="N872" s="40"/>
    </row>
    <row r="873">
      <c r="A873" s="9"/>
      <c r="I873" s="22"/>
      <c r="L873" s="40"/>
      <c r="M873" s="40"/>
      <c r="N873" s="40"/>
    </row>
    <row r="874">
      <c r="A874" s="9"/>
      <c r="I874" s="22"/>
      <c r="L874" s="40"/>
      <c r="M874" s="40"/>
      <c r="N874" s="40"/>
    </row>
    <row r="875">
      <c r="A875" s="9"/>
      <c r="I875" s="22"/>
      <c r="L875" s="40"/>
      <c r="M875" s="40"/>
      <c r="N875" s="40"/>
    </row>
    <row r="876">
      <c r="A876" s="9"/>
      <c r="I876" s="22"/>
      <c r="L876" s="40"/>
      <c r="M876" s="40"/>
      <c r="N876" s="40"/>
    </row>
    <row r="877">
      <c r="A877" s="9"/>
      <c r="I877" s="22"/>
      <c r="L877" s="40"/>
      <c r="M877" s="40"/>
      <c r="N877" s="40"/>
    </row>
    <row r="878">
      <c r="A878" s="9"/>
      <c r="I878" s="22"/>
      <c r="L878" s="40"/>
      <c r="M878" s="40"/>
      <c r="N878" s="40"/>
    </row>
    <row r="879">
      <c r="A879" s="9"/>
      <c r="I879" s="22"/>
      <c r="L879" s="40"/>
      <c r="M879" s="40"/>
      <c r="N879" s="40"/>
    </row>
    <row r="880">
      <c r="A880" s="9"/>
      <c r="I880" s="22"/>
      <c r="L880" s="40"/>
      <c r="M880" s="40"/>
      <c r="N880" s="40"/>
    </row>
    <row r="881">
      <c r="A881" s="9"/>
      <c r="I881" s="22"/>
      <c r="L881" s="40"/>
      <c r="M881" s="40"/>
      <c r="N881" s="40"/>
    </row>
    <row r="882">
      <c r="A882" s="9"/>
      <c r="I882" s="22"/>
      <c r="L882" s="40"/>
      <c r="M882" s="40"/>
      <c r="N882" s="40"/>
    </row>
    <row r="883">
      <c r="A883" s="9"/>
      <c r="I883" s="22"/>
      <c r="L883" s="40"/>
      <c r="M883" s="40"/>
      <c r="N883" s="40"/>
    </row>
    <row r="884">
      <c r="A884" s="9"/>
      <c r="I884" s="22"/>
      <c r="L884" s="40"/>
      <c r="M884" s="40"/>
      <c r="N884" s="40"/>
    </row>
    <row r="885">
      <c r="A885" s="9"/>
      <c r="I885" s="22"/>
      <c r="L885" s="40"/>
      <c r="M885" s="40"/>
      <c r="N885" s="40"/>
    </row>
    <row r="886">
      <c r="A886" s="9"/>
      <c r="I886" s="22"/>
      <c r="L886" s="40"/>
      <c r="M886" s="40"/>
      <c r="N886" s="40"/>
    </row>
    <row r="887">
      <c r="A887" s="9"/>
      <c r="I887" s="22"/>
      <c r="L887" s="40"/>
      <c r="M887" s="40"/>
      <c r="N887" s="40"/>
    </row>
    <row r="888">
      <c r="A888" s="9"/>
      <c r="I888" s="22"/>
      <c r="L888" s="40"/>
      <c r="M888" s="40"/>
      <c r="N888" s="40"/>
    </row>
    <row r="889">
      <c r="A889" s="9"/>
      <c r="I889" s="22"/>
      <c r="L889" s="40"/>
      <c r="M889" s="40"/>
      <c r="N889" s="40"/>
    </row>
    <row r="890">
      <c r="A890" s="9"/>
      <c r="I890" s="22"/>
      <c r="L890" s="40"/>
      <c r="M890" s="40"/>
      <c r="N890" s="40"/>
    </row>
    <row r="891">
      <c r="A891" s="9"/>
      <c r="I891" s="22"/>
      <c r="L891" s="40"/>
      <c r="M891" s="40"/>
      <c r="N891" s="40"/>
    </row>
    <row r="892">
      <c r="A892" s="9"/>
      <c r="I892" s="22"/>
      <c r="L892" s="40"/>
      <c r="M892" s="40"/>
      <c r="N892" s="40"/>
    </row>
    <row r="893">
      <c r="A893" s="9"/>
      <c r="I893" s="22"/>
      <c r="L893" s="40"/>
      <c r="M893" s="40"/>
      <c r="N893" s="40"/>
    </row>
    <row r="894">
      <c r="A894" s="9"/>
      <c r="I894" s="22"/>
      <c r="L894" s="40"/>
      <c r="M894" s="40"/>
      <c r="N894" s="40"/>
    </row>
    <row r="895">
      <c r="A895" s="9"/>
      <c r="I895" s="22"/>
      <c r="L895" s="40"/>
      <c r="M895" s="40"/>
      <c r="N895" s="40"/>
    </row>
    <row r="896">
      <c r="A896" s="9"/>
      <c r="I896" s="22"/>
      <c r="L896" s="40"/>
      <c r="M896" s="40"/>
      <c r="N896" s="40"/>
    </row>
    <row r="897">
      <c r="A897" s="9"/>
      <c r="I897" s="22"/>
      <c r="L897" s="40"/>
      <c r="M897" s="40"/>
      <c r="N897" s="40"/>
    </row>
    <row r="898">
      <c r="A898" s="9"/>
      <c r="I898" s="22"/>
      <c r="L898" s="40"/>
      <c r="M898" s="40"/>
      <c r="N898" s="40"/>
    </row>
    <row r="899">
      <c r="A899" s="9"/>
      <c r="I899" s="22"/>
      <c r="L899" s="40"/>
      <c r="M899" s="40"/>
      <c r="N899" s="40"/>
    </row>
    <row r="900">
      <c r="A900" s="9"/>
      <c r="I900" s="22"/>
      <c r="L900" s="40"/>
      <c r="M900" s="40"/>
      <c r="N900" s="40"/>
    </row>
    <row r="901">
      <c r="A901" s="9"/>
      <c r="I901" s="22"/>
      <c r="L901" s="40"/>
      <c r="M901" s="40"/>
      <c r="N901" s="40"/>
    </row>
    <row r="902">
      <c r="A902" s="9"/>
      <c r="I902" s="22"/>
      <c r="L902" s="40"/>
      <c r="M902" s="40"/>
      <c r="N902" s="40"/>
    </row>
    <row r="903">
      <c r="A903" s="9"/>
      <c r="I903" s="22"/>
      <c r="L903" s="40"/>
      <c r="M903" s="40"/>
      <c r="N903" s="40"/>
    </row>
    <row r="904">
      <c r="A904" s="9"/>
      <c r="I904" s="22"/>
      <c r="L904" s="40"/>
      <c r="M904" s="40"/>
      <c r="N904" s="40"/>
    </row>
    <row r="905">
      <c r="A905" s="9"/>
      <c r="I905" s="22"/>
      <c r="L905" s="40"/>
      <c r="M905" s="40"/>
      <c r="N905" s="40"/>
    </row>
    <row r="906">
      <c r="A906" s="9"/>
      <c r="I906" s="22"/>
      <c r="L906" s="40"/>
      <c r="M906" s="40"/>
      <c r="N906" s="40"/>
    </row>
    <row r="907">
      <c r="A907" s="9"/>
      <c r="I907" s="22"/>
      <c r="L907" s="40"/>
      <c r="M907" s="40"/>
      <c r="N907" s="40"/>
    </row>
    <row r="908">
      <c r="A908" s="9"/>
      <c r="I908" s="22"/>
      <c r="L908" s="40"/>
      <c r="M908" s="40"/>
      <c r="N908" s="40"/>
    </row>
    <row r="909">
      <c r="A909" s="9"/>
      <c r="I909" s="22"/>
      <c r="L909" s="40"/>
      <c r="M909" s="40"/>
      <c r="N909" s="40"/>
    </row>
    <row r="910">
      <c r="A910" s="9"/>
      <c r="I910" s="22"/>
      <c r="L910" s="40"/>
      <c r="M910" s="40"/>
      <c r="N910" s="40"/>
    </row>
    <row r="911">
      <c r="A911" s="9"/>
      <c r="I911" s="22"/>
      <c r="L911" s="40"/>
      <c r="M911" s="40"/>
      <c r="N911" s="40"/>
    </row>
    <row r="912">
      <c r="A912" s="9"/>
      <c r="I912" s="22"/>
      <c r="L912" s="40"/>
      <c r="M912" s="40"/>
      <c r="N912" s="40"/>
    </row>
    <row r="913">
      <c r="A913" s="9"/>
      <c r="I913" s="22"/>
      <c r="L913" s="40"/>
      <c r="M913" s="40"/>
      <c r="N913" s="40"/>
    </row>
    <row r="914">
      <c r="A914" s="9"/>
      <c r="I914" s="22"/>
      <c r="L914" s="40"/>
      <c r="M914" s="40"/>
      <c r="N914" s="40"/>
    </row>
    <row r="915">
      <c r="A915" s="9"/>
      <c r="I915" s="22"/>
      <c r="L915" s="40"/>
      <c r="M915" s="40"/>
      <c r="N915" s="40"/>
    </row>
    <row r="916">
      <c r="A916" s="9"/>
      <c r="I916" s="22"/>
      <c r="L916" s="40"/>
      <c r="M916" s="40"/>
      <c r="N916" s="40"/>
    </row>
    <row r="917">
      <c r="A917" s="9"/>
      <c r="I917" s="22"/>
      <c r="L917" s="40"/>
      <c r="M917" s="40"/>
      <c r="N917" s="40"/>
    </row>
    <row r="918">
      <c r="A918" s="9"/>
      <c r="I918" s="22"/>
      <c r="L918" s="40"/>
      <c r="M918" s="40"/>
      <c r="N918" s="40"/>
    </row>
    <row r="919">
      <c r="A919" s="9"/>
      <c r="I919" s="22"/>
      <c r="L919" s="40"/>
      <c r="M919" s="40"/>
      <c r="N919" s="40"/>
    </row>
    <row r="920">
      <c r="A920" s="9"/>
      <c r="I920" s="22"/>
      <c r="L920" s="40"/>
      <c r="M920" s="40"/>
      <c r="N920" s="40"/>
    </row>
    <row r="921">
      <c r="A921" s="9"/>
      <c r="I921" s="22"/>
      <c r="L921" s="40"/>
      <c r="M921" s="40"/>
      <c r="N921" s="40"/>
    </row>
    <row r="922">
      <c r="A922" s="9"/>
      <c r="I922" s="22"/>
      <c r="L922" s="40"/>
      <c r="M922" s="40"/>
      <c r="N922" s="40"/>
    </row>
    <row r="923">
      <c r="A923" s="9"/>
      <c r="I923" s="22"/>
      <c r="L923" s="40"/>
      <c r="M923" s="40"/>
      <c r="N923" s="40"/>
    </row>
    <row r="924">
      <c r="A924" s="9"/>
      <c r="I924" s="22"/>
      <c r="L924" s="40"/>
      <c r="M924" s="40"/>
      <c r="N924" s="40"/>
    </row>
    <row r="925">
      <c r="A925" s="9"/>
      <c r="I925" s="22"/>
      <c r="L925" s="40"/>
      <c r="M925" s="40"/>
      <c r="N925" s="40"/>
    </row>
    <row r="926">
      <c r="A926" s="9"/>
      <c r="I926" s="22"/>
      <c r="L926" s="40"/>
      <c r="M926" s="40"/>
      <c r="N926" s="40"/>
    </row>
    <row r="927">
      <c r="A927" s="9"/>
      <c r="I927" s="22"/>
      <c r="L927" s="40"/>
      <c r="M927" s="40"/>
      <c r="N927" s="40"/>
    </row>
    <row r="928">
      <c r="A928" s="9"/>
      <c r="I928" s="22"/>
      <c r="L928" s="40"/>
      <c r="M928" s="40"/>
      <c r="N928" s="40"/>
    </row>
    <row r="929">
      <c r="A929" s="9"/>
      <c r="I929" s="22"/>
      <c r="L929" s="40"/>
      <c r="M929" s="40"/>
      <c r="N929" s="40"/>
    </row>
    <row r="930">
      <c r="A930" s="9"/>
      <c r="I930" s="22"/>
      <c r="L930" s="40"/>
      <c r="M930" s="40"/>
      <c r="N930" s="40"/>
    </row>
    <row r="931">
      <c r="A931" s="9"/>
      <c r="I931" s="22"/>
      <c r="L931" s="40"/>
      <c r="M931" s="40"/>
      <c r="N931" s="40"/>
    </row>
    <row r="932">
      <c r="A932" s="9"/>
      <c r="I932" s="22"/>
      <c r="L932" s="40"/>
      <c r="M932" s="40"/>
      <c r="N932" s="40"/>
    </row>
    <row r="933">
      <c r="A933" s="9"/>
      <c r="I933" s="22"/>
      <c r="L933" s="40"/>
      <c r="M933" s="40"/>
      <c r="N933" s="40"/>
    </row>
    <row r="934">
      <c r="A934" s="9"/>
      <c r="I934" s="22"/>
      <c r="L934" s="40"/>
      <c r="M934" s="40"/>
      <c r="N934" s="40"/>
    </row>
    <row r="935">
      <c r="A935" s="9"/>
      <c r="I935" s="22"/>
      <c r="L935" s="40"/>
      <c r="M935" s="40"/>
      <c r="N935" s="40"/>
    </row>
    <row r="936">
      <c r="A936" s="9"/>
      <c r="I936" s="22"/>
      <c r="L936" s="40"/>
      <c r="M936" s="40"/>
      <c r="N936" s="40"/>
    </row>
    <row r="937">
      <c r="A937" s="9"/>
      <c r="I937" s="22"/>
      <c r="L937" s="40"/>
      <c r="M937" s="40"/>
      <c r="N937" s="40"/>
    </row>
    <row r="938">
      <c r="A938" s="9"/>
      <c r="I938" s="22"/>
      <c r="L938" s="40"/>
      <c r="M938" s="40"/>
      <c r="N938" s="40"/>
    </row>
    <row r="939">
      <c r="A939" s="9"/>
      <c r="I939" s="22"/>
      <c r="L939" s="40"/>
      <c r="M939" s="40"/>
      <c r="N939" s="40"/>
    </row>
    <row r="940">
      <c r="A940" s="9"/>
      <c r="I940" s="22"/>
      <c r="L940" s="40"/>
      <c r="M940" s="40"/>
      <c r="N940" s="40"/>
    </row>
    <row r="941">
      <c r="A941" s="9"/>
      <c r="I941" s="22"/>
      <c r="L941" s="40"/>
      <c r="M941" s="40"/>
      <c r="N941" s="40"/>
    </row>
    <row r="942">
      <c r="A942" s="9"/>
      <c r="I942" s="22"/>
      <c r="L942" s="40"/>
      <c r="M942" s="40"/>
      <c r="N942" s="40"/>
    </row>
    <row r="943">
      <c r="A943" s="9"/>
      <c r="I943" s="22"/>
      <c r="L943" s="40"/>
      <c r="M943" s="40"/>
      <c r="N943" s="40"/>
    </row>
    <row r="944">
      <c r="A944" s="9"/>
      <c r="I944" s="22"/>
      <c r="L944" s="40"/>
      <c r="M944" s="40"/>
      <c r="N944" s="40"/>
    </row>
    <row r="945">
      <c r="A945" s="9"/>
      <c r="I945" s="22"/>
      <c r="L945" s="40"/>
      <c r="M945" s="40"/>
      <c r="N945" s="40"/>
    </row>
    <row r="946">
      <c r="A946" s="9"/>
      <c r="I946" s="22"/>
      <c r="L946" s="40"/>
      <c r="M946" s="40"/>
      <c r="N946" s="40"/>
    </row>
    <row r="947">
      <c r="A947" s="9"/>
      <c r="I947" s="22"/>
      <c r="L947" s="40"/>
      <c r="M947" s="40"/>
      <c r="N947" s="40"/>
    </row>
    <row r="948">
      <c r="A948" s="9"/>
      <c r="I948" s="22"/>
      <c r="L948" s="40"/>
      <c r="M948" s="40"/>
      <c r="N948" s="40"/>
    </row>
    <row r="949">
      <c r="A949" s="9"/>
      <c r="I949" s="22"/>
      <c r="L949" s="40"/>
      <c r="M949" s="40"/>
      <c r="N949" s="40"/>
    </row>
    <row r="950">
      <c r="A950" s="9"/>
      <c r="I950" s="22"/>
      <c r="L950" s="40"/>
      <c r="M950" s="40"/>
      <c r="N950" s="40"/>
    </row>
    <row r="951">
      <c r="A951" s="9"/>
      <c r="I951" s="22"/>
      <c r="L951" s="40"/>
      <c r="M951" s="40"/>
      <c r="N951" s="40"/>
    </row>
    <row r="952">
      <c r="A952" s="9"/>
      <c r="I952" s="22"/>
      <c r="L952" s="40"/>
      <c r="M952" s="40"/>
      <c r="N952" s="40"/>
    </row>
    <row r="953">
      <c r="A953" s="9"/>
      <c r="I953" s="22"/>
      <c r="L953" s="40"/>
      <c r="M953" s="40"/>
      <c r="N953" s="40"/>
    </row>
    <row r="954">
      <c r="A954" s="9"/>
      <c r="I954" s="22"/>
      <c r="L954" s="40"/>
      <c r="M954" s="40"/>
      <c r="N954" s="40"/>
    </row>
    <row r="955">
      <c r="A955" s="9"/>
      <c r="I955" s="22"/>
      <c r="L955" s="40"/>
      <c r="M955" s="40"/>
      <c r="N955" s="40"/>
    </row>
    <row r="956">
      <c r="A956" s="9"/>
      <c r="I956" s="22"/>
      <c r="L956" s="40"/>
      <c r="M956" s="40"/>
      <c r="N956" s="40"/>
    </row>
    <row r="957">
      <c r="A957" s="9"/>
      <c r="I957" s="22"/>
      <c r="L957" s="40"/>
      <c r="M957" s="40"/>
      <c r="N957" s="40"/>
    </row>
    <row r="958">
      <c r="A958" s="9"/>
      <c r="I958" s="22"/>
      <c r="L958" s="40"/>
      <c r="M958" s="40"/>
      <c r="N958" s="40"/>
    </row>
    <row r="959">
      <c r="A959" s="9"/>
      <c r="I959" s="22"/>
      <c r="L959" s="40"/>
      <c r="M959" s="40"/>
      <c r="N959" s="40"/>
    </row>
    <row r="960">
      <c r="A960" s="9"/>
      <c r="I960" s="22"/>
      <c r="L960" s="40"/>
      <c r="M960" s="40"/>
      <c r="N960" s="40"/>
    </row>
    <row r="961">
      <c r="A961" s="9"/>
      <c r="I961" s="22"/>
      <c r="L961" s="40"/>
      <c r="M961" s="40"/>
      <c r="N961" s="40"/>
    </row>
    <row r="962">
      <c r="A962" s="9"/>
      <c r="I962" s="22"/>
      <c r="L962" s="40"/>
      <c r="M962" s="40"/>
      <c r="N962" s="40"/>
    </row>
    <row r="963">
      <c r="A963" s="9"/>
      <c r="I963" s="22"/>
      <c r="L963" s="40"/>
      <c r="M963" s="40"/>
      <c r="N963" s="40"/>
    </row>
    <row r="964">
      <c r="A964" s="9"/>
      <c r="I964" s="22"/>
      <c r="L964" s="40"/>
      <c r="M964" s="40"/>
      <c r="N964" s="40"/>
    </row>
    <row r="965">
      <c r="A965" s="9"/>
      <c r="I965" s="22"/>
      <c r="L965" s="40"/>
      <c r="M965" s="40"/>
      <c r="N965" s="40"/>
    </row>
    <row r="966">
      <c r="A966" s="9"/>
      <c r="I966" s="22"/>
      <c r="L966" s="40"/>
      <c r="M966" s="40"/>
      <c r="N966" s="40"/>
    </row>
    <row r="967">
      <c r="A967" s="9"/>
      <c r="I967" s="22"/>
      <c r="L967" s="40"/>
      <c r="M967" s="40"/>
      <c r="N967" s="40"/>
    </row>
    <row r="968">
      <c r="A968" s="9"/>
      <c r="I968" s="22"/>
      <c r="L968" s="40"/>
      <c r="M968" s="40"/>
      <c r="N968" s="40"/>
    </row>
    <row r="969">
      <c r="A969" s="9"/>
      <c r="I969" s="22"/>
      <c r="L969" s="40"/>
      <c r="M969" s="40"/>
      <c r="N969" s="40"/>
    </row>
    <row r="970">
      <c r="A970" s="9"/>
      <c r="I970" s="22"/>
      <c r="L970" s="40"/>
      <c r="M970" s="40"/>
      <c r="N970" s="40"/>
    </row>
    <row r="971">
      <c r="A971" s="9"/>
      <c r="I971" s="22"/>
      <c r="L971" s="40"/>
      <c r="M971" s="40"/>
      <c r="N971" s="40"/>
    </row>
    <row r="972">
      <c r="A972" s="9"/>
      <c r="I972" s="22"/>
      <c r="L972" s="40"/>
      <c r="M972" s="40"/>
      <c r="N972" s="40"/>
    </row>
    <row r="973">
      <c r="A973" s="9"/>
      <c r="I973" s="22"/>
      <c r="L973" s="40"/>
      <c r="M973" s="40"/>
      <c r="N973" s="40"/>
    </row>
    <row r="974">
      <c r="A974" s="9"/>
      <c r="I974" s="22"/>
      <c r="L974" s="40"/>
      <c r="M974" s="40"/>
      <c r="N974" s="40"/>
    </row>
    <row r="975">
      <c r="A975" s="9"/>
      <c r="I975" s="22"/>
      <c r="L975" s="40"/>
      <c r="M975" s="40"/>
      <c r="N975" s="40"/>
    </row>
    <row r="976">
      <c r="A976" s="9"/>
      <c r="I976" s="22"/>
      <c r="L976" s="40"/>
      <c r="M976" s="40"/>
      <c r="N976" s="40"/>
    </row>
    <row r="977">
      <c r="A977" s="9"/>
      <c r="I977" s="22"/>
      <c r="L977" s="40"/>
      <c r="M977" s="40"/>
      <c r="N977" s="40"/>
    </row>
    <row r="978">
      <c r="A978" s="9"/>
      <c r="I978" s="22"/>
      <c r="L978" s="40"/>
      <c r="M978" s="40"/>
      <c r="N978" s="40"/>
    </row>
    <row r="979">
      <c r="A979" s="9"/>
      <c r="I979" s="22"/>
      <c r="L979" s="40"/>
      <c r="M979" s="40"/>
      <c r="N979" s="40"/>
    </row>
    <row r="980">
      <c r="A980" s="9"/>
      <c r="I980" s="22"/>
      <c r="L980" s="40"/>
      <c r="M980" s="40"/>
      <c r="N980" s="40"/>
    </row>
    <row r="981">
      <c r="A981" s="9"/>
      <c r="I981" s="22"/>
      <c r="L981" s="40"/>
      <c r="M981" s="40"/>
      <c r="N981" s="40"/>
    </row>
    <row r="982">
      <c r="A982" s="9"/>
      <c r="I982" s="22"/>
      <c r="L982" s="40"/>
      <c r="M982" s="40"/>
      <c r="N982" s="40"/>
    </row>
    <row r="983">
      <c r="A983" s="9"/>
      <c r="I983" s="22"/>
      <c r="L983" s="40"/>
      <c r="M983" s="40"/>
      <c r="N983" s="40"/>
    </row>
    <row r="984">
      <c r="A984" s="9"/>
      <c r="I984" s="22"/>
      <c r="L984" s="40"/>
      <c r="M984" s="40"/>
      <c r="N984" s="40"/>
    </row>
    <row r="985">
      <c r="A985" s="9"/>
      <c r="I985" s="22"/>
      <c r="L985" s="40"/>
      <c r="M985" s="40"/>
      <c r="N985" s="40"/>
    </row>
    <row r="986">
      <c r="A986" s="9"/>
      <c r="I986" s="22"/>
      <c r="L986" s="40"/>
      <c r="M986" s="40"/>
      <c r="N986" s="40"/>
    </row>
    <row r="987">
      <c r="A987" s="9"/>
      <c r="I987" s="22"/>
      <c r="L987" s="40"/>
      <c r="M987" s="40"/>
      <c r="N987" s="40"/>
    </row>
    <row r="988">
      <c r="A988" s="9"/>
      <c r="I988" s="22"/>
      <c r="L988" s="40"/>
      <c r="M988" s="40"/>
      <c r="N988" s="40"/>
    </row>
    <row r="989">
      <c r="A989" s="9"/>
      <c r="I989" s="22"/>
      <c r="L989" s="40"/>
      <c r="M989" s="40"/>
      <c r="N989" s="40"/>
    </row>
    <row r="990">
      <c r="A990" s="9"/>
      <c r="I990" s="22"/>
      <c r="L990" s="40"/>
      <c r="M990" s="40"/>
      <c r="N990" s="40"/>
    </row>
    <row r="991">
      <c r="A991" s="9"/>
      <c r="I991" s="22"/>
      <c r="L991" s="40"/>
      <c r="M991" s="40"/>
      <c r="N991" s="40"/>
    </row>
    <row r="992">
      <c r="A992" s="9"/>
      <c r="I992" s="22"/>
      <c r="L992" s="40"/>
      <c r="M992" s="40"/>
      <c r="N992" s="40"/>
    </row>
    <row r="993">
      <c r="A993" s="9"/>
      <c r="I993" s="22"/>
      <c r="L993" s="40"/>
      <c r="M993" s="40"/>
      <c r="N993" s="40"/>
    </row>
    <row r="994">
      <c r="A994" s="9"/>
      <c r="I994" s="22"/>
      <c r="L994" s="40"/>
      <c r="M994" s="40"/>
      <c r="N994" s="40"/>
    </row>
    <row r="995">
      <c r="A995" s="9"/>
      <c r="I995" s="22"/>
      <c r="L995" s="40"/>
      <c r="M995" s="40"/>
      <c r="N995" s="40"/>
    </row>
    <row r="996">
      <c r="A996" s="9"/>
      <c r="I996" s="22"/>
      <c r="L996" s="40"/>
      <c r="M996" s="40"/>
      <c r="N996" s="40"/>
    </row>
    <row r="997">
      <c r="A997" s="9"/>
      <c r="I997" s="22"/>
      <c r="L997" s="40"/>
      <c r="M997" s="40"/>
      <c r="N997" s="40"/>
    </row>
    <row r="998">
      <c r="A998" s="9"/>
      <c r="I998" s="22"/>
      <c r="L998" s="40"/>
      <c r="M998" s="40"/>
      <c r="N998" s="40"/>
    </row>
    <row r="999">
      <c r="A999" s="9"/>
      <c r="I999" s="22"/>
      <c r="L999" s="40"/>
      <c r="M999" s="40"/>
      <c r="N999" s="40"/>
    </row>
    <row r="1000">
      <c r="A1000" s="9"/>
      <c r="I1000" s="22"/>
      <c r="L1000" s="40"/>
      <c r="M1000" s="40"/>
      <c r="N1000" s="4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.63"/>
    <col customWidth="1" min="3" max="3" width="16.25"/>
    <col customWidth="1" min="4" max="4" width="13.88"/>
  </cols>
  <sheetData>
    <row r="1">
      <c r="A1" s="1"/>
      <c r="B1" s="2" t="s">
        <v>14</v>
      </c>
      <c r="C1" s="2" t="s">
        <v>15</v>
      </c>
      <c r="D1" s="2" t="s">
        <v>16</v>
      </c>
    </row>
    <row r="2">
      <c r="A2" s="3">
        <v>1.0</v>
      </c>
      <c r="B2" s="4"/>
      <c r="C2" s="4"/>
      <c r="D2" s="4"/>
    </row>
    <row r="3">
      <c r="A3" s="3">
        <v>2.0</v>
      </c>
      <c r="B3" s="4"/>
      <c r="C3" s="4"/>
      <c r="D3" s="4"/>
    </row>
    <row r="4">
      <c r="A4" s="3">
        <v>3.0</v>
      </c>
      <c r="B4" s="4"/>
      <c r="C4" s="4"/>
      <c r="D4" s="4"/>
    </row>
    <row r="5">
      <c r="A5" s="3">
        <v>4.0</v>
      </c>
      <c r="B5" s="4"/>
      <c r="C5" s="4"/>
      <c r="D5" s="4"/>
    </row>
    <row r="6">
      <c r="A6" s="3">
        <v>5.0</v>
      </c>
      <c r="B6" s="4"/>
      <c r="C6" s="4"/>
      <c r="D6" s="4"/>
    </row>
    <row r="7">
      <c r="A7" s="3">
        <v>6.0</v>
      </c>
      <c r="B7" s="4"/>
      <c r="C7" s="4"/>
      <c r="D7" s="4"/>
    </row>
    <row r="8">
      <c r="A8" s="3">
        <v>7.0</v>
      </c>
      <c r="B8" s="4"/>
      <c r="C8" s="4"/>
      <c r="D8" s="4"/>
    </row>
    <row r="9">
      <c r="A9" s="3">
        <v>8.0</v>
      </c>
      <c r="B9" s="4"/>
      <c r="C9" s="4"/>
      <c r="D9" s="4"/>
    </row>
    <row r="10">
      <c r="A10" s="5">
        <v>9.0</v>
      </c>
      <c r="B10" s="41">
        <v>106700.0</v>
      </c>
      <c r="C10" s="41">
        <v>350000.0</v>
      </c>
      <c r="D10" s="6">
        <v>80000.0</v>
      </c>
    </row>
    <row r="11">
      <c r="A11" s="5">
        <v>10.0</v>
      </c>
      <c r="B11" s="41">
        <v>60000.0</v>
      </c>
      <c r="C11" s="41">
        <v>279000.0</v>
      </c>
      <c r="D11" s="6">
        <v>178750.0</v>
      </c>
      <c r="E11" s="11">
        <v>1297350.0</v>
      </c>
    </row>
    <row r="12">
      <c r="A12" s="5">
        <v>11.0</v>
      </c>
      <c r="B12" s="41">
        <v>41500.0</v>
      </c>
      <c r="C12" s="41">
        <v>317000.0</v>
      </c>
      <c r="D12" s="7"/>
      <c r="E12" s="11">
        <v>1527100.0</v>
      </c>
    </row>
    <row r="13">
      <c r="A13" s="5">
        <v>12.0</v>
      </c>
      <c r="B13" s="41">
        <v>125200.0</v>
      </c>
      <c r="C13" s="41">
        <v>244000.0</v>
      </c>
      <c r="D13" s="6">
        <v>109000.0</v>
      </c>
      <c r="E13" s="11">
        <v>995850.0</v>
      </c>
    </row>
    <row r="14">
      <c r="A14" s="5">
        <v>13.0</v>
      </c>
      <c r="B14" s="41">
        <v>110000.0</v>
      </c>
      <c r="C14" s="41">
        <v>347000.0</v>
      </c>
      <c r="D14" s="7"/>
    </row>
    <row r="15">
      <c r="A15" s="3">
        <v>14.0</v>
      </c>
      <c r="B15" s="8"/>
      <c r="C15" s="4"/>
      <c r="D15" s="4"/>
    </row>
    <row r="16">
      <c r="A16" s="5">
        <v>15.0</v>
      </c>
      <c r="B16" s="41">
        <v>62400.0</v>
      </c>
      <c r="C16" s="41">
        <v>358000.0</v>
      </c>
      <c r="D16" s="7"/>
    </row>
    <row r="17">
      <c r="A17" s="5">
        <v>16.0</v>
      </c>
      <c r="B17" s="41">
        <v>90000.0</v>
      </c>
      <c r="C17" s="41">
        <v>90000.0</v>
      </c>
      <c r="D17" s="7"/>
      <c r="E17" s="11">
        <v>1249700.0</v>
      </c>
      <c r="F17" s="11">
        <v>27400.0</v>
      </c>
    </row>
    <row r="18">
      <c r="A18" s="5">
        <v>17.0</v>
      </c>
      <c r="B18" s="41">
        <v>159600.0</v>
      </c>
      <c r="C18" s="41">
        <v>327000.0</v>
      </c>
      <c r="D18" s="7"/>
      <c r="E18" s="11">
        <v>900500.0</v>
      </c>
    </row>
    <row r="19">
      <c r="A19" s="5">
        <v>18.0</v>
      </c>
      <c r="B19" s="41">
        <v>27000.0</v>
      </c>
      <c r="C19" s="41">
        <v>503000.0</v>
      </c>
      <c r="D19" s="7"/>
    </row>
    <row r="20">
      <c r="A20" s="5">
        <v>19.0</v>
      </c>
      <c r="B20" s="41">
        <v>29500.0</v>
      </c>
      <c r="C20" s="41">
        <v>439000.0</v>
      </c>
      <c r="D20" s="7"/>
    </row>
    <row r="21">
      <c r="A21" s="5">
        <v>20.0</v>
      </c>
      <c r="B21" s="41">
        <v>63200.0</v>
      </c>
      <c r="C21" s="41">
        <v>470000.0</v>
      </c>
      <c r="D21" s="7"/>
    </row>
    <row r="22">
      <c r="A22" s="3">
        <v>21.0</v>
      </c>
      <c r="B22" s="8"/>
      <c r="C22" s="4"/>
      <c r="D22" s="4"/>
    </row>
    <row r="23">
      <c r="A23" s="5">
        <v>22.0</v>
      </c>
      <c r="B23" s="41">
        <v>116850.0</v>
      </c>
      <c r="C23" s="41">
        <v>284000.0</v>
      </c>
      <c r="D23" s="6">
        <v>316531.0</v>
      </c>
      <c r="F23" s="11">
        <v>1789000.0</v>
      </c>
    </row>
    <row r="24">
      <c r="A24" s="5">
        <v>23.0</v>
      </c>
      <c r="B24" s="41">
        <v>16900.0</v>
      </c>
      <c r="C24" s="41">
        <v>202000.0</v>
      </c>
      <c r="D24" s="7"/>
      <c r="E24" s="11">
        <v>808400.0</v>
      </c>
    </row>
    <row r="25">
      <c r="A25" s="5">
        <v>24.0</v>
      </c>
      <c r="B25" s="41">
        <v>385800.0</v>
      </c>
      <c r="C25" s="41">
        <v>358000.0</v>
      </c>
      <c r="D25" s="7"/>
      <c r="E25" s="11">
        <v>1087300.0</v>
      </c>
    </row>
    <row r="26">
      <c r="A26" s="5">
        <v>25.0</v>
      </c>
      <c r="B26" s="41">
        <v>174000.0</v>
      </c>
      <c r="C26" s="41">
        <v>345000.0</v>
      </c>
      <c r="D26" s="7"/>
      <c r="E26" s="11">
        <v>1061400.0</v>
      </c>
      <c r="F26" s="11">
        <v>19850.0</v>
      </c>
    </row>
    <row r="27">
      <c r="A27" s="5">
        <v>26.0</v>
      </c>
      <c r="B27" s="41">
        <v>10000.0</v>
      </c>
      <c r="C27" s="41">
        <v>232000.0</v>
      </c>
      <c r="D27" s="7"/>
    </row>
    <row r="28">
      <c r="A28" s="5">
        <v>27.0</v>
      </c>
      <c r="B28" s="41">
        <v>87800.0</v>
      </c>
      <c r="C28" s="41">
        <v>247000.0</v>
      </c>
      <c r="D28" s="7"/>
    </row>
    <row r="29">
      <c r="A29" s="3">
        <v>28.0</v>
      </c>
      <c r="B29" s="8"/>
      <c r="C29" s="4"/>
      <c r="D29" s="4"/>
    </row>
    <row r="30">
      <c r="A30" s="5">
        <v>29.0</v>
      </c>
      <c r="B30" s="41">
        <v>144400.0</v>
      </c>
      <c r="C30" s="41">
        <v>306000.0</v>
      </c>
      <c r="D30" s="7"/>
    </row>
    <row r="31">
      <c r="A31" s="5">
        <v>30.0</v>
      </c>
      <c r="B31" s="41">
        <v>36200.0</v>
      </c>
      <c r="C31" s="41">
        <v>288000.0</v>
      </c>
      <c r="D31" s="7"/>
      <c r="E31" s="11">
        <v>936000.0</v>
      </c>
    </row>
    <row r="32">
      <c r="A32" s="5">
        <v>31.0</v>
      </c>
      <c r="B32" s="41">
        <v>10600.0</v>
      </c>
      <c r="C32" s="41">
        <v>340000.0</v>
      </c>
      <c r="D32" s="7"/>
      <c r="E32" s="11">
        <v>1128100.0</v>
      </c>
    </row>
    <row r="33">
      <c r="A33" s="5" t="s">
        <v>6</v>
      </c>
      <c r="B33" s="7">
        <f t="shared" ref="B33:C33" si="1">SUM(B2:B32)</f>
        <v>1857650</v>
      </c>
      <c r="C33" s="7">
        <f t="shared" si="1"/>
        <v>6326000</v>
      </c>
      <c r="D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.63"/>
    <col customWidth="1" min="3" max="3" width="16.25"/>
    <col customWidth="1" min="4" max="4" width="13.88"/>
  </cols>
  <sheetData>
    <row r="1">
      <c r="A1" s="1"/>
      <c r="B1" s="2" t="s">
        <v>14</v>
      </c>
      <c r="C1" s="2" t="s">
        <v>15</v>
      </c>
      <c r="D1" s="2" t="s">
        <v>16</v>
      </c>
    </row>
    <row r="2">
      <c r="A2" s="5">
        <v>1.0</v>
      </c>
      <c r="B2" s="41">
        <v>104900.0</v>
      </c>
      <c r="C2" s="41">
        <v>170000.0</v>
      </c>
      <c r="D2" s="7"/>
      <c r="E2" s="11">
        <v>1300800.0</v>
      </c>
    </row>
    <row r="3">
      <c r="A3" s="5">
        <v>2.0</v>
      </c>
      <c r="B3" s="41">
        <v>19900.0</v>
      </c>
      <c r="C3" s="41">
        <v>272000.0</v>
      </c>
      <c r="D3" s="7"/>
      <c r="E3" s="11">
        <v>821200.0</v>
      </c>
    </row>
    <row r="4">
      <c r="A4" s="5">
        <v>3.0</v>
      </c>
      <c r="B4" s="41">
        <v>163500.0</v>
      </c>
      <c r="C4" s="41">
        <v>450000.0</v>
      </c>
      <c r="D4" s="6">
        <v>429350.0</v>
      </c>
      <c r="E4" s="11">
        <v>1247300.0</v>
      </c>
      <c r="F4" s="11" t="s">
        <v>17</v>
      </c>
    </row>
    <row r="5">
      <c r="A5" s="3">
        <v>4.0</v>
      </c>
      <c r="B5" s="4"/>
      <c r="C5" s="4"/>
      <c r="D5" s="4"/>
    </row>
    <row r="6">
      <c r="A6" s="5">
        <v>5.0</v>
      </c>
      <c r="B6" s="41">
        <v>42000.0</v>
      </c>
      <c r="C6" s="41">
        <v>223000.0</v>
      </c>
      <c r="D6" s="7"/>
    </row>
    <row r="7">
      <c r="A7" s="5">
        <v>6.0</v>
      </c>
      <c r="B7" s="41">
        <v>18000.0</v>
      </c>
      <c r="C7" s="41">
        <v>403000.0</v>
      </c>
      <c r="D7" s="7"/>
      <c r="E7" s="11">
        <v>1094500.0</v>
      </c>
      <c r="F7" s="11" t="s">
        <v>18</v>
      </c>
    </row>
    <row r="8">
      <c r="A8" s="5">
        <v>7.0</v>
      </c>
      <c r="B8" s="41">
        <v>115000.0</v>
      </c>
      <c r="C8" s="41">
        <v>431000.0</v>
      </c>
      <c r="D8" s="7"/>
      <c r="E8" s="11">
        <v>1154500.0</v>
      </c>
    </row>
    <row r="9">
      <c r="A9" s="5">
        <v>8.0</v>
      </c>
      <c r="B9" s="41">
        <v>17200.0</v>
      </c>
      <c r="C9" s="41">
        <v>221000.0</v>
      </c>
      <c r="D9" s="7"/>
      <c r="E9" s="11">
        <v>1265000.0</v>
      </c>
      <c r="F9" s="11" t="s">
        <v>19</v>
      </c>
    </row>
    <row r="10">
      <c r="A10" s="5">
        <v>9.0</v>
      </c>
      <c r="B10" s="41">
        <v>87500.0</v>
      </c>
      <c r="C10" s="41">
        <v>385000.0</v>
      </c>
      <c r="D10" s="6"/>
    </row>
    <row r="11">
      <c r="A11" s="5">
        <v>10.0</v>
      </c>
      <c r="B11" s="41">
        <v>230000.0</v>
      </c>
      <c r="C11" s="41">
        <v>598000.0</v>
      </c>
      <c r="D11" s="6"/>
      <c r="E11" s="12">
        <v>1865000.0</v>
      </c>
    </row>
    <row r="12">
      <c r="A12" s="3">
        <v>11.0</v>
      </c>
      <c r="B12" s="8"/>
      <c r="C12" s="8"/>
      <c r="D12" s="4"/>
    </row>
    <row r="13">
      <c r="A13" s="5">
        <v>12.0</v>
      </c>
      <c r="B13" s="41">
        <v>20000.0</v>
      </c>
      <c r="C13" s="41">
        <v>278000.0</v>
      </c>
      <c r="D13" s="6"/>
      <c r="E13" s="11">
        <v>961800.0</v>
      </c>
    </row>
    <row r="14">
      <c r="A14" s="5">
        <v>13.0</v>
      </c>
      <c r="B14" s="41">
        <v>95000.0</v>
      </c>
      <c r="C14" s="41">
        <v>363000.0</v>
      </c>
      <c r="D14" s="7"/>
    </row>
    <row r="15">
      <c r="A15" s="5">
        <v>14.0</v>
      </c>
      <c r="B15" s="41">
        <v>43000.0</v>
      </c>
      <c r="C15" s="41">
        <v>171000.0</v>
      </c>
      <c r="D15" s="7"/>
      <c r="E15" s="11">
        <v>636500.0</v>
      </c>
    </row>
    <row r="16">
      <c r="A16" s="5">
        <v>15.0</v>
      </c>
      <c r="B16" s="41">
        <v>180200.0</v>
      </c>
      <c r="C16" s="41">
        <v>193000.0</v>
      </c>
      <c r="D16" s="7"/>
    </row>
    <row r="17">
      <c r="A17" s="5">
        <v>16.0</v>
      </c>
      <c r="B17" s="6" t="s">
        <v>20</v>
      </c>
      <c r="C17" s="41">
        <v>354000.0</v>
      </c>
      <c r="D17" s="7"/>
      <c r="E17" s="11">
        <v>783700.0</v>
      </c>
    </row>
    <row r="18">
      <c r="A18" s="5">
        <v>17.0</v>
      </c>
      <c r="B18" s="42">
        <v>252800.0</v>
      </c>
      <c r="C18" s="41">
        <v>283000.0</v>
      </c>
      <c r="D18" s="7"/>
      <c r="E18" s="11">
        <v>1267400.0</v>
      </c>
      <c r="F18" s="11" t="s">
        <v>21</v>
      </c>
      <c r="J18" s="43">
        <f>35+38</f>
        <v>73</v>
      </c>
    </row>
    <row r="19">
      <c r="A19" s="3">
        <v>18.0</v>
      </c>
      <c r="B19" s="8"/>
      <c r="C19" s="8"/>
      <c r="D19" s="4"/>
    </row>
    <row r="20">
      <c r="A20" s="5">
        <v>19.0</v>
      </c>
      <c r="B20" s="41">
        <v>55000.0</v>
      </c>
      <c r="C20" s="41">
        <v>140000.0</v>
      </c>
      <c r="D20" s="7"/>
      <c r="E20" s="11">
        <v>469400.0</v>
      </c>
    </row>
    <row r="21">
      <c r="A21" s="5">
        <v>20.0</v>
      </c>
      <c r="B21" s="41">
        <v>55100.0</v>
      </c>
      <c r="C21" s="42">
        <v>348000.0</v>
      </c>
      <c r="D21" s="7"/>
      <c r="E21" s="11">
        <v>588700.0</v>
      </c>
      <c r="F21" s="11" t="s">
        <v>22</v>
      </c>
    </row>
    <row r="22">
      <c r="A22" s="5">
        <v>21.0</v>
      </c>
      <c r="B22" s="41">
        <v>38000.0</v>
      </c>
      <c r="C22" s="41">
        <v>242000.0</v>
      </c>
      <c r="D22" s="7"/>
      <c r="E22" s="11">
        <v>408200.0</v>
      </c>
    </row>
    <row r="23">
      <c r="A23" s="5">
        <v>22.0</v>
      </c>
      <c r="B23" s="41">
        <v>22800.0</v>
      </c>
      <c r="C23" s="41">
        <v>142000.0</v>
      </c>
      <c r="D23" s="6"/>
      <c r="E23" s="11">
        <v>473700.0</v>
      </c>
    </row>
    <row r="24">
      <c r="A24" s="5">
        <v>23.0</v>
      </c>
      <c r="B24" s="41">
        <v>317300.0</v>
      </c>
      <c r="C24" s="41">
        <v>380000.0</v>
      </c>
      <c r="D24" s="7"/>
      <c r="E24" s="12">
        <v>1095400.0</v>
      </c>
      <c r="F24" s="12">
        <v>1663900.0</v>
      </c>
    </row>
    <row r="25">
      <c r="A25" s="5">
        <v>24.0</v>
      </c>
      <c r="B25" s="41">
        <v>49800.0</v>
      </c>
      <c r="C25" s="41">
        <v>282000.0</v>
      </c>
      <c r="D25" s="7"/>
      <c r="E25" s="11" t="s">
        <v>23</v>
      </c>
    </row>
    <row r="26">
      <c r="A26" s="3">
        <v>25.0</v>
      </c>
      <c r="B26" s="8"/>
      <c r="C26" s="8"/>
      <c r="D26" s="4"/>
    </row>
    <row r="27">
      <c r="A27" s="5">
        <v>26.0</v>
      </c>
      <c r="B27" s="41">
        <v>363900.0</v>
      </c>
      <c r="C27" s="41">
        <v>343000.0</v>
      </c>
      <c r="D27" s="7"/>
      <c r="E27" s="11">
        <v>1780300.0</v>
      </c>
    </row>
    <row r="28">
      <c r="A28" s="5">
        <v>27.0</v>
      </c>
      <c r="B28" s="41">
        <v>122200.0</v>
      </c>
      <c r="C28" s="41">
        <v>260000.0</v>
      </c>
      <c r="D28" s="7"/>
      <c r="E28" s="11">
        <v>810200.0</v>
      </c>
    </row>
    <row r="29">
      <c r="A29" s="5">
        <v>28.0</v>
      </c>
      <c r="B29" s="41">
        <v>4000.0</v>
      </c>
      <c r="C29" s="41">
        <v>393000.0</v>
      </c>
      <c r="D29" s="7"/>
      <c r="E29" s="11">
        <v>849300.0</v>
      </c>
    </row>
    <row r="30">
      <c r="A30" s="5">
        <v>29.0</v>
      </c>
      <c r="B30" s="41">
        <v>51000.0</v>
      </c>
      <c r="C30" s="41">
        <v>334000.0</v>
      </c>
      <c r="D30" s="7"/>
    </row>
    <row r="31">
      <c r="A31" s="5"/>
      <c r="B31" s="6"/>
      <c r="C31" s="6"/>
      <c r="D31" s="7"/>
    </row>
    <row r="32">
      <c r="A32" s="5"/>
      <c r="B32" s="6"/>
      <c r="C32" s="6"/>
      <c r="D32" s="7"/>
    </row>
    <row r="33">
      <c r="A33" s="5"/>
      <c r="B33" s="7"/>
      <c r="C33" s="7"/>
      <c r="D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.63"/>
    <col customWidth="1" min="3" max="3" width="16.25"/>
    <col customWidth="1" min="4" max="4" width="13.88"/>
  </cols>
  <sheetData>
    <row r="1">
      <c r="A1" s="1"/>
      <c r="B1" s="2" t="s">
        <v>14</v>
      </c>
      <c r="C1" s="2" t="s">
        <v>15</v>
      </c>
      <c r="D1" s="2" t="s">
        <v>16</v>
      </c>
    </row>
    <row r="2">
      <c r="A2" s="5">
        <v>1.0</v>
      </c>
      <c r="B2" s="41">
        <v>20000.0</v>
      </c>
      <c r="C2" s="41">
        <v>405000.0</v>
      </c>
      <c r="D2" s="7"/>
      <c r="E2" s="11">
        <v>1319700.0</v>
      </c>
    </row>
    <row r="3">
      <c r="A3" s="5">
        <v>2.0</v>
      </c>
      <c r="B3" s="41">
        <v>233000.0</v>
      </c>
      <c r="C3" s="41">
        <v>466000.0</v>
      </c>
      <c r="D3" s="7"/>
    </row>
    <row r="4">
      <c r="A4" s="3">
        <v>3.0</v>
      </c>
      <c r="B4" s="8"/>
      <c r="C4" s="8"/>
      <c r="D4" s="8"/>
    </row>
    <row r="5">
      <c r="A5" s="5">
        <v>4.0</v>
      </c>
      <c r="B5" s="41">
        <v>27000.0</v>
      </c>
      <c r="C5" s="41">
        <v>118000.0</v>
      </c>
      <c r="D5" s="7"/>
    </row>
    <row r="6">
      <c r="A6" s="5">
        <v>5.0</v>
      </c>
      <c r="B6" s="41">
        <v>79000.0</v>
      </c>
      <c r="C6" s="41">
        <v>323000.0</v>
      </c>
      <c r="D6" s="7"/>
      <c r="E6" s="11">
        <v>963900.0</v>
      </c>
    </row>
    <row r="7">
      <c r="A7" s="5">
        <v>6.0</v>
      </c>
      <c r="B7" s="41">
        <v>0.0</v>
      </c>
      <c r="C7" s="41">
        <v>352000.0</v>
      </c>
      <c r="D7" s="7"/>
      <c r="F7" s="12">
        <v>1420500.0</v>
      </c>
    </row>
    <row r="8">
      <c r="A8" s="5">
        <v>7.0</v>
      </c>
      <c r="B8" s="41">
        <v>53000.0</v>
      </c>
      <c r="C8" s="41">
        <v>323000.0</v>
      </c>
      <c r="D8" s="7"/>
    </row>
    <row r="9">
      <c r="A9" s="5">
        <v>8.0</v>
      </c>
      <c r="B9" s="41">
        <v>74400.0</v>
      </c>
      <c r="C9" s="41">
        <v>385000.0</v>
      </c>
      <c r="D9" s="7"/>
    </row>
    <row r="10">
      <c r="A10" s="5">
        <v>9.0</v>
      </c>
      <c r="B10" s="41">
        <v>120500.0</v>
      </c>
      <c r="C10" s="41">
        <v>358000.0</v>
      </c>
      <c r="D10" s="6"/>
      <c r="E10" s="11">
        <v>1446200.0</v>
      </c>
    </row>
    <row r="11">
      <c r="A11" s="3">
        <v>10.0</v>
      </c>
      <c r="B11" s="8"/>
      <c r="C11" s="8"/>
      <c r="D11" s="8"/>
      <c r="E11" s="12"/>
    </row>
    <row r="12">
      <c r="A12" s="5">
        <v>11.0</v>
      </c>
      <c r="B12" s="41">
        <v>169200.0</v>
      </c>
      <c r="C12" s="41">
        <v>383000.0</v>
      </c>
      <c r="D12" s="7"/>
      <c r="E12" s="11">
        <v>913700.0</v>
      </c>
    </row>
    <row r="13">
      <c r="A13" s="5">
        <v>12.0</v>
      </c>
      <c r="B13" s="41">
        <v>11000.0</v>
      </c>
      <c r="C13" s="41">
        <v>388000.0</v>
      </c>
      <c r="D13" s="6"/>
    </row>
    <row r="14">
      <c r="A14" s="5">
        <v>13.0</v>
      </c>
      <c r="B14" s="41">
        <v>72100.0</v>
      </c>
      <c r="C14" s="41">
        <v>245000.0</v>
      </c>
      <c r="D14" s="7"/>
      <c r="E14" s="11">
        <v>860600.0</v>
      </c>
    </row>
    <row r="15">
      <c r="A15" s="5">
        <v>14.0</v>
      </c>
      <c r="B15" s="41">
        <v>191500.0</v>
      </c>
      <c r="C15" s="41">
        <v>482000.0</v>
      </c>
      <c r="D15" s="7"/>
      <c r="E15" s="11">
        <v>1016100.0</v>
      </c>
    </row>
    <row r="16">
      <c r="A16" s="5">
        <v>15.0</v>
      </c>
      <c r="B16" s="41">
        <v>29400.0</v>
      </c>
      <c r="C16" s="41">
        <v>410000.0</v>
      </c>
      <c r="D16" s="7"/>
      <c r="E16" s="11">
        <v>867200.0</v>
      </c>
    </row>
    <row r="17">
      <c r="A17" s="5">
        <v>16.0</v>
      </c>
      <c r="B17" s="41">
        <v>14700.0</v>
      </c>
      <c r="C17" s="41">
        <v>340000.0</v>
      </c>
      <c r="D17" s="7"/>
    </row>
    <row r="18">
      <c r="A18" s="3">
        <v>17.0</v>
      </c>
      <c r="B18" s="8"/>
      <c r="C18" s="8"/>
      <c r="D18" s="4"/>
    </row>
    <row r="19">
      <c r="A19" s="5">
        <v>18.0</v>
      </c>
      <c r="B19" s="41">
        <v>62600.0</v>
      </c>
      <c r="C19" s="41">
        <v>417000.0</v>
      </c>
      <c r="D19" s="7"/>
      <c r="E19" s="11">
        <v>1225600.0</v>
      </c>
    </row>
    <row r="20">
      <c r="A20" s="5">
        <v>19.0</v>
      </c>
      <c r="B20" s="41">
        <v>7200.0</v>
      </c>
      <c r="C20" s="41">
        <v>274000.0</v>
      </c>
      <c r="D20" s="7"/>
      <c r="E20" s="11">
        <v>753850.0</v>
      </c>
    </row>
    <row r="21">
      <c r="A21" s="5">
        <v>20.0</v>
      </c>
      <c r="B21" s="41">
        <v>72600.0</v>
      </c>
      <c r="C21" s="41">
        <v>451000.0</v>
      </c>
      <c r="D21" s="7"/>
      <c r="E21" s="11">
        <v>1006350.0</v>
      </c>
      <c r="F21" s="11">
        <v>526000.0</v>
      </c>
    </row>
    <row r="22">
      <c r="A22" s="5">
        <v>21.0</v>
      </c>
      <c r="B22" s="41">
        <v>49500.0</v>
      </c>
      <c r="C22" s="41">
        <v>344000.0</v>
      </c>
      <c r="D22" s="7"/>
      <c r="E22" s="11">
        <v>1390700.0</v>
      </c>
    </row>
    <row r="23">
      <c r="A23" s="5">
        <v>22.0</v>
      </c>
      <c r="B23" s="41">
        <v>42000.0</v>
      </c>
      <c r="C23" s="41">
        <v>366000.0</v>
      </c>
      <c r="D23" s="6"/>
      <c r="E23" s="11">
        <v>1798300.0</v>
      </c>
    </row>
    <row r="24">
      <c r="A24" s="5">
        <v>23.0</v>
      </c>
      <c r="B24" s="41">
        <v>642500.0</v>
      </c>
      <c r="C24" s="41">
        <v>353000.0</v>
      </c>
      <c r="D24" s="7"/>
      <c r="E24" s="12">
        <v>1411000.0</v>
      </c>
      <c r="F24" s="12"/>
    </row>
    <row r="25">
      <c r="A25" s="5">
        <v>24.0</v>
      </c>
      <c r="B25" s="41">
        <v>43500.0</v>
      </c>
      <c r="C25" s="41">
        <v>419000.0</v>
      </c>
      <c r="D25" s="7"/>
    </row>
    <row r="26">
      <c r="A26" s="3">
        <v>25.0</v>
      </c>
      <c r="B26" s="8"/>
      <c r="C26" s="8"/>
      <c r="D26" s="4"/>
    </row>
    <row r="27">
      <c r="A27" s="3">
        <v>26.0</v>
      </c>
      <c r="B27" s="8"/>
      <c r="C27" s="8"/>
      <c r="D27" s="4"/>
    </row>
    <row r="28">
      <c r="A28" s="3">
        <v>27.0</v>
      </c>
      <c r="B28" s="8"/>
      <c r="C28" s="8"/>
      <c r="D28" s="4"/>
    </row>
    <row r="29">
      <c r="A29" s="3">
        <v>28.0</v>
      </c>
      <c r="B29" s="8"/>
      <c r="C29" s="8"/>
      <c r="D29" s="4"/>
    </row>
    <row r="30">
      <c r="A30" s="3">
        <v>29.0</v>
      </c>
      <c r="B30" s="8"/>
      <c r="C30" s="8"/>
      <c r="D30" s="4"/>
    </row>
    <row r="31">
      <c r="A31" s="3">
        <v>30.0</v>
      </c>
      <c r="B31" s="8"/>
      <c r="C31" s="8"/>
      <c r="D31" s="4"/>
    </row>
    <row r="32">
      <c r="A32" s="3">
        <v>31.0</v>
      </c>
      <c r="B32" s="8"/>
      <c r="C32" s="8"/>
      <c r="D32" s="4"/>
    </row>
    <row r="33">
      <c r="A33" s="5"/>
      <c r="B33" s="7"/>
      <c r="C33" s="7"/>
      <c r="D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0</v>
      </c>
      <c r="C1" s="2" t="s">
        <v>3</v>
      </c>
    </row>
    <row r="2">
      <c r="A2" s="5">
        <v>1.0</v>
      </c>
      <c r="B2" s="41">
        <v>175500.0</v>
      </c>
      <c r="C2" s="41">
        <v>221000.0</v>
      </c>
    </row>
    <row r="3">
      <c r="A3" s="5">
        <v>2.0</v>
      </c>
      <c r="B3" s="41">
        <v>186200.0</v>
      </c>
      <c r="C3" s="41">
        <v>356000.0</v>
      </c>
      <c r="D3" s="11">
        <v>1418350.0</v>
      </c>
    </row>
    <row r="4">
      <c r="A4" s="5">
        <v>3.0</v>
      </c>
      <c r="B4" s="41">
        <v>95100.0</v>
      </c>
      <c r="C4" s="41">
        <v>335000.0</v>
      </c>
      <c r="D4" s="12">
        <v>871700.0</v>
      </c>
    </row>
    <row r="5">
      <c r="A5" s="5">
        <v>4.0</v>
      </c>
      <c r="B5" s="41">
        <v>72600.0</v>
      </c>
      <c r="C5" s="41">
        <v>237000.0</v>
      </c>
      <c r="D5" s="12">
        <v>744900.0</v>
      </c>
    </row>
    <row r="6">
      <c r="A6" s="5">
        <v>5.0</v>
      </c>
      <c r="B6" s="41">
        <v>128500.0</v>
      </c>
      <c r="C6" s="41">
        <v>65000.0</v>
      </c>
      <c r="D6" s="11">
        <v>938650.0</v>
      </c>
    </row>
    <row r="7">
      <c r="A7" s="5">
        <v>6.0</v>
      </c>
      <c r="B7" s="41">
        <v>72300.0</v>
      </c>
      <c r="C7" s="41">
        <v>340000.0</v>
      </c>
    </row>
    <row r="8">
      <c r="A8" s="3">
        <v>7.0</v>
      </c>
      <c r="B8" s="8"/>
      <c r="C8" s="8"/>
      <c r="D8" s="11">
        <v>774300.0</v>
      </c>
      <c r="E8" s="12">
        <v>1296700.0</v>
      </c>
    </row>
    <row r="9">
      <c r="A9" s="5">
        <v>8.0</v>
      </c>
      <c r="B9" s="41">
        <v>183800.0</v>
      </c>
      <c r="C9" s="41">
        <v>463000.0</v>
      </c>
      <c r="D9" s="12">
        <v>859800.0</v>
      </c>
      <c r="E9" s="12">
        <v>1008500.0</v>
      </c>
    </row>
    <row r="10">
      <c r="A10" s="5">
        <v>9.0</v>
      </c>
      <c r="B10" s="41">
        <v>278000.0</v>
      </c>
      <c r="C10" s="41">
        <v>377000.0</v>
      </c>
      <c r="D10" s="11">
        <v>813000.0</v>
      </c>
      <c r="E10" s="12">
        <v>1011200.0</v>
      </c>
    </row>
    <row r="11">
      <c r="A11" s="5">
        <v>10.0</v>
      </c>
      <c r="B11" s="41">
        <v>181600.0</v>
      </c>
      <c r="C11" s="41">
        <v>406000.0</v>
      </c>
      <c r="D11" s="11">
        <v>1203500.0</v>
      </c>
      <c r="E11" s="11">
        <v>1380200.0</v>
      </c>
    </row>
    <row r="12">
      <c r="A12" s="5">
        <v>11.0</v>
      </c>
      <c r="B12" s="41">
        <v>0.0</v>
      </c>
      <c r="C12" s="41">
        <v>426000.0</v>
      </c>
    </row>
    <row r="13">
      <c r="A13" s="5">
        <v>12.0</v>
      </c>
      <c r="B13" s="41">
        <v>33900.0</v>
      </c>
      <c r="C13" s="41">
        <v>410000.0</v>
      </c>
      <c r="D13" s="12">
        <v>618900.0</v>
      </c>
      <c r="E13" s="12">
        <v>800600.0</v>
      </c>
    </row>
    <row r="14">
      <c r="A14" s="5">
        <v>13.0</v>
      </c>
      <c r="B14" s="41">
        <v>55000.0</v>
      </c>
      <c r="C14" s="41">
        <v>365000.0</v>
      </c>
      <c r="D14" s="11">
        <v>1048800.0</v>
      </c>
      <c r="E14" s="11">
        <v>1241500.0</v>
      </c>
    </row>
    <row r="15">
      <c r="A15" s="3">
        <v>14.0</v>
      </c>
      <c r="B15" s="8"/>
      <c r="C15" s="8"/>
    </row>
    <row r="16">
      <c r="A16" s="5">
        <v>15.0</v>
      </c>
      <c r="B16" s="41">
        <v>183300.0</v>
      </c>
      <c r="C16" s="41">
        <v>170000.0</v>
      </c>
      <c r="D16" s="11">
        <v>289600.0</v>
      </c>
      <c r="E16" s="11">
        <v>722300.0</v>
      </c>
    </row>
    <row r="17">
      <c r="A17" s="5">
        <v>16.0</v>
      </c>
      <c r="B17" s="41">
        <v>58000.0</v>
      </c>
      <c r="C17" s="41">
        <v>283000.0</v>
      </c>
      <c r="D17" s="11">
        <v>718700.0</v>
      </c>
    </row>
    <row r="18">
      <c r="A18" s="5">
        <v>17.0</v>
      </c>
      <c r="B18" s="41">
        <v>61200.0</v>
      </c>
      <c r="C18" s="41">
        <v>558000.0</v>
      </c>
    </row>
    <row r="19">
      <c r="A19" s="5">
        <v>18.0</v>
      </c>
      <c r="B19" s="41">
        <v>205200.0</v>
      </c>
      <c r="C19" s="41">
        <v>346000.0</v>
      </c>
      <c r="D19" s="11">
        <v>1678250.0</v>
      </c>
    </row>
    <row r="20">
      <c r="A20" s="5">
        <v>19.0</v>
      </c>
      <c r="B20" s="41">
        <v>49200.0</v>
      </c>
      <c r="C20" s="41">
        <v>292000.0</v>
      </c>
    </row>
    <row r="21">
      <c r="A21" s="5">
        <v>20.0</v>
      </c>
      <c r="B21" s="41">
        <v>78000.0</v>
      </c>
      <c r="C21" s="41">
        <v>371000.0</v>
      </c>
      <c r="D21" s="11">
        <v>1200000.0</v>
      </c>
    </row>
    <row r="22">
      <c r="A22" s="3">
        <v>21.0</v>
      </c>
      <c r="B22" s="8"/>
      <c r="C22" s="8"/>
    </row>
    <row r="23">
      <c r="A23" s="5">
        <v>22.0</v>
      </c>
      <c r="B23" s="41">
        <v>3000.0</v>
      </c>
      <c r="C23" s="41">
        <v>373000.0</v>
      </c>
      <c r="D23" s="11">
        <v>844400.0</v>
      </c>
    </row>
    <row r="24">
      <c r="A24" s="5">
        <v>23.0</v>
      </c>
      <c r="B24" s="41">
        <v>31500.0</v>
      </c>
      <c r="C24" s="41">
        <v>320000.0</v>
      </c>
      <c r="D24" s="11">
        <v>819700.0</v>
      </c>
    </row>
    <row r="25">
      <c r="A25" s="5">
        <v>24.0</v>
      </c>
      <c r="B25" s="41">
        <v>24500.0</v>
      </c>
      <c r="C25" s="41">
        <v>416000.0</v>
      </c>
      <c r="D25" s="11">
        <v>910300.0</v>
      </c>
    </row>
    <row r="26">
      <c r="A26" s="5">
        <v>25.0</v>
      </c>
      <c r="B26" s="41">
        <v>287200.0</v>
      </c>
      <c r="C26" s="41">
        <v>188000.0</v>
      </c>
    </row>
    <row r="27">
      <c r="A27" s="5">
        <v>26.0</v>
      </c>
      <c r="B27" s="41">
        <v>129000.0</v>
      </c>
      <c r="C27" s="41">
        <v>143000.0</v>
      </c>
      <c r="D27" s="11">
        <v>533900.0</v>
      </c>
      <c r="E27" s="11">
        <v>701600.0</v>
      </c>
    </row>
    <row r="28">
      <c r="A28" s="5">
        <v>27.0</v>
      </c>
      <c r="B28" s="41">
        <v>183500.0</v>
      </c>
      <c r="C28" s="41">
        <v>335000.0</v>
      </c>
    </row>
    <row r="29">
      <c r="A29" s="3">
        <v>28.0</v>
      </c>
      <c r="B29" s="8"/>
      <c r="C29" s="8"/>
    </row>
    <row r="30">
      <c r="A30" s="5">
        <v>29.0</v>
      </c>
      <c r="B30" s="41">
        <v>98600.0</v>
      </c>
      <c r="C30" s="41">
        <v>212000.0</v>
      </c>
      <c r="D30" s="11">
        <v>926700.0</v>
      </c>
    </row>
    <row r="31">
      <c r="A31" s="5">
        <v>30.0</v>
      </c>
      <c r="B31" s="41">
        <v>79400.0</v>
      </c>
      <c r="C31" s="41">
        <v>343000.0</v>
      </c>
    </row>
    <row r="32">
      <c r="A32" s="5" t="s">
        <v>6</v>
      </c>
      <c r="B32" s="7"/>
      <c r="C32" s="7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24</v>
      </c>
      <c r="C1" s="2" t="s">
        <v>3</v>
      </c>
    </row>
    <row r="2">
      <c r="A2" s="3">
        <v>1.0</v>
      </c>
      <c r="B2" s="41">
        <v>94700.0</v>
      </c>
      <c r="C2" s="8">
        <v>0.0</v>
      </c>
    </row>
    <row r="3">
      <c r="A3" s="5">
        <v>2.0</v>
      </c>
      <c r="B3" s="41">
        <v>82500.0</v>
      </c>
      <c r="C3" s="41">
        <v>226000.0</v>
      </c>
      <c r="D3" s="11">
        <v>757600.0</v>
      </c>
    </row>
    <row r="4">
      <c r="A4" s="5">
        <v>3.0</v>
      </c>
      <c r="B4" s="41">
        <v>153900.0</v>
      </c>
      <c r="C4" s="41">
        <v>379000.0</v>
      </c>
      <c r="D4" s="12">
        <v>927250.0</v>
      </c>
      <c r="E4" s="12">
        <v>1188050.0</v>
      </c>
    </row>
    <row r="5">
      <c r="A5" s="5">
        <v>4.0</v>
      </c>
      <c r="B5" s="41">
        <v>137900.0</v>
      </c>
      <c r="C5" s="41">
        <v>207000.0</v>
      </c>
      <c r="D5" s="11">
        <v>715400.0</v>
      </c>
      <c r="E5" s="11">
        <v>956200.0</v>
      </c>
    </row>
    <row r="6">
      <c r="A6" s="3">
        <v>5.0</v>
      </c>
      <c r="B6" s="8"/>
      <c r="C6" s="8"/>
    </row>
    <row r="7">
      <c r="A7" s="5">
        <v>6.0</v>
      </c>
      <c r="B7" s="41">
        <v>26900.0</v>
      </c>
      <c r="C7" s="41">
        <v>357000.0</v>
      </c>
      <c r="D7" s="12">
        <v>1101350.0</v>
      </c>
      <c r="F7" s="10"/>
      <c r="G7" s="10"/>
    </row>
    <row r="8">
      <c r="A8" s="5">
        <v>7.0</v>
      </c>
      <c r="B8" s="41">
        <v>70000.0</v>
      </c>
      <c r="C8" s="41">
        <v>250000.0</v>
      </c>
      <c r="D8" s="12">
        <v>723550.0</v>
      </c>
      <c r="E8" s="12">
        <v>964350.0</v>
      </c>
    </row>
    <row r="9">
      <c r="A9" s="5">
        <v>8.0</v>
      </c>
      <c r="B9" s="41">
        <v>81500.0</v>
      </c>
      <c r="C9" s="41">
        <v>348000.0</v>
      </c>
      <c r="D9" s="11">
        <v>805850.0</v>
      </c>
      <c r="E9" s="12">
        <v>1046650.0</v>
      </c>
    </row>
    <row r="10">
      <c r="A10" s="5">
        <v>9.0</v>
      </c>
      <c r="B10" s="41">
        <v>47100.0</v>
      </c>
      <c r="C10" s="41">
        <v>78000.0</v>
      </c>
      <c r="D10" s="11">
        <v>454700.0</v>
      </c>
      <c r="E10" s="11">
        <v>699000.0</v>
      </c>
    </row>
    <row r="11">
      <c r="A11" s="5">
        <v>10.0</v>
      </c>
      <c r="B11" s="41">
        <v>113600.0</v>
      </c>
      <c r="C11" s="41">
        <v>359000.0</v>
      </c>
      <c r="D11" s="12">
        <v>730500.0</v>
      </c>
      <c r="E11" s="12">
        <v>1214800.0</v>
      </c>
    </row>
    <row r="12">
      <c r="A12" s="5">
        <v>11.0</v>
      </c>
      <c r="B12" s="41">
        <v>49600.0</v>
      </c>
      <c r="C12" s="41">
        <v>325000.0</v>
      </c>
      <c r="D12" s="11">
        <v>563000.0</v>
      </c>
      <c r="E12" s="11">
        <v>988000.0</v>
      </c>
    </row>
    <row r="13">
      <c r="A13" s="3">
        <v>12.0</v>
      </c>
      <c r="B13" s="8"/>
      <c r="C13" s="8"/>
    </row>
    <row r="14">
      <c r="A14" s="3">
        <v>13.0</v>
      </c>
      <c r="B14" s="8"/>
      <c r="C14" s="8"/>
    </row>
    <row r="15">
      <c r="A15" s="5">
        <v>14.0</v>
      </c>
      <c r="B15" s="41">
        <v>24000.0</v>
      </c>
      <c r="C15" s="41">
        <v>313000.0</v>
      </c>
      <c r="D15" s="11">
        <v>891800.0</v>
      </c>
      <c r="F15" s="11" t="s">
        <v>7</v>
      </c>
    </row>
    <row r="16">
      <c r="A16" s="5">
        <v>15.0</v>
      </c>
      <c r="B16" s="41">
        <v>152300.0</v>
      </c>
      <c r="C16" s="41">
        <v>275000.0</v>
      </c>
      <c r="D16" s="11">
        <v>800100.0</v>
      </c>
    </row>
    <row r="17">
      <c r="A17" s="5">
        <v>16.0</v>
      </c>
      <c r="B17" s="41">
        <v>207600.0</v>
      </c>
      <c r="C17" s="41">
        <v>271000.0</v>
      </c>
      <c r="D17" s="11">
        <v>1153900.0</v>
      </c>
      <c r="F17" s="11">
        <v>1386600.0</v>
      </c>
    </row>
    <row r="18">
      <c r="A18" s="5">
        <v>17.0</v>
      </c>
      <c r="B18" s="41">
        <v>94700.0</v>
      </c>
      <c r="C18" s="41">
        <v>261000.0</v>
      </c>
      <c r="D18" s="11">
        <v>684800.0</v>
      </c>
      <c r="E18" s="11">
        <v>798300.0</v>
      </c>
    </row>
    <row r="19">
      <c r="A19" s="5">
        <v>18.0</v>
      </c>
      <c r="B19" s="41">
        <v>177600.0</v>
      </c>
      <c r="C19" s="41">
        <v>232000.0</v>
      </c>
      <c r="D19" s="11">
        <v>756000.0</v>
      </c>
      <c r="E19" s="11">
        <v>1205400.0</v>
      </c>
    </row>
    <row r="20">
      <c r="A20" s="3">
        <v>19.0</v>
      </c>
      <c r="B20" s="8"/>
      <c r="C20" s="8"/>
    </row>
    <row r="21">
      <c r="A21" s="5">
        <v>20.0</v>
      </c>
      <c r="B21" s="41">
        <v>116900.0</v>
      </c>
      <c r="C21" s="41">
        <v>222000.0</v>
      </c>
      <c r="D21" s="11">
        <v>1132100.0</v>
      </c>
      <c r="E21" s="11">
        <v>1585000.0</v>
      </c>
    </row>
    <row r="22">
      <c r="A22" s="5">
        <v>21.0</v>
      </c>
      <c r="B22" s="41">
        <v>118600.0</v>
      </c>
      <c r="C22" s="41">
        <v>272000.0</v>
      </c>
      <c r="D22" s="11">
        <v>1831600.0</v>
      </c>
      <c r="E22" s="11">
        <v>1941300.0</v>
      </c>
    </row>
    <row r="23">
      <c r="A23" s="5">
        <v>22.0</v>
      </c>
      <c r="B23" s="41">
        <v>24500.0</v>
      </c>
      <c r="C23" s="41">
        <v>349000.0</v>
      </c>
      <c r="D23" s="11">
        <v>1440400.0</v>
      </c>
      <c r="E23" s="11">
        <v>1550100.0</v>
      </c>
    </row>
    <row r="24">
      <c r="A24" s="5">
        <v>23.0</v>
      </c>
      <c r="B24" s="41">
        <v>0.0</v>
      </c>
      <c r="C24" s="41">
        <v>105000.0</v>
      </c>
      <c r="D24" s="11">
        <v>418400.0</v>
      </c>
      <c r="E24" s="11">
        <v>552500.0</v>
      </c>
    </row>
    <row r="25">
      <c r="A25" s="5">
        <v>24.0</v>
      </c>
      <c r="B25" s="41">
        <v>60900.0</v>
      </c>
      <c r="C25" s="41">
        <v>322000.0</v>
      </c>
      <c r="D25" s="11">
        <v>728800.0</v>
      </c>
      <c r="E25" s="11">
        <v>922900.0</v>
      </c>
      <c r="G25" s="11">
        <v>27000.0</v>
      </c>
    </row>
    <row r="26">
      <c r="A26" s="5">
        <v>25.0</v>
      </c>
      <c r="B26" s="41">
        <v>108800.0</v>
      </c>
      <c r="C26" s="41">
        <v>242000.0</v>
      </c>
      <c r="D26" s="11">
        <v>591900.0</v>
      </c>
      <c r="E26" s="11">
        <v>798500.0</v>
      </c>
    </row>
    <row r="27">
      <c r="A27" s="3">
        <v>26.0</v>
      </c>
      <c r="B27" s="8"/>
      <c r="C27" s="8"/>
    </row>
    <row r="28">
      <c r="A28" s="5">
        <v>27.0</v>
      </c>
      <c r="B28" s="41">
        <v>371800.0</v>
      </c>
      <c r="C28" s="41">
        <v>283000.0</v>
      </c>
      <c r="D28" s="11">
        <v>1146700.0</v>
      </c>
      <c r="E28" s="11">
        <v>1353300.0</v>
      </c>
      <c r="F28" s="11">
        <v>1243800.0</v>
      </c>
      <c r="G28" s="11">
        <v>1450400.0</v>
      </c>
    </row>
    <row r="29">
      <c r="A29" s="5">
        <v>28.0</v>
      </c>
      <c r="B29" s="41">
        <v>117500.0</v>
      </c>
      <c r="C29" s="41">
        <v>292000.0</v>
      </c>
    </row>
    <row r="30">
      <c r="A30" s="5">
        <v>29.0</v>
      </c>
      <c r="B30" s="41">
        <v>205600.0</v>
      </c>
      <c r="C30" s="41">
        <v>318000.0</v>
      </c>
      <c r="D30" s="11">
        <v>1352100.0</v>
      </c>
      <c r="E30" s="11">
        <v>1558700.0</v>
      </c>
    </row>
    <row r="31">
      <c r="A31" s="5">
        <v>30.0</v>
      </c>
      <c r="B31" s="41">
        <v>36000.0</v>
      </c>
      <c r="C31" s="41">
        <v>202000.0</v>
      </c>
      <c r="D31" s="11">
        <v>971800.0</v>
      </c>
      <c r="E31" s="11">
        <v>1011800.0</v>
      </c>
    </row>
    <row r="32">
      <c r="A32" s="5">
        <v>31.0</v>
      </c>
      <c r="B32" s="41">
        <v>206000.0</v>
      </c>
      <c r="C32" s="41">
        <v>297000.0</v>
      </c>
      <c r="D32" s="11">
        <v>964300.0</v>
      </c>
      <c r="E32" s="11"/>
    </row>
    <row r="33">
      <c r="A33" s="5" t="s">
        <v>6</v>
      </c>
      <c r="B33" s="7"/>
      <c r="C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24</v>
      </c>
      <c r="C1" s="2" t="s">
        <v>3</v>
      </c>
    </row>
    <row r="2">
      <c r="A2" s="5">
        <v>1.0</v>
      </c>
      <c r="B2" s="41">
        <v>173600.0</v>
      </c>
      <c r="C2" s="41">
        <v>170000.0</v>
      </c>
      <c r="D2" s="11">
        <v>1300300.0</v>
      </c>
    </row>
    <row r="3">
      <c r="A3" s="3">
        <v>2.0</v>
      </c>
      <c r="B3" s="8"/>
      <c r="C3" s="8"/>
    </row>
    <row r="4">
      <c r="A4" s="3">
        <v>3.0</v>
      </c>
      <c r="B4" s="8"/>
      <c r="C4" s="20"/>
      <c r="D4" s="12"/>
      <c r="E4" s="12"/>
    </row>
    <row r="5">
      <c r="A5" s="5">
        <v>4.0</v>
      </c>
      <c r="B5" s="41">
        <v>0.0</v>
      </c>
      <c r="C5" s="41">
        <v>163000.0</v>
      </c>
      <c r="D5" s="11">
        <v>1046800.0</v>
      </c>
      <c r="E5" s="12">
        <v>1467800.0</v>
      </c>
    </row>
    <row r="6">
      <c r="A6" s="5">
        <v>5.0</v>
      </c>
      <c r="B6" s="41">
        <v>88600.0</v>
      </c>
      <c r="C6" s="41">
        <v>518000.0</v>
      </c>
      <c r="D6" s="12">
        <v>1041000.0</v>
      </c>
      <c r="E6" s="12">
        <v>1529700.0</v>
      </c>
    </row>
    <row r="7">
      <c r="A7" s="5">
        <v>6.0</v>
      </c>
      <c r="B7" s="41">
        <v>198100.0</v>
      </c>
      <c r="C7" s="41">
        <v>338000.0</v>
      </c>
      <c r="D7" s="12">
        <v>900300.0</v>
      </c>
      <c r="E7" s="11">
        <v>955300.0</v>
      </c>
      <c r="F7" s="10"/>
      <c r="G7" s="10"/>
    </row>
    <row r="8">
      <c r="A8" s="5">
        <v>7.0</v>
      </c>
      <c r="B8" s="41">
        <v>178500.0</v>
      </c>
      <c r="C8" s="41">
        <v>179000.0</v>
      </c>
      <c r="D8" s="12">
        <v>1040300.0</v>
      </c>
      <c r="E8" s="12">
        <v>1354200.0</v>
      </c>
    </row>
    <row r="9">
      <c r="A9" s="5">
        <v>8.0</v>
      </c>
      <c r="B9" s="41">
        <v>0.0</v>
      </c>
      <c r="C9" s="41">
        <v>173000.0</v>
      </c>
      <c r="D9" s="11">
        <v>1169600.0</v>
      </c>
      <c r="E9" s="12">
        <v>1523000.0</v>
      </c>
    </row>
    <row r="10">
      <c r="A10" s="3">
        <v>9.0</v>
      </c>
      <c r="B10" s="8"/>
      <c r="C10" s="8"/>
    </row>
    <row r="11">
      <c r="A11" s="3">
        <v>10.0</v>
      </c>
      <c r="B11" s="8"/>
      <c r="C11" s="8"/>
      <c r="D11" s="12"/>
      <c r="E11" s="12"/>
    </row>
    <row r="12">
      <c r="A12" s="5">
        <v>11.0</v>
      </c>
      <c r="B12" s="41">
        <v>86000.0</v>
      </c>
      <c r="C12" s="41">
        <v>253000.0</v>
      </c>
      <c r="F12" s="11">
        <v>142.0</v>
      </c>
    </row>
    <row r="13">
      <c r="A13" s="5">
        <v>12.0</v>
      </c>
      <c r="B13" s="41">
        <v>30700.0</v>
      </c>
      <c r="C13" s="41">
        <v>198000.0</v>
      </c>
      <c r="D13" s="11">
        <v>484700.0</v>
      </c>
      <c r="E13" s="11">
        <v>1016700.0</v>
      </c>
      <c r="F13" s="11">
        <v>409000.0</v>
      </c>
    </row>
    <row r="14">
      <c r="A14" s="5">
        <v>13.0</v>
      </c>
      <c r="B14" s="41">
        <v>6900.0</v>
      </c>
      <c r="C14" s="41">
        <v>277000.0</v>
      </c>
      <c r="D14" s="11">
        <v>1257800.0</v>
      </c>
      <c r="E14" s="11">
        <v>888100.0</v>
      </c>
    </row>
    <row r="15">
      <c r="A15" s="5">
        <v>14.0</v>
      </c>
      <c r="B15" s="41">
        <v>249200.0</v>
      </c>
      <c r="C15" s="41">
        <v>336000.0</v>
      </c>
      <c r="D15" s="11">
        <v>1325300.0</v>
      </c>
      <c r="E15" s="11">
        <v>1338300.0</v>
      </c>
      <c r="F15" s="11">
        <v>968600.0</v>
      </c>
    </row>
    <row r="16">
      <c r="A16" s="5">
        <v>15.0</v>
      </c>
      <c r="B16" s="41">
        <v>129500.0</v>
      </c>
      <c r="C16" s="41">
        <v>291000.0</v>
      </c>
      <c r="D16" s="12">
        <v>1754400.0</v>
      </c>
    </row>
    <row r="17">
      <c r="A17" s="3">
        <v>16.0</v>
      </c>
      <c r="B17" s="8"/>
      <c r="C17" s="8"/>
    </row>
    <row r="18">
      <c r="A18" s="5">
        <v>17.0</v>
      </c>
      <c r="B18" s="41">
        <v>190600.0</v>
      </c>
      <c r="C18" s="41">
        <v>252000.0</v>
      </c>
      <c r="D18" s="11">
        <v>651100.0</v>
      </c>
      <c r="E18" s="11">
        <v>795500.0</v>
      </c>
    </row>
    <row r="19">
      <c r="A19" s="5">
        <v>18.0</v>
      </c>
      <c r="B19" s="41">
        <v>50000.0</v>
      </c>
      <c r="C19" s="41">
        <v>300000.0</v>
      </c>
      <c r="D19" s="12">
        <v>1079300.0</v>
      </c>
      <c r="E19" s="12">
        <v>1233700.0</v>
      </c>
    </row>
    <row r="20">
      <c r="A20" s="5">
        <v>19.0</v>
      </c>
      <c r="B20" s="41">
        <v>107900.0</v>
      </c>
      <c r="C20" s="41">
        <v>340000.0</v>
      </c>
      <c r="D20" s="12">
        <v>819800.0</v>
      </c>
      <c r="E20" s="12">
        <v>857200.0</v>
      </c>
    </row>
    <row r="21">
      <c r="A21" s="5">
        <v>20.0</v>
      </c>
      <c r="B21" s="41">
        <v>303000.0</v>
      </c>
      <c r="C21" s="41">
        <v>278000.0</v>
      </c>
      <c r="D21" s="12">
        <v>830800.0</v>
      </c>
      <c r="E21" s="11">
        <v>991700.0</v>
      </c>
    </row>
    <row r="22">
      <c r="A22" s="5">
        <v>21.0</v>
      </c>
      <c r="B22" s="41">
        <v>3500.0</v>
      </c>
      <c r="C22" s="41">
        <v>289000.0</v>
      </c>
      <c r="D22" s="11">
        <v>672900.0</v>
      </c>
    </row>
    <row r="23">
      <c r="A23" s="5">
        <v>22.0</v>
      </c>
      <c r="B23" s="41">
        <v>88000.0</v>
      </c>
      <c r="C23" s="41">
        <v>302000.0</v>
      </c>
      <c r="D23" s="12">
        <v>793900.0</v>
      </c>
    </row>
    <row r="24">
      <c r="A24" s="3">
        <v>23.0</v>
      </c>
      <c r="B24" s="8"/>
      <c r="C24" s="8"/>
    </row>
    <row r="25">
      <c r="A25" s="5">
        <v>24.0</v>
      </c>
      <c r="B25" s="41">
        <v>206900.0</v>
      </c>
      <c r="C25" s="41">
        <v>300000.0</v>
      </c>
      <c r="D25" s="11">
        <v>785500.0</v>
      </c>
      <c r="E25" s="11">
        <v>957000.0</v>
      </c>
    </row>
    <row r="26">
      <c r="A26" s="5">
        <v>25.0</v>
      </c>
      <c r="B26" s="41">
        <v>23000.0</v>
      </c>
      <c r="C26" s="41">
        <v>166000.0</v>
      </c>
      <c r="D26" s="12">
        <v>974500.0</v>
      </c>
      <c r="E26" s="12">
        <v>1048000.0</v>
      </c>
    </row>
    <row r="27">
      <c r="A27" s="5">
        <v>26.0</v>
      </c>
      <c r="B27" s="41">
        <v>418900.0</v>
      </c>
      <c r="C27" s="41">
        <v>280000.0</v>
      </c>
      <c r="D27" s="12">
        <v>960900.0</v>
      </c>
      <c r="E27" s="12">
        <v>1135400.0</v>
      </c>
      <c r="G27" s="11" t="s">
        <v>7</v>
      </c>
    </row>
    <row r="28">
      <c r="A28" s="5">
        <v>27.0</v>
      </c>
      <c r="B28" s="41">
        <v>196900.0</v>
      </c>
      <c r="C28" s="41">
        <v>261000.0</v>
      </c>
      <c r="D28" s="11">
        <v>856600.0</v>
      </c>
    </row>
    <row r="29">
      <c r="A29" s="5">
        <v>28.0</v>
      </c>
      <c r="B29" s="41">
        <v>120400.0</v>
      </c>
      <c r="C29" s="41">
        <v>304000.0</v>
      </c>
      <c r="D29" s="12">
        <v>885700.0</v>
      </c>
      <c r="E29" s="12">
        <v>1373300.0</v>
      </c>
    </row>
    <row r="30">
      <c r="A30" s="5">
        <v>29.0</v>
      </c>
      <c r="B30" s="41">
        <v>253900.0</v>
      </c>
      <c r="C30" s="41">
        <v>331000.0</v>
      </c>
      <c r="D30" s="12">
        <v>917300.0</v>
      </c>
      <c r="E30" s="12">
        <v>1110800.0</v>
      </c>
    </row>
    <row r="31">
      <c r="A31" s="3">
        <v>30.0</v>
      </c>
      <c r="B31" s="8"/>
      <c r="C31" s="8"/>
    </row>
    <row r="32">
      <c r="A32" s="5">
        <v>31.0</v>
      </c>
      <c r="B32" s="6"/>
      <c r="C32" s="6"/>
    </row>
    <row r="33">
      <c r="A33" s="5" t="s">
        <v>6</v>
      </c>
      <c r="B33" s="7"/>
      <c r="C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24</v>
      </c>
      <c r="C1" s="2" t="s">
        <v>3</v>
      </c>
    </row>
    <row r="2">
      <c r="A2" s="3">
        <v>1.0</v>
      </c>
      <c r="B2" s="8"/>
      <c r="C2" s="8"/>
    </row>
    <row r="3">
      <c r="A3" s="5">
        <v>2.0</v>
      </c>
      <c r="B3" s="41">
        <v>206200.0</v>
      </c>
      <c r="C3" s="41">
        <v>394000.0</v>
      </c>
      <c r="D3" s="12">
        <v>916100.0</v>
      </c>
      <c r="E3" s="12">
        <v>1009600.0</v>
      </c>
    </row>
    <row r="4">
      <c r="A4" s="5">
        <v>3.0</v>
      </c>
      <c r="B4" s="41">
        <v>209900.0</v>
      </c>
      <c r="C4" s="44">
        <v>275000.0</v>
      </c>
      <c r="D4" s="12">
        <v>1307500.0</v>
      </c>
      <c r="E4" s="12">
        <v>1451000.0</v>
      </c>
    </row>
    <row r="5">
      <c r="A5" s="5">
        <v>4.0</v>
      </c>
      <c r="B5" s="41">
        <v>198000.0</v>
      </c>
      <c r="C5" s="41">
        <v>459000.0</v>
      </c>
      <c r="D5" s="12">
        <v>1195300.0</v>
      </c>
      <c r="E5" s="12">
        <v>1338800.0</v>
      </c>
    </row>
    <row r="6">
      <c r="A6" s="5">
        <v>5.0</v>
      </c>
      <c r="B6" s="41">
        <v>53900.0</v>
      </c>
      <c r="C6" s="41">
        <v>400000.0</v>
      </c>
      <c r="D6" s="12">
        <v>869200.0</v>
      </c>
      <c r="E6" s="12"/>
    </row>
    <row r="7">
      <c r="A7" s="5">
        <v>6.0</v>
      </c>
      <c r="B7" s="41">
        <v>50600.0</v>
      </c>
      <c r="C7" s="41">
        <v>538000.0</v>
      </c>
      <c r="D7" s="12">
        <v>1457100.0</v>
      </c>
      <c r="F7" s="10"/>
      <c r="G7" s="10"/>
    </row>
    <row r="8">
      <c r="A8" s="3">
        <v>7.0</v>
      </c>
      <c r="B8" s="8"/>
      <c r="C8" s="8"/>
      <c r="D8" s="12"/>
      <c r="E8" s="12"/>
    </row>
    <row r="9">
      <c r="A9" s="5">
        <v>8.0</v>
      </c>
      <c r="B9" s="41">
        <v>241900.0</v>
      </c>
      <c r="C9" s="41">
        <v>258000.0</v>
      </c>
      <c r="D9" s="12">
        <v>1727600.0</v>
      </c>
      <c r="E9" s="12"/>
    </row>
    <row r="10">
      <c r="A10" s="5">
        <v>9.0</v>
      </c>
      <c r="B10" s="41">
        <v>103400.0</v>
      </c>
      <c r="C10" s="41">
        <v>359000.0</v>
      </c>
      <c r="D10" s="12">
        <v>880600.0</v>
      </c>
    </row>
    <row r="11">
      <c r="A11" s="5">
        <v>10.0</v>
      </c>
      <c r="B11" s="41">
        <v>118200.0</v>
      </c>
      <c r="C11" s="41">
        <v>357000.0</v>
      </c>
      <c r="D11" s="12">
        <v>1091500.0</v>
      </c>
      <c r="E11" s="12"/>
    </row>
    <row r="12">
      <c r="A12" s="5">
        <v>11.0</v>
      </c>
      <c r="B12" s="41">
        <v>113300.0</v>
      </c>
      <c r="C12" s="41">
        <v>221000.0</v>
      </c>
    </row>
    <row r="13">
      <c r="A13" s="5">
        <v>12.0</v>
      </c>
      <c r="B13" s="41">
        <v>270600.0</v>
      </c>
      <c r="C13" s="41">
        <v>372000.0</v>
      </c>
      <c r="D13" s="12">
        <v>1062200.0</v>
      </c>
      <c r="E13" s="11" t="s">
        <v>25</v>
      </c>
    </row>
    <row r="14">
      <c r="A14" s="5">
        <v>13.0</v>
      </c>
      <c r="B14" s="41">
        <v>142300.0</v>
      </c>
      <c r="C14" s="41">
        <v>418000.0</v>
      </c>
      <c r="D14" s="12">
        <v>912400.0</v>
      </c>
    </row>
    <row r="15">
      <c r="A15" s="3">
        <v>14.0</v>
      </c>
      <c r="B15" s="8"/>
      <c r="C15" s="8"/>
    </row>
    <row r="16">
      <c r="A16" s="5">
        <v>15.0</v>
      </c>
      <c r="B16" s="41">
        <v>55900.0</v>
      </c>
      <c r="C16" s="41">
        <v>268000.0</v>
      </c>
      <c r="D16" s="12">
        <v>1339200.0</v>
      </c>
    </row>
    <row r="17">
      <c r="A17" s="5">
        <v>16.0</v>
      </c>
      <c r="B17" s="41">
        <v>43500.0</v>
      </c>
      <c r="C17" s="41">
        <v>331000.0</v>
      </c>
      <c r="D17" s="12">
        <v>744400.0</v>
      </c>
    </row>
    <row r="18">
      <c r="A18" s="5">
        <v>17.0</v>
      </c>
      <c r="B18" s="41">
        <v>288900.0</v>
      </c>
      <c r="C18" s="41">
        <v>341000.0</v>
      </c>
      <c r="D18" s="12">
        <v>1451500.0</v>
      </c>
      <c r="I18" s="12"/>
    </row>
    <row r="19">
      <c r="A19" s="5">
        <v>18.0</v>
      </c>
      <c r="B19" s="41">
        <v>233100.0</v>
      </c>
      <c r="C19" s="41">
        <v>351000.0</v>
      </c>
      <c r="D19" s="12"/>
      <c r="E19" s="12"/>
      <c r="J19" s="11" t="s">
        <v>7</v>
      </c>
    </row>
    <row r="20">
      <c r="A20" s="5">
        <v>19.0</v>
      </c>
      <c r="B20" s="41">
        <v>196800.0</v>
      </c>
      <c r="C20" s="41">
        <v>287000.0</v>
      </c>
      <c r="D20" s="12">
        <v>1463400.0</v>
      </c>
      <c r="E20" s="12"/>
      <c r="I20" s="12"/>
    </row>
    <row r="21">
      <c r="A21" s="3">
        <v>20.0</v>
      </c>
      <c r="B21" s="8"/>
      <c r="C21" s="8"/>
      <c r="D21" s="12"/>
    </row>
    <row r="22">
      <c r="A22" s="3">
        <v>21.0</v>
      </c>
      <c r="B22" s="8"/>
      <c r="C22" s="8"/>
      <c r="I22" s="12"/>
    </row>
    <row r="23">
      <c r="A23" s="5">
        <v>22.0</v>
      </c>
      <c r="B23" s="41">
        <v>360200.0</v>
      </c>
      <c r="C23" s="41">
        <v>381000.0</v>
      </c>
      <c r="D23" s="12">
        <v>1063400.0</v>
      </c>
      <c r="E23" s="11" t="s">
        <v>26</v>
      </c>
    </row>
    <row r="24">
      <c r="A24" s="5">
        <v>23.0</v>
      </c>
      <c r="B24" s="41">
        <v>103200.0</v>
      </c>
      <c r="C24" s="41">
        <v>387000.0</v>
      </c>
      <c r="D24" s="12">
        <v>1621600.0</v>
      </c>
    </row>
    <row r="25">
      <c r="A25" s="5">
        <v>24.0</v>
      </c>
      <c r="B25" s="41">
        <v>207300.0</v>
      </c>
      <c r="C25" s="41">
        <v>198000.0</v>
      </c>
      <c r="D25" s="12">
        <v>814500.0</v>
      </c>
      <c r="E25" s="11">
        <v>150000.0</v>
      </c>
    </row>
    <row r="26">
      <c r="A26" s="5">
        <v>25.0</v>
      </c>
      <c r="B26" s="41">
        <v>0.0</v>
      </c>
      <c r="C26" s="41">
        <v>340000.0</v>
      </c>
      <c r="D26" s="12">
        <v>623000.0</v>
      </c>
      <c r="E26" s="12"/>
    </row>
    <row r="27">
      <c r="A27" s="5">
        <v>26.0</v>
      </c>
      <c r="B27" s="41">
        <v>155900.0</v>
      </c>
      <c r="C27" s="41">
        <v>303000.0</v>
      </c>
      <c r="D27" s="12">
        <v>715300.0</v>
      </c>
      <c r="E27" s="12"/>
      <c r="G27" s="11" t="s">
        <v>7</v>
      </c>
    </row>
    <row r="28">
      <c r="A28" s="5">
        <v>27.0</v>
      </c>
      <c r="B28" s="41">
        <v>337400.0</v>
      </c>
      <c r="C28" s="41">
        <v>281000.0</v>
      </c>
      <c r="D28" s="12">
        <v>956100.0</v>
      </c>
      <c r="E28" s="12">
        <v>983300.0</v>
      </c>
    </row>
    <row r="29">
      <c r="A29" s="3">
        <v>28.0</v>
      </c>
      <c r="B29" s="8"/>
      <c r="C29" s="8"/>
      <c r="D29" s="12"/>
      <c r="E29" s="12"/>
    </row>
    <row r="30">
      <c r="A30" s="5">
        <v>29.0</v>
      </c>
      <c r="B30" s="41">
        <v>160000.0</v>
      </c>
      <c r="C30" s="41">
        <v>294000.0</v>
      </c>
      <c r="D30" s="12">
        <v>1437200.0</v>
      </c>
      <c r="E30" s="12"/>
      <c r="H30" s="12"/>
    </row>
    <row r="31">
      <c r="A31" s="5">
        <v>30.0</v>
      </c>
      <c r="B31" s="41">
        <v>143600.0</v>
      </c>
      <c r="C31" s="41">
        <v>374000.0</v>
      </c>
      <c r="D31" s="12">
        <v>1249000.0</v>
      </c>
    </row>
    <row r="32">
      <c r="A32" s="5">
        <v>31.0</v>
      </c>
      <c r="B32" s="41">
        <v>290000.0</v>
      </c>
      <c r="C32" s="41">
        <v>328000.0</v>
      </c>
      <c r="D32" s="12">
        <v>1032700.0</v>
      </c>
    </row>
    <row r="33">
      <c r="A33" s="5" t="s">
        <v>6</v>
      </c>
      <c r="B33" s="7">
        <f t="shared" ref="B33:C33" si="1">SUM(B2:B32)</f>
        <v>4284100</v>
      </c>
      <c r="C33" s="7">
        <f t="shared" si="1"/>
        <v>8515000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24</v>
      </c>
      <c r="C1" s="2" t="s">
        <v>3</v>
      </c>
    </row>
    <row r="2">
      <c r="A2" s="5">
        <v>1.0</v>
      </c>
      <c r="B2" s="41">
        <v>80100.0</v>
      </c>
      <c r="C2" s="41">
        <v>184000.0</v>
      </c>
      <c r="D2" s="12">
        <v>1296900.0</v>
      </c>
    </row>
    <row r="3">
      <c r="A3" s="5">
        <v>2.0</v>
      </c>
      <c r="B3" s="41">
        <v>56300.0</v>
      </c>
      <c r="C3" s="41">
        <v>405000.0</v>
      </c>
      <c r="D3" s="12">
        <v>871600.0</v>
      </c>
      <c r="E3" s="12"/>
    </row>
    <row r="4">
      <c r="A4" s="5">
        <v>3.0</v>
      </c>
      <c r="B4" s="41">
        <v>168600.0</v>
      </c>
      <c r="C4" s="41">
        <v>440000.0</v>
      </c>
      <c r="D4" s="12">
        <v>1448600.0</v>
      </c>
      <c r="E4" s="12"/>
    </row>
    <row r="5">
      <c r="A5" s="3">
        <v>4.0</v>
      </c>
      <c r="B5" s="8"/>
      <c r="C5" s="8"/>
      <c r="D5" s="12"/>
      <c r="E5" s="12"/>
    </row>
    <row r="6">
      <c r="A6" s="5">
        <v>5.0</v>
      </c>
      <c r="B6" s="41">
        <v>117000.0</v>
      </c>
      <c r="C6" s="41">
        <v>340000.0</v>
      </c>
      <c r="D6" s="12">
        <v>1248700.0</v>
      </c>
      <c r="E6" s="12"/>
    </row>
    <row r="7">
      <c r="A7" s="5">
        <v>6.0</v>
      </c>
      <c r="B7" s="41">
        <v>2900.0</v>
      </c>
      <c r="C7" s="41">
        <v>393000.0</v>
      </c>
      <c r="D7" s="12">
        <v>1213200.0</v>
      </c>
      <c r="F7" s="10"/>
      <c r="G7" s="10"/>
    </row>
    <row r="8">
      <c r="A8" s="3">
        <v>7.0</v>
      </c>
      <c r="B8" s="8"/>
      <c r="C8" s="8"/>
      <c r="D8" s="12"/>
      <c r="E8" s="12"/>
    </row>
    <row r="9">
      <c r="A9" s="5">
        <v>8.0</v>
      </c>
      <c r="B9" s="41">
        <v>476500.0</v>
      </c>
      <c r="C9" s="41">
        <v>389000.0</v>
      </c>
      <c r="D9" s="12">
        <v>1662300.0</v>
      </c>
      <c r="E9" s="12"/>
    </row>
    <row r="10">
      <c r="A10" s="5">
        <v>9.0</v>
      </c>
      <c r="B10" s="41">
        <v>142300.0</v>
      </c>
      <c r="C10" s="41">
        <v>334000.0</v>
      </c>
      <c r="D10" s="12">
        <v>864800.0</v>
      </c>
    </row>
    <row r="11">
      <c r="A11" s="5">
        <v>10.0</v>
      </c>
      <c r="B11" s="41">
        <v>297800.0</v>
      </c>
      <c r="C11" s="41">
        <v>261000.0</v>
      </c>
      <c r="D11" s="12">
        <v>1463300.0</v>
      </c>
      <c r="E11" s="12"/>
      <c r="F11" s="11" t="s">
        <v>27</v>
      </c>
    </row>
    <row r="12">
      <c r="A12" s="3">
        <v>11.0</v>
      </c>
      <c r="B12" s="8"/>
      <c r="C12" s="8"/>
    </row>
    <row r="13">
      <c r="A13" s="5">
        <v>12.0</v>
      </c>
      <c r="B13" s="41">
        <v>180400.0</v>
      </c>
      <c r="C13" s="41">
        <v>288000.0</v>
      </c>
      <c r="D13" s="12">
        <v>667800.0</v>
      </c>
      <c r="E13" s="11">
        <v>914800.0</v>
      </c>
    </row>
    <row r="14">
      <c r="A14" s="5">
        <v>13.0</v>
      </c>
      <c r="B14" s="41">
        <v>75300.0</v>
      </c>
      <c r="C14" s="41">
        <v>210000.0</v>
      </c>
      <c r="D14" s="12">
        <v>1239300.0</v>
      </c>
    </row>
    <row r="15">
      <c r="A15" s="5">
        <v>14.0</v>
      </c>
      <c r="B15" s="41">
        <v>142300.0</v>
      </c>
      <c r="C15" s="41">
        <v>243000.0</v>
      </c>
      <c r="D15" s="12">
        <v>1586300.0</v>
      </c>
    </row>
    <row r="16">
      <c r="A16" s="5">
        <v>15.0</v>
      </c>
      <c r="B16" s="41">
        <v>14000.0</v>
      </c>
      <c r="C16" s="41">
        <v>341000.0</v>
      </c>
      <c r="D16" s="12">
        <v>1594000.0</v>
      </c>
      <c r="E16" s="12">
        <v>1895000.0</v>
      </c>
    </row>
    <row r="17">
      <c r="A17" s="5">
        <v>16.0</v>
      </c>
      <c r="B17" s="41">
        <v>71100.0</v>
      </c>
      <c r="C17" s="41">
        <v>309000.0</v>
      </c>
      <c r="D17" s="12">
        <v>1134700.0</v>
      </c>
    </row>
    <row r="18">
      <c r="A18" s="5">
        <v>17.0</v>
      </c>
      <c r="B18" s="41">
        <v>97800.0</v>
      </c>
      <c r="C18" s="41">
        <v>359000.0</v>
      </c>
      <c r="D18" s="12">
        <v>1122950.0</v>
      </c>
      <c r="I18" s="12"/>
    </row>
    <row r="19">
      <c r="A19" s="3">
        <v>18.0</v>
      </c>
      <c r="B19" s="8"/>
      <c r="C19" s="8"/>
      <c r="D19" s="12"/>
      <c r="E19" s="12"/>
      <c r="J19" s="11" t="s">
        <v>7</v>
      </c>
    </row>
    <row r="20">
      <c r="A20" s="3">
        <v>19.0</v>
      </c>
      <c r="B20" s="8"/>
      <c r="C20" s="8"/>
      <c r="D20" s="12"/>
      <c r="E20" s="12"/>
      <c r="I20" s="12"/>
    </row>
    <row r="21">
      <c r="A21" s="5">
        <v>20.0</v>
      </c>
      <c r="B21" s="41">
        <v>200200.0</v>
      </c>
      <c r="C21" s="41">
        <v>471000.0</v>
      </c>
      <c r="D21" s="12">
        <v>1038500.0</v>
      </c>
      <c r="E21" s="12">
        <v>521500.0</v>
      </c>
      <c r="F21" s="12">
        <v>1124000.0</v>
      </c>
      <c r="G21" s="12">
        <v>1640700.0</v>
      </c>
    </row>
    <row r="22">
      <c r="A22" s="5">
        <v>21.0</v>
      </c>
      <c r="B22" s="41">
        <v>53000.0</v>
      </c>
      <c r="C22" s="41">
        <v>288000.0</v>
      </c>
      <c r="D22" s="12">
        <v>768800.0</v>
      </c>
      <c r="I22" s="12"/>
    </row>
    <row r="23">
      <c r="A23" s="5">
        <v>22.0</v>
      </c>
      <c r="B23" s="41">
        <v>94400.0</v>
      </c>
      <c r="C23" s="41">
        <v>423000.0</v>
      </c>
      <c r="D23" s="12">
        <v>939900.0</v>
      </c>
    </row>
    <row r="24">
      <c r="A24" s="5">
        <v>23.0</v>
      </c>
      <c r="B24" s="41">
        <v>285000.0</v>
      </c>
      <c r="C24" s="41">
        <v>293000.0</v>
      </c>
      <c r="D24" s="12">
        <v>1532200.0</v>
      </c>
    </row>
    <row r="25">
      <c r="A25" s="5">
        <v>24.0</v>
      </c>
      <c r="B25" s="41">
        <v>156800.0</v>
      </c>
      <c r="C25" s="41">
        <v>486000.0</v>
      </c>
      <c r="D25" s="12">
        <v>1085300.0</v>
      </c>
    </row>
    <row r="26">
      <c r="A26" s="3">
        <v>25.0</v>
      </c>
      <c r="B26" s="8"/>
      <c r="C26" s="8"/>
      <c r="D26" s="12"/>
      <c r="E26" s="12"/>
    </row>
    <row r="27">
      <c r="A27" s="5">
        <v>26.0</v>
      </c>
      <c r="B27" s="41">
        <v>145400.0</v>
      </c>
      <c r="C27" s="41">
        <v>417000.0</v>
      </c>
      <c r="D27" s="12">
        <v>1647000.0</v>
      </c>
      <c r="E27" s="12"/>
      <c r="G27" s="11" t="s">
        <v>7</v>
      </c>
    </row>
    <row r="28">
      <c r="A28" s="5">
        <v>27.0</v>
      </c>
      <c r="B28" s="41">
        <v>74600.0</v>
      </c>
      <c r="C28" s="41">
        <v>333000.0</v>
      </c>
      <c r="D28" s="12"/>
      <c r="E28" s="12"/>
    </row>
    <row r="29">
      <c r="A29" s="5">
        <v>28.0</v>
      </c>
      <c r="B29" s="41">
        <v>81000.0</v>
      </c>
      <c r="C29" s="41">
        <v>188000.0</v>
      </c>
      <c r="D29" s="12">
        <v>1097300.0</v>
      </c>
      <c r="E29" s="12"/>
    </row>
    <row r="30">
      <c r="A30" s="5">
        <v>29.0</v>
      </c>
      <c r="B30" s="41">
        <v>139200.0</v>
      </c>
      <c r="C30" s="41">
        <v>175000.0</v>
      </c>
      <c r="D30" s="12"/>
      <c r="E30" s="12"/>
      <c r="H30" s="12"/>
    </row>
    <row r="31">
      <c r="A31" s="5">
        <v>30.0</v>
      </c>
      <c r="B31" s="41">
        <v>68000.0</v>
      </c>
      <c r="C31" s="41">
        <v>321000.0</v>
      </c>
      <c r="D31" s="12">
        <v>499400.0</v>
      </c>
      <c r="E31" s="12">
        <v>912200.0</v>
      </c>
      <c r="F31" s="12">
        <v>1022200.0</v>
      </c>
      <c r="G31" s="11">
        <v>110000.0</v>
      </c>
      <c r="H31" s="45" t="s">
        <v>28</v>
      </c>
    </row>
    <row r="32">
      <c r="A32" s="5">
        <v>31.0</v>
      </c>
      <c r="B32" s="41">
        <v>166800.0</v>
      </c>
      <c r="C32" s="41">
        <v>343000.0</v>
      </c>
      <c r="D32" s="12">
        <v>1111500.0</v>
      </c>
      <c r="E32" s="12">
        <v>1534300.0</v>
      </c>
    </row>
    <row r="33">
      <c r="A33" s="5" t="s">
        <v>6</v>
      </c>
      <c r="B33" s="7">
        <f t="shared" ref="B33:C33" si="1">SUM(B2:B32)</f>
        <v>3386800</v>
      </c>
      <c r="C33" s="7">
        <f t="shared" si="1"/>
        <v>8234000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</cols>
  <sheetData>
    <row r="1">
      <c r="A1" s="1"/>
      <c r="B1" s="2" t="s">
        <v>0</v>
      </c>
      <c r="C1" s="2" t="s">
        <v>3</v>
      </c>
    </row>
    <row r="2">
      <c r="A2" s="3">
        <v>1.0</v>
      </c>
      <c r="B2" s="8"/>
      <c r="C2" s="8"/>
    </row>
    <row r="3">
      <c r="A3" s="5">
        <v>2.0</v>
      </c>
      <c r="B3" s="41">
        <v>179400.0</v>
      </c>
      <c r="C3" s="41">
        <v>257000.0</v>
      </c>
      <c r="D3" s="12">
        <v>999600.0</v>
      </c>
      <c r="E3" s="12">
        <v>1420800.0</v>
      </c>
    </row>
    <row r="4">
      <c r="A4" s="5">
        <v>3.0</v>
      </c>
      <c r="B4" s="41">
        <v>116400.0</v>
      </c>
      <c r="C4" s="41">
        <v>180000.0</v>
      </c>
      <c r="D4" s="12">
        <v>1119800.0</v>
      </c>
    </row>
    <row r="5">
      <c r="A5" s="5">
        <v>4.0</v>
      </c>
      <c r="B5" s="41">
        <v>321000.0</v>
      </c>
      <c r="C5" s="41">
        <v>125000.0</v>
      </c>
      <c r="D5" s="12">
        <v>832600.0</v>
      </c>
    </row>
    <row r="6">
      <c r="A6" s="5">
        <v>5.0</v>
      </c>
      <c r="B6" s="41">
        <v>105500.0</v>
      </c>
      <c r="C6" s="41">
        <v>318000.0</v>
      </c>
      <c r="D6" s="12">
        <v>1255700.0</v>
      </c>
    </row>
    <row r="7">
      <c r="A7" s="5">
        <v>6.0</v>
      </c>
      <c r="B7" s="41">
        <v>27500.0</v>
      </c>
      <c r="C7" s="41">
        <v>322000.0</v>
      </c>
      <c r="D7" s="12">
        <v>1659200.0</v>
      </c>
      <c r="J7" s="12"/>
      <c r="K7" s="13"/>
      <c r="L7" s="12"/>
    </row>
    <row r="8">
      <c r="A8" s="5">
        <v>7.0</v>
      </c>
      <c r="B8" s="41">
        <v>170000.0</v>
      </c>
      <c r="C8" s="41">
        <v>291000.0</v>
      </c>
      <c r="D8" s="12">
        <v>1304600.0</v>
      </c>
    </row>
    <row r="9">
      <c r="A9" s="3">
        <v>8.0</v>
      </c>
      <c r="B9" s="8"/>
      <c r="C9" s="8"/>
    </row>
    <row r="10">
      <c r="A10" s="5">
        <v>9.0</v>
      </c>
      <c r="B10" s="41">
        <v>329900.0</v>
      </c>
      <c r="C10" s="41">
        <v>178000.0</v>
      </c>
      <c r="D10" s="12">
        <v>656700.0</v>
      </c>
      <c r="G10" s="12"/>
    </row>
    <row r="11">
      <c r="A11" s="5">
        <v>10.0</v>
      </c>
      <c r="B11" s="41">
        <v>101700.0</v>
      </c>
      <c r="C11" s="41">
        <v>244000.0</v>
      </c>
      <c r="D11" s="12">
        <v>985300.0</v>
      </c>
    </row>
    <row r="12">
      <c r="A12" s="5">
        <v>11.0</v>
      </c>
      <c r="B12" s="41">
        <v>286200.0</v>
      </c>
      <c r="C12" s="41">
        <v>327000.0</v>
      </c>
      <c r="D12" s="12">
        <v>1002700.0</v>
      </c>
      <c r="N12" s="12"/>
    </row>
    <row r="13">
      <c r="A13" s="5">
        <v>12.0</v>
      </c>
      <c r="B13" s="41">
        <v>25000.0</v>
      </c>
      <c r="C13" s="41">
        <v>243000.0</v>
      </c>
      <c r="D13" s="12">
        <v>1267500.0</v>
      </c>
    </row>
    <row r="14">
      <c r="A14" s="5">
        <v>13.0</v>
      </c>
      <c r="B14" s="41">
        <v>72700.0</v>
      </c>
      <c r="C14" s="41">
        <v>449000.0</v>
      </c>
      <c r="D14" s="12">
        <v>1461500.0</v>
      </c>
    </row>
    <row r="15">
      <c r="A15" s="5">
        <v>14.0</v>
      </c>
      <c r="B15" s="41">
        <v>147300.0</v>
      </c>
      <c r="C15" s="41">
        <v>325000.0</v>
      </c>
      <c r="D15" s="12">
        <v>1155800.0</v>
      </c>
      <c r="F15" s="11" t="s">
        <v>7</v>
      </c>
      <c r="G15" s="12"/>
    </row>
    <row r="16">
      <c r="A16" s="3">
        <v>15.0</v>
      </c>
      <c r="B16" s="8"/>
      <c r="C16" s="8"/>
    </row>
    <row r="17">
      <c r="A17" s="5">
        <v>16.0</v>
      </c>
      <c r="B17" s="41">
        <v>24000.0</v>
      </c>
      <c r="C17" s="41">
        <v>308000.0</v>
      </c>
      <c r="D17" s="12">
        <v>1140500.0</v>
      </c>
    </row>
    <row r="18">
      <c r="A18" s="5">
        <v>17.0</v>
      </c>
      <c r="B18" s="41">
        <v>100000.0</v>
      </c>
      <c r="C18" s="41">
        <v>270000.0</v>
      </c>
    </row>
    <row r="19">
      <c r="A19" s="5">
        <v>18.0</v>
      </c>
      <c r="B19" s="41">
        <v>46500.0</v>
      </c>
      <c r="C19" s="41">
        <v>429000.0</v>
      </c>
      <c r="D19" s="12">
        <v>878300.0</v>
      </c>
    </row>
    <row r="20">
      <c r="A20" s="5">
        <v>19.0</v>
      </c>
      <c r="B20" s="41">
        <v>184400.0</v>
      </c>
      <c r="C20" s="41">
        <v>462000.0</v>
      </c>
      <c r="D20" s="12">
        <v>1045400.0</v>
      </c>
    </row>
    <row r="21">
      <c r="A21" s="5">
        <v>20.0</v>
      </c>
      <c r="B21" s="41">
        <v>196500.0</v>
      </c>
      <c r="C21" s="41">
        <v>110000.0</v>
      </c>
      <c r="D21" s="12">
        <v>1037600.0</v>
      </c>
      <c r="G21" s="12"/>
    </row>
    <row r="22">
      <c r="A22" s="5">
        <v>21.0</v>
      </c>
      <c r="B22" s="41">
        <v>68600.0</v>
      </c>
      <c r="C22" s="41">
        <v>477000.0</v>
      </c>
      <c r="D22" s="12" t="s">
        <v>29</v>
      </c>
    </row>
    <row r="23">
      <c r="A23" s="3">
        <v>22.0</v>
      </c>
      <c r="B23" s="41">
        <v>43000.0</v>
      </c>
      <c r="C23" s="41">
        <v>208000.0</v>
      </c>
      <c r="L23" s="12"/>
    </row>
    <row r="24">
      <c r="A24" s="5">
        <v>23.0</v>
      </c>
      <c r="B24" s="41">
        <v>283000.0</v>
      </c>
      <c r="C24" s="41">
        <v>655000.0</v>
      </c>
      <c r="D24" s="12">
        <v>1521200.0</v>
      </c>
      <c r="E24" s="12">
        <v>1361100.0</v>
      </c>
      <c r="L24" s="13"/>
    </row>
    <row r="25">
      <c r="A25" s="5">
        <v>24.0</v>
      </c>
      <c r="B25" s="41">
        <v>126300.0</v>
      </c>
      <c r="C25" s="41">
        <v>222000.0</v>
      </c>
      <c r="D25" s="12">
        <v>767200.0</v>
      </c>
    </row>
    <row r="26">
      <c r="A26" s="5">
        <v>25.0</v>
      </c>
      <c r="B26" s="41">
        <v>151000.0</v>
      </c>
      <c r="C26" s="41">
        <v>177000.0</v>
      </c>
      <c r="D26" s="12">
        <v>735000.0</v>
      </c>
    </row>
    <row r="27">
      <c r="A27" s="5">
        <v>26.0</v>
      </c>
      <c r="B27" s="41">
        <v>96100.0</v>
      </c>
      <c r="C27" s="41">
        <v>243000.0</v>
      </c>
      <c r="D27" s="12">
        <v>750100.0</v>
      </c>
    </row>
    <row r="28">
      <c r="A28" s="5">
        <v>27.0</v>
      </c>
      <c r="B28" s="41">
        <v>21900.0</v>
      </c>
      <c r="C28" s="41">
        <v>438000.0</v>
      </c>
      <c r="D28" s="12">
        <v>864700.0</v>
      </c>
    </row>
    <row r="29">
      <c r="A29" s="5">
        <v>28.0</v>
      </c>
      <c r="B29" s="41">
        <v>206400.0</v>
      </c>
      <c r="C29" s="41">
        <v>471000.0</v>
      </c>
      <c r="D29" s="12">
        <v>1546200.0</v>
      </c>
    </row>
    <row r="30">
      <c r="A30" s="3">
        <v>29.0</v>
      </c>
      <c r="B30" s="8"/>
      <c r="C30" s="8"/>
    </row>
    <row r="31">
      <c r="A31" s="5">
        <v>30.0</v>
      </c>
      <c r="B31" s="41">
        <v>194100.0</v>
      </c>
      <c r="C31" s="41">
        <v>393000.0</v>
      </c>
      <c r="D31" s="12">
        <v>998500.0</v>
      </c>
    </row>
    <row r="32">
      <c r="A32" s="5" t="s">
        <v>6</v>
      </c>
      <c r="B32" s="7">
        <f t="shared" ref="B32:C32" si="1">SUM(B2:B31)</f>
        <v>3624400</v>
      </c>
      <c r="C32" s="7">
        <f t="shared" si="1"/>
        <v>8122000</v>
      </c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  <col customWidth="1" min="13" max="13" width="22.25"/>
  </cols>
  <sheetData>
    <row r="1">
      <c r="A1" s="1"/>
      <c r="B1" s="2" t="s">
        <v>0</v>
      </c>
      <c r="C1" s="2" t="s">
        <v>3</v>
      </c>
    </row>
    <row r="2">
      <c r="A2" s="5">
        <v>1.0</v>
      </c>
      <c r="B2" s="41">
        <v>74900.0</v>
      </c>
      <c r="C2" s="41">
        <v>288000.0</v>
      </c>
      <c r="D2" s="12">
        <v>1197900.0</v>
      </c>
    </row>
    <row r="3">
      <c r="A3" s="5">
        <v>2.0</v>
      </c>
      <c r="B3" s="41">
        <v>76600.0</v>
      </c>
      <c r="C3" s="41">
        <v>448000.0</v>
      </c>
      <c r="D3" s="12">
        <v>1836800.0</v>
      </c>
      <c r="E3" s="12"/>
    </row>
    <row r="4">
      <c r="A4" s="5">
        <v>3.0</v>
      </c>
      <c r="B4" s="41">
        <v>203200.0</v>
      </c>
      <c r="C4" s="41">
        <v>469000.0</v>
      </c>
      <c r="D4" s="12">
        <v>1068700.0</v>
      </c>
    </row>
    <row r="5">
      <c r="A5" s="5">
        <v>4.0</v>
      </c>
      <c r="B5" s="41">
        <v>50000.0</v>
      </c>
      <c r="C5" s="41">
        <v>285000.0</v>
      </c>
      <c r="D5" s="12">
        <v>1394000.0</v>
      </c>
    </row>
    <row r="6">
      <c r="A6" s="5">
        <v>5.0</v>
      </c>
      <c r="B6" s="6">
        <v>0.0</v>
      </c>
      <c r="C6" s="41">
        <v>541000.0</v>
      </c>
      <c r="D6" s="12">
        <v>1128600.0</v>
      </c>
      <c r="E6" s="12">
        <v>-123200.0</v>
      </c>
    </row>
    <row r="7">
      <c r="A7" s="3">
        <v>6.0</v>
      </c>
      <c r="B7" s="8"/>
      <c r="C7" s="8"/>
      <c r="D7" s="12"/>
      <c r="J7" s="12"/>
      <c r="K7" s="13"/>
      <c r="L7" s="12"/>
      <c r="N7" s="12"/>
    </row>
    <row r="8">
      <c r="A8" s="5">
        <v>7.0</v>
      </c>
      <c r="B8" s="41">
        <v>184300.0</v>
      </c>
      <c r="C8" s="41">
        <v>230000.0</v>
      </c>
      <c r="D8" s="12"/>
      <c r="N8" s="12"/>
    </row>
    <row r="9">
      <c r="A9" s="5">
        <v>8.0</v>
      </c>
      <c r="B9" s="41">
        <v>62300.0</v>
      </c>
      <c r="C9" s="41">
        <v>131000.0</v>
      </c>
      <c r="D9" s="12">
        <v>951200.0</v>
      </c>
      <c r="E9" s="11" t="s">
        <v>30</v>
      </c>
      <c r="N9" s="12"/>
    </row>
    <row r="10">
      <c r="A10" s="5">
        <v>9.0</v>
      </c>
      <c r="B10" s="41">
        <v>447000.0</v>
      </c>
      <c r="C10" s="41">
        <v>247000.0</v>
      </c>
      <c r="D10" s="12">
        <v>907000.0</v>
      </c>
      <c r="G10" s="12"/>
      <c r="N10" s="12"/>
    </row>
    <row r="11">
      <c r="A11" s="5">
        <v>10.0</v>
      </c>
      <c r="B11" s="41">
        <v>94900.0</v>
      </c>
      <c r="C11" s="41">
        <v>396000.0</v>
      </c>
      <c r="D11" s="12">
        <v>1401400.0</v>
      </c>
    </row>
    <row r="12">
      <c r="A12" s="5">
        <v>11.0</v>
      </c>
      <c r="B12" s="41">
        <v>29500.0</v>
      </c>
      <c r="C12" s="41">
        <v>475000.0</v>
      </c>
      <c r="D12" s="12">
        <v>883000.0</v>
      </c>
      <c r="N12" s="12"/>
    </row>
    <row r="13">
      <c r="A13" s="5">
        <v>12.0</v>
      </c>
      <c r="B13" s="41">
        <v>40400.0</v>
      </c>
      <c r="C13" s="41">
        <v>639000.0</v>
      </c>
      <c r="D13" s="12">
        <v>1564400.0</v>
      </c>
      <c r="M13" s="12"/>
    </row>
    <row r="14">
      <c r="A14" s="3">
        <v>13.0</v>
      </c>
      <c r="B14" s="8"/>
      <c r="C14" s="8"/>
      <c r="D14" s="12"/>
      <c r="M14" s="12"/>
    </row>
    <row r="15">
      <c r="A15" s="3">
        <v>14.0</v>
      </c>
      <c r="B15" s="8"/>
      <c r="C15" s="8"/>
      <c r="D15" s="12"/>
      <c r="F15" s="11" t="s">
        <v>7</v>
      </c>
      <c r="G15" s="12"/>
    </row>
    <row r="16">
      <c r="A16" s="5">
        <v>15.0</v>
      </c>
      <c r="B16" s="41">
        <v>113700.0</v>
      </c>
      <c r="C16" s="41">
        <v>391000.0</v>
      </c>
      <c r="D16" s="12">
        <v>886000.0</v>
      </c>
    </row>
    <row r="17">
      <c r="A17" s="5">
        <v>16.0</v>
      </c>
      <c r="B17" s="41">
        <v>48200.0</v>
      </c>
      <c r="C17" s="41">
        <v>339000.0</v>
      </c>
      <c r="D17" s="12"/>
      <c r="E17" s="12">
        <v>1274800.0</v>
      </c>
      <c r="F17" s="11">
        <v>252000.0</v>
      </c>
    </row>
    <row r="18">
      <c r="A18" s="5">
        <v>17.0</v>
      </c>
      <c r="B18" s="41">
        <v>16000.0</v>
      </c>
      <c r="C18" s="41">
        <v>120000.0</v>
      </c>
      <c r="D18" s="12">
        <v>519300.0</v>
      </c>
    </row>
    <row r="19">
      <c r="A19" s="5">
        <v>18.0</v>
      </c>
      <c r="B19" s="41">
        <v>165700.0</v>
      </c>
      <c r="C19" s="41">
        <v>360000.0</v>
      </c>
      <c r="D19" s="12">
        <v>899400.0</v>
      </c>
    </row>
    <row r="20">
      <c r="A20" s="5">
        <v>19.0</v>
      </c>
      <c r="B20" s="41">
        <v>166600.0</v>
      </c>
      <c r="C20" s="41">
        <v>465000.0</v>
      </c>
      <c r="D20" s="12">
        <v>1031600.0</v>
      </c>
    </row>
    <row r="21">
      <c r="A21" s="3">
        <v>20.0</v>
      </c>
      <c r="B21" s="8"/>
      <c r="C21" s="8"/>
      <c r="D21" s="12"/>
      <c r="E21" s="12">
        <v>26000.0</v>
      </c>
      <c r="G21" s="12"/>
    </row>
    <row r="22">
      <c r="A22" s="5">
        <v>21.0</v>
      </c>
      <c r="B22" s="41">
        <v>115100.0</v>
      </c>
      <c r="C22" s="41">
        <v>362000.0</v>
      </c>
      <c r="D22" s="12">
        <v>1219200.0</v>
      </c>
    </row>
    <row r="23">
      <c r="A23" s="5">
        <v>22.0</v>
      </c>
      <c r="B23" s="41">
        <v>62400.0</v>
      </c>
      <c r="C23" s="41">
        <v>446000.0</v>
      </c>
      <c r="D23" s="12">
        <v>2079200.0</v>
      </c>
      <c r="E23" s="11" t="s">
        <v>31</v>
      </c>
      <c r="L23" s="12"/>
    </row>
    <row r="24">
      <c r="A24" s="5">
        <v>23.0</v>
      </c>
      <c r="B24" s="41">
        <v>113100.0</v>
      </c>
      <c r="C24" s="41">
        <v>414000.0</v>
      </c>
      <c r="D24" s="12">
        <v>938600.0</v>
      </c>
      <c r="E24" s="12"/>
      <c r="L24" s="13"/>
    </row>
    <row r="25">
      <c r="A25" s="5">
        <v>24.0</v>
      </c>
      <c r="B25" s="41">
        <v>138200.0</v>
      </c>
      <c r="C25" s="41">
        <v>398000.0</v>
      </c>
      <c r="D25" s="12" t="s">
        <v>32</v>
      </c>
    </row>
    <row r="26">
      <c r="A26" s="5">
        <v>25.0</v>
      </c>
      <c r="B26" s="41">
        <v>24500.0</v>
      </c>
      <c r="C26" s="41">
        <v>379000.0</v>
      </c>
      <c r="D26" s="12">
        <v>885200.0</v>
      </c>
    </row>
    <row r="27">
      <c r="A27" s="5">
        <v>26.0</v>
      </c>
      <c r="B27" s="41">
        <v>248000.0</v>
      </c>
      <c r="C27" s="41">
        <v>460000.0</v>
      </c>
      <c r="D27" s="12">
        <v>1496500.0</v>
      </c>
    </row>
    <row r="28">
      <c r="A28" s="3">
        <v>27.0</v>
      </c>
      <c r="B28" s="8"/>
      <c r="C28" s="8"/>
      <c r="D28" s="12"/>
    </row>
    <row r="29">
      <c r="A29" s="5">
        <v>28.0</v>
      </c>
      <c r="B29" s="41">
        <v>118300.0</v>
      </c>
      <c r="C29" s="41">
        <v>387000.0</v>
      </c>
      <c r="D29" s="12">
        <v>977100.0</v>
      </c>
    </row>
    <row r="30">
      <c r="A30" s="5">
        <v>29.0</v>
      </c>
      <c r="B30" s="41">
        <v>146700.0</v>
      </c>
      <c r="C30" s="41">
        <v>423000.0</v>
      </c>
      <c r="D30" s="12">
        <v>1035000.0</v>
      </c>
    </row>
    <row r="31">
      <c r="A31" s="5">
        <v>30.0</v>
      </c>
      <c r="B31" s="41">
        <v>5000.0</v>
      </c>
      <c r="C31" s="41">
        <v>604000.0</v>
      </c>
      <c r="D31" s="12">
        <v>1592300.0</v>
      </c>
    </row>
    <row r="32">
      <c r="A32" s="5">
        <v>31.0</v>
      </c>
      <c r="B32" s="41">
        <v>62000.0</v>
      </c>
      <c r="C32" s="41">
        <v>326000.0</v>
      </c>
      <c r="D32" s="12">
        <v>803500.0</v>
      </c>
    </row>
    <row r="33">
      <c r="A33" s="5" t="s">
        <v>6</v>
      </c>
      <c r="B33" s="7"/>
      <c r="C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  <col customWidth="1" min="13" max="13" width="22.25"/>
  </cols>
  <sheetData>
    <row r="1">
      <c r="A1" s="1"/>
      <c r="B1" s="2" t="s">
        <v>0</v>
      </c>
      <c r="C1" s="2" t="s">
        <v>3</v>
      </c>
    </row>
    <row r="2">
      <c r="A2" s="5">
        <v>1.0</v>
      </c>
      <c r="B2" s="41">
        <v>132200.0</v>
      </c>
      <c r="C2" s="41">
        <v>277000.0</v>
      </c>
      <c r="D2" s="12">
        <v>824300.0</v>
      </c>
    </row>
    <row r="3">
      <c r="A3" s="5">
        <v>2.0</v>
      </c>
      <c r="B3" s="41">
        <v>98000.0</v>
      </c>
      <c r="C3" s="41">
        <v>355000.0</v>
      </c>
      <c r="D3" s="12">
        <v>869500.0</v>
      </c>
      <c r="E3" s="12"/>
    </row>
    <row r="4">
      <c r="A4" s="3">
        <v>3.0</v>
      </c>
      <c r="B4" s="8"/>
      <c r="C4" s="8"/>
      <c r="D4" s="12">
        <v>1036700.0</v>
      </c>
    </row>
    <row r="5">
      <c r="A5" s="3">
        <v>4.0</v>
      </c>
      <c r="B5" s="8"/>
      <c r="C5" s="8"/>
      <c r="D5" s="12">
        <v>823600.0</v>
      </c>
    </row>
    <row r="6">
      <c r="A6" s="5">
        <v>5.0</v>
      </c>
      <c r="B6" s="41">
        <v>25500.0</v>
      </c>
      <c r="C6" s="41">
        <v>594000.0</v>
      </c>
      <c r="D6" s="12"/>
      <c r="E6" s="12"/>
    </row>
    <row r="7">
      <c r="A7" s="5">
        <v>6.0</v>
      </c>
      <c r="B7" s="41">
        <v>45600.0</v>
      </c>
      <c r="C7" s="41">
        <v>334000.0</v>
      </c>
      <c r="D7" s="12">
        <v>1589400.0</v>
      </c>
      <c r="E7" s="12">
        <v>1722400.0</v>
      </c>
      <c r="J7" s="12"/>
      <c r="K7" s="13"/>
      <c r="L7" s="12"/>
      <c r="N7" s="12"/>
    </row>
    <row r="8">
      <c r="A8" s="5">
        <v>7.0</v>
      </c>
      <c r="B8" s="41">
        <v>330800.0</v>
      </c>
      <c r="C8" s="41">
        <v>323000.0</v>
      </c>
      <c r="D8" s="12"/>
      <c r="J8" s="12"/>
      <c r="N8" s="12"/>
    </row>
    <row r="9">
      <c r="A9" s="5">
        <v>8.0</v>
      </c>
      <c r="B9" s="41">
        <v>322200.0</v>
      </c>
      <c r="C9" s="41">
        <v>345000.0</v>
      </c>
      <c r="D9" s="12"/>
      <c r="J9" s="12"/>
      <c r="N9" s="12"/>
    </row>
    <row r="10">
      <c r="A10" s="5">
        <v>9.0</v>
      </c>
      <c r="B10" s="41">
        <v>380000.0</v>
      </c>
      <c r="C10" s="41">
        <v>654000.0</v>
      </c>
      <c r="D10" s="12">
        <v>1271000.0</v>
      </c>
      <c r="E10" s="11">
        <v>1.47E7</v>
      </c>
      <c r="G10" s="12"/>
      <c r="N10" s="12"/>
    </row>
    <row r="11">
      <c r="A11" s="3">
        <v>10.0</v>
      </c>
      <c r="B11" s="8"/>
      <c r="C11" s="8"/>
      <c r="D11" s="12"/>
    </row>
    <row r="12">
      <c r="A12" s="3">
        <v>11.0</v>
      </c>
      <c r="B12" s="8"/>
      <c r="C12" s="8"/>
      <c r="D12" s="12"/>
      <c r="N12" s="12"/>
    </row>
    <row r="13">
      <c r="A13" s="5">
        <v>12.0</v>
      </c>
      <c r="B13" s="41">
        <v>346700.0</v>
      </c>
      <c r="C13" s="41">
        <v>55000.0</v>
      </c>
      <c r="D13" s="12">
        <v>856000.0</v>
      </c>
      <c r="M13" s="12"/>
    </row>
    <row r="14">
      <c r="A14" s="5">
        <v>13.0</v>
      </c>
      <c r="B14" s="41">
        <v>4500.0</v>
      </c>
      <c r="C14" s="41">
        <v>220000.0</v>
      </c>
      <c r="D14" s="12">
        <v>763300.0</v>
      </c>
      <c r="M14" s="12"/>
    </row>
    <row r="15">
      <c r="A15" s="5">
        <v>14.0</v>
      </c>
      <c r="B15" s="41">
        <v>130700.0</v>
      </c>
      <c r="C15" s="41">
        <v>192000.0</v>
      </c>
      <c r="D15" s="12">
        <v>569000.0</v>
      </c>
      <c r="G15" s="12"/>
    </row>
    <row r="16">
      <c r="A16" s="5">
        <v>15.0</v>
      </c>
      <c r="B16" s="41">
        <v>8000.0</v>
      </c>
      <c r="C16" s="41">
        <v>514000.0</v>
      </c>
      <c r="D16" s="12">
        <v>956800.0</v>
      </c>
    </row>
    <row r="17">
      <c r="A17" s="5">
        <v>16.0</v>
      </c>
      <c r="B17" s="41">
        <v>59900.0</v>
      </c>
      <c r="C17" s="41">
        <v>254000.0</v>
      </c>
      <c r="D17" s="12">
        <v>836200.0</v>
      </c>
      <c r="E17" s="12"/>
    </row>
    <row r="18">
      <c r="A18" s="3">
        <v>17.0</v>
      </c>
      <c r="B18" s="8"/>
      <c r="C18" s="8"/>
      <c r="D18" s="12"/>
    </row>
    <row r="19">
      <c r="A19" s="5">
        <v>18.0</v>
      </c>
      <c r="B19" s="41">
        <v>42000.0</v>
      </c>
      <c r="C19" s="41">
        <v>347000.0</v>
      </c>
      <c r="D19" s="12">
        <v>1144900.0</v>
      </c>
    </row>
    <row r="20">
      <c r="A20" s="5">
        <v>19.0</v>
      </c>
      <c r="B20" s="41">
        <v>94900.0</v>
      </c>
      <c r="C20" s="41">
        <v>268000.0</v>
      </c>
      <c r="D20" s="12">
        <v>1623900.0</v>
      </c>
      <c r="E20" s="12">
        <v>1596700.0</v>
      </c>
    </row>
    <row r="21">
      <c r="A21" s="5">
        <v>20.0</v>
      </c>
      <c r="B21" s="41">
        <v>161800.0</v>
      </c>
      <c r="C21" s="41">
        <v>80000.0</v>
      </c>
      <c r="D21" s="12"/>
      <c r="E21" s="12"/>
      <c r="G21" s="12"/>
    </row>
    <row r="22">
      <c r="A22" s="5">
        <v>21.0</v>
      </c>
      <c r="B22" s="41">
        <v>226200.0</v>
      </c>
      <c r="C22" s="41">
        <v>110000.0</v>
      </c>
      <c r="D22" s="12">
        <v>845700.0</v>
      </c>
      <c r="E22" s="11">
        <v>1424200.0</v>
      </c>
    </row>
    <row r="23">
      <c r="A23" s="5">
        <v>22.0</v>
      </c>
      <c r="B23" s="41">
        <v>303700.0</v>
      </c>
      <c r="C23" s="41">
        <v>166000.0</v>
      </c>
      <c r="D23" s="12"/>
      <c r="G23" s="11" t="s">
        <v>7</v>
      </c>
      <c r="L23" s="12"/>
    </row>
    <row r="24">
      <c r="A24" s="5">
        <v>23.0</v>
      </c>
      <c r="B24" s="41">
        <v>306200.0</v>
      </c>
      <c r="C24" s="41">
        <v>530000.0</v>
      </c>
      <c r="D24" s="12">
        <v>1786500.0</v>
      </c>
      <c r="E24" s="12"/>
      <c r="L24" s="13"/>
    </row>
    <row r="25">
      <c r="A25" s="3">
        <v>24.0</v>
      </c>
      <c r="B25" s="8"/>
      <c r="C25" s="8"/>
      <c r="D25" s="12"/>
      <c r="J25" s="12">
        <v>86666.0</v>
      </c>
    </row>
    <row r="26">
      <c r="A26" s="5">
        <v>25.0</v>
      </c>
      <c r="B26" s="41">
        <v>0.0</v>
      </c>
      <c r="C26" s="41">
        <v>135000.0</v>
      </c>
      <c r="D26" s="12">
        <v>1888600.0</v>
      </c>
      <c r="E26" s="12">
        <v>2013200.0</v>
      </c>
      <c r="G26" s="11" t="s">
        <v>33</v>
      </c>
      <c r="J26" s="13">
        <v>21666.5</v>
      </c>
    </row>
    <row r="27">
      <c r="A27" s="5">
        <v>26.0</v>
      </c>
      <c r="B27" s="41">
        <v>122800.0</v>
      </c>
      <c r="C27" s="41">
        <v>535000.0</v>
      </c>
      <c r="D27" s="12">
        <v>1313000.0</v>
      </c>
      <c r="J27" s="12">
        <v>13500.0</v>
      </c>
    </row>
    <row r="28">
      <c r="A28" s="5">
        <v>27.0</v>
      </c>
      <c r="B28" s="41">
        <v>235600.0</v>
      </c>
      <c r="C28" s="41">
        <v>267000.0</v>
      </c>
      <c r="D28" s="12">
        <v>1097000.0</v>
      </c>
      <c r="J28" s="46">
        <f>SUM(J25:J27)</f>
        <v>121832.5</v>
      </c>
    </row>
    <row r="29">
      <c r="A29" s="5">
        <v>28.0</v>
      </c>
      <c r="B29" s="41">
        <v>319500.0</v>
      </c>
      <c r="C29" s="41">
        <v>536000.0</v>
      </c>
      <c r="D29" s="12">
        <v>1383400.0</v>
      </c>
      <c r="E29" s="12">
        <v>1421900.0</v>
      </c>
    </row>
    <row r="30">
      <c r="A30" s="5">
        <v>29.0</v>
      </c>
      <c r="B30" s="41">
        <v>463181.0</v>
      </c>
      <c r="C30" s="41">
        <v>451000.0</v>
      </c>
      <c r="D30" s="12">
        <v>2259800.0</v>
      </c>
    </row>
    <row r="31">
      <c r="A31" s="5">
        <v>30.0</v>
      </c>
      <c r="B31" s="41">
        <v>216300.0</v>
      </c>
      <c r="C31" s="41">
        <v>928000.0</v>
      </c>
      <c r="D31" s="12">
        <v>1820200.0</v>
      </c>
      <c r="F31" s="12">
        <v>275900.0</v>
      </c>
      <c r="G31" s="11" t="s">
        <v>34</v>
      </c>
    </row>
    <row r="32">
      <c r="A32" s="5"/>
      <c r="B32" s="6"/>
      <c r="C32" s="6"/>
      <c r="D32" s="12"/>
    </row>
    <row r="33">
      <c r="A33" s="5" t="s">
        <v>6</v>
      </c>
      <c r="B33" s="7"/>
      <c r="C33" s="7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25"/>
    <col customWidth="1" min="3" max="3" width="16.25"/>
    <col customWidth="1" min="13" max="13" width="22.25"/>
  </cols>
  <sheetData>
    <row r="1">
      <c r="A1" s="1"/>
      <c r="B1" s="2" t="s">
        <v>0</v>
      </c>
      <c r="C1" s="2" t="s">
        <v>3</v>
      </c>
      <c r="K1" s="2" t="s">
        <v>0</v>
      </c>
      <c r="L1" s="2" t="s">
        <v>3</v>
      </c>
    </row>
    <row r="2">
      <c r="A2" s="3">
        <v>1.0</v>
      </c>
      <c r="B2" s="8"/>
      <c r="C2" s="8"/>
      <c r="D2" s="12"/>
      <c r="J2" s="3">
        <v>1.0</v>
      </c>
      <c r="K2" s="8"/>
      <c r="L2" s="8"/>
    </row>
    <row r="3">
      <c r="A3" s="5">
        <v>2.0</v>
      </c>
      <c r="B3" s="41">
        <v>257100.0</v>
      </c>
      <c r="C3" s="41">
        <v>510000.0</v>
      </c>
      <c r="D3" s="12">
        <v>1349300.0</v>
      </c>
      <c r="E3" s="12"/>
      <c r="J3" s="5">
        <v>2.0</v>
      </c>
      <c r="K3" s="47">
        <v>257100.0</v>
      </c>
      <c r="L3" s="48">
        <v>400000.0</v>
      </c>
    </row>
    <row r="4">
      <c r="A4" s="5">
        <v>3.0</v>
      </c>
      <c r="B4" s="41">
        <v>182500.0</v>
      </c>
      <c r="C4" s="41">
        <v>500000.0</v>
      </c>
      <c r="D4" s="12">
        <v>1063200.0</v>
      </c>
      <c r="E4" s="12">
        <v>1113200.0</v>
      </c>
      <c r="J4" s="5">
        <v>3.0</v>
      </c>
      <c r="K4" s="47">
        <v>182500.0</v>
      </c>
      <c r="L4" s="48">
        <v>300000.0</v>
      </c>
      <c r="M4" s="11" t="s">
        <v>35</v>
      </c>
      <c r="N4" s="6">
        <v>900000.0</v>
      </c>
    </row>
    <row r="5">
      <c r="A5" s="5">
        <v>4.0</v>
      </c>
      <c r="B5" s="41">
        <v>96100.0</v>
      </c>
      <c r="C5" s="41">
        <v>470000.0</v>
      </c>
      <c r="D5" s="12">
        <v>1033300.0</v>
      </c>
      <c r="J5" s="5">
        <v>4.0</v>
      </c>
      <c r="K5" s="47">
        <v>96100.0</v>
      </c>
      <c r="L5" s="47">
        <v>470000.0</v>
      </c>
    </row>
    <row r="6">
      <c r="A6" s="5">
        <v>5.0</v>
      </c>
      <c r="B6" s="41">
        <v>149700.0</v>
      </c>
      <c r="C6" s="41">
        <v>390000.0</v>
      </c>
      <c r="D6" s="12">
        <v>885100.0</v>
      </c>
      <c r="E6" s="12">
        <v>1010100.0</v>
      </c>
      <c r="J6" s="5">
        <v>5.0</v>
      </c>
      <c r="K6" s="47">
        <v>149700.0</v>
      </c>
      <c r="L6" s="47">
        <v>390000.0</v>
      </c>
    </row>
    <row r="7">
      <c r="A7" s="5">
        <v>6.0</v>
      </c>
      <c r="B7" s="41">
        <v>75500.0</v>
      </c>
      <c r="C7" s="41">
        <v>770000.0</v>
      </c>
      <c r="D7" s="12">
        <v>1360100.0</v>
      </c>
      <c r="E7" s="12"/>
      <c r="J7" s="5">
        <v>6.0</v>
      </c>
      <c r="K7" s="47">
        <v>75500.0</v>
      </c>
      <c r="L7" s="47">
        <v>770000.0</v>
      </c>
      <c r="N7" s="12"/>
    </row>
    <row r="8">
      <c r="A8" s="3">
        <v>7.0</v>
      </c>
      <c r="B8" s="8"/>
      <c r="C8" s="8"/>
      <c r="D8" s="12"/>
      <c r="J8" s="5">
        <v>7.0</v>
      </c>
      <c r="K8" s="47">
        <v>31400.0</v>
      </c>
      <c r="L8" s="47">
        <v>275000.0</v>
      </c>
      <c r="N8" s="12"/>
    </row>
    <row r="9">
      <c r="A9" s="5">
        <v>8.0</v>
      </c>
      <c r="B9" s="41">
        <v>31400.0</v>
      </c>
      <c r="C9" s="41">
        <v>275000.0</v>
      </c>
      <c r="D9" s="12">
        <v>796700.0</v>
      </c>
      <c r="J9" s="3">
        <v>8.0</v>
      </c>
      <c r="K9" s="8"/>
      <c r="L9" s="8"/>
      <c r="N9" s="12"/>
    </row>
    <row r="10">
      <c r="A10" s="5">
        <v>9.0</v>
      </c>
      <c r="B10" s="41">
        <v>196000.0</v>
      </c>
      <c r="C10" s="41">
        <v>195000.0</v>
      </c>
      <c r="D10" s="12">
        <v>752700.0</v>
      </c>
      <c r="E10" s="12">
        <v>856500.0</v>
      </c>
      <c r="G10" s="12"/>
      <c r="J10" s="5">
        <v>9.0</v>
      </c>
      <c r="K10" s="48">
        <v>126500.0</v>
      </c>
      <c r="L10" s="47">
        <v>195000.0</v>
      </c>
      <c r="N10" s="12"/>
    </row>
    <row r="11">
      <c r="A11" s="5">
        <v>10.0</v>
      </c>
      <c r="B11" s="41">
        <v>25000.0</v>
      </c>
      <c r="C11" s="41">
        <v>260000.0</v>
      </c>
      <c r="D11" s="12">
        <v>704100.0</v>
      </c>
      <c r="J11" s="5">
        <v>10.0</v>
      </c>
      <c r="K11" s="47">
        <v>25000.0</v>
      </c>
      <c r="L11" s="47">
        <v>260000.0</v>
      </c>
    </row>
    <row r="12">
      <c r="A12" s="5">
        <v>11.0</v>
      </c>
      <c r="B12" s="41">
        <v>197500.0</v>
      </c>
      <c r="C12" s="41">
        <v>232000.0</v>
      </c>
      <c r="D12" s="12">
        <v>856300.0</v>
      </c>
      <c r="H12" s="12"/>
      <c r="J12" s="5">
        <v>11.0</v>
      </c>
      <c r="K12" s="47">
        <v>197500.0</v>
      </c>
      <c r="L12" s="47">
        <v>232000.0</v>
      </c>
      <c r="N12" s="12"/>
    </row>
    <row r="13">
      <c r="A13" s="5">
        <v>12.0</v>
      </c>
      <c r="B13" s="41">
        <v>76500.0</v>
      </c>
      <c r="C13" s="41">
        <v>618000.0</v>
      </c>
      <c r="D13" s="12">
        <v>881200.0</v>
      </c>
      <c r="H13" s="13"/>
      <c r="J13" s="5">
        <v>12.0</v>
      </c>
      <c r="K13" s="47">
        <v>76500.0</v>
      </c>
      <c r="L13" s="47">
        <v>618000.0</v>
      </c>
      <c r="M13" s="12"/>
    </row>
    <row r="14">
      <c r="A14" s="5">
        <v>13.0</v>
      </c>
      <c r="B14" s="41">
        <v>145400.0</v>
      </c>
      <c r="C14" s="41">
        <v>55000.0</v>
      </c>
      <c r="D14" s="12">
        <v>732200.0</v>
      </c>
      <c r="E14" s="12">
        <v>538500.0</v>
      </c>
      <c r="H14" s="12"/>
      <c r="J14" s="5">
        <v>13.0</v>
      </c>
      <c r="K14" s="47">
        <v>145400.0</v>
      </c>
      <c r="L14" s="47">
        <v>55000.0</v>
      </c>
      <c r="M14" s="12"/>
    </row>
    <row r="15">
      <c r="A15" s="3">
        <v>14.0</v>
      </c>
      <c r="B15" s="8"/>
      <c r="C15" s="8"/>
      <c r="D15" s="12"/>
      <c r="G15" s="12"/>
      <c r="J15" s="5">
        <v>14.0</v>
      </c>
      <c r="K15" s="47">
        <v>131600.0</v>
      </c>
      <c r="L15" s="47">
        <v>245000.0</v>
      </c>
    </row>
    <row r="16">
      <c r="A16" s="5">
        <v>15.0</v>
      </c>
      <c r="B16" s="41">
        <v>131600.0</v>
      </c>
      <c r="C16" s="41">
        <v>245000.0</v>
      </c>
      <c r="D16" s="12">
        <v>631800.0</v>
      </c>
      <c r="J16" s="3">
        <v>15.0</v>
      </c>
      <c r="K16" s="8"/>
      <c r="L16" s="8"/>
    </row>
    <row r="17">
      <c r="A17" s="5">
        <v>16.0</v>
      </c>
      <c r="B17" s="41">
        <v>224500.0</v>
      </c>
      <c r="C17" s="41">
        <v>223000.0</v>
      </c>
      <c r="D17" s="12">
        <v>889900.0</v>
      </c>
      <c r="E17" s="12">
        <v>944900.0</v>
      </c>
      <c r="J17" s="5">
        <v>16.0</v>
      </c>
      <c r="K17" s="47">
        <v>224500.0</v>
      </c>
      <c r="L17" s="47">
        <v>223000.0</v>
      </c>
    </row>
    <row r="18">
      <c r="A18" s="5">
        <v>17.0</v>
      </c>
      <c r="B18" s="41">
        <v>157600.0</v>
      </c>
      <c r="C18" s="41">
        <v>235000.0</v>
      </c>
      <c r="D18" s="12">
        <v>760500.0</v>
      </c>
      <c r="E18" s="12">
        <v>835000.0</v>
      </c>
      <c r="F18" s="11" t="s">
        <v>36</v>
      </c>
      <c r="H18" s="11">
        <v>167800.0</v>
      </c>
      <c r="J18" s="5">
        <v>17.0</v>
      </c>
      <c r="K18" s="47">
        <v>157600.0</v>
      </c>
      <c r="L18" s="47">
        <v>235000.0</v>
      </c>
    </row>
    <row r="19">
      <c r="A19" s="5">
        <v>18.0</v>
      </c>
      <c r="B19" s="49">
        <v>263400.0</v>
      </c>
      <c r="C19" s="41">
        <v>665000.0</v>
      </c>
      <c r="D19" s="12">
        <v>1266200.0</v>
      </c>
      <c r="E19" s="11" t="s">
        <v>37</v>
      </c>
      <c r="J19" s="5">
        <v>18.0</v>
      </c>
      <c r="K19" s="47">
        <v>263400.0</v>
      </c>
      <c r="L19" s="47">
        <v>665000.0</v>
      </c>
    </row>
    <row r="20">
      <c r="A20" s="5">
        <v>19.0</v>
      </c>
      <c r="B20" s="49">
        <v>150000.0</v>
      </c>
      <c r="C20" s="41">
        <v>493000.0</v>
      </c>
      <c r="D20" s="12">
        <v>1932800.0</v>
      </c>
      <c r="E20" s="12"/>
      <c r="J20" s="5">
        <v>19.0</v>
      </c>
      <c r="K20" s="47">
        <v>150000.0</v>
      </c>
      <c r="L20" s="48">
        <v>468000.0</v>
      </c>
    </row>
    <row r="21">
      <c r="A21" s="5">
        <v>20.0</v>
      </c>
      <c r="B21" s="6">
        <v>256600.0</v>
      </c>
      <c r="C21" s="41">
        <v>350000.0</v>
      </c>
      <c r="D21" s="12">
        <v>1009100.0</v>
      </c>
      <c r="E21" s="12">
        <v>1109100.0</v>
      </c>
      <c r="G21" s="12"/>
      <c r="J21" s="5">
        <v>20.0</v>
      </c>
      <c r="K21" s="47">
        <v>256600.0</v>
      </c>
      <c r="L21" s="48">
        <v>410000.0</v>
      </c>
    </row>
    <row r="22">
      <c r="A22" s="5">
        <v>21.0</v>
      </c>
      <c r="B22" s="41">
        <v>452700.0</v>
      </c>
      <c r="C22" s="41">
        <v>780000.0</v>
      </c>
      <c r="D22" s="12">
        <v>1639200.0</v>
      </c>
      <c r="J22" s="5">
        <v>21.0</v>
      </c>
      <c r="K22" s="47">
        <v>452700.0</v>
      </c>
      <c r="L22" s="48">
        <v>710000.0</v>
      </c>
    </row>
    <row r="23">
      <c r="A23" s="5">
        <v>22.0</v>
      </c>
      <c r="B23" s="41">
        <v>463000.0</v>
      </c>
      <c r="C23" s="41">
        <v>225000.0</v>
      </c>
      <c r="D23" s="12">
        <v>1217900.0</v>
      </c>
      <c r="J23" s="5">
        <v>22.0</v>
      </c>
      <c r="K23" s="48">
        <v>421800.0</v>
      </c>
      <c r="L23" s="47">
        <v>225000.0</v>
      </c>
    </row>
    <row r="24">
      <c r="A24" s="5">
        <v>23.0</v>
      </c>
      <c r="B24" s="41">
        <v>491100.0</v>
      </c>
      <c r="C24" s="41">
        <v>695000.0</v>
      </c>
      <c r="D24" s="12">
        <v>1728300.0</v>
      </c>
      <c r="E24" s="12"/>
      <c r="J24" s="5">
        <v>23.0</v>
      </c>
      <c r="K24" s="47">
        <v>491100.0</v>
      </c>
      <c r="L24" s="47">
        <v>695000.0</v>
      </c>
    </row>
    <row r="25">
      <c r="A25" s="5">
        <v>24.0</v>
      </c>
      <c r="B25" s="41">
        <v>1652300.0</v>
      </c>
      <c r="C25" s="41">
        <v>160000.0</v>
      </c>
      <c r="D25" s="12">
        <v>3279900.0</v>
      </c>
      <c r="F25" s="12">
        <v>163500.0</v>
      </c>
      <c r="G25" s="11" t="s">
        <v>38</v>
      </c>
      <c r="J25" s="5">
        <v>24.0</v>
      </c>
      <c r="K25" s="47">
        <v>1652300.0</v>
      </c>
      <c r="L25" s="47">
        <v>160000.0</v>
      </c>
    </row>
    <row r="26">
      <c r="A26" s="5">
        <v>25.0</v>
      </c>
      <c r="B26" s="41">
        <v>424300.0</v>
      </c>
      <c r="C26" s="41">
        <v>605000.0</v>
      </c>
      <c r="D26" s="12">
        <v>1386100.0</v>
      </c>
      <c r="E26" s="12"/>
      <c r="J26" s="3">
        <v>25.0</v>
      </c>
      <c r="K26" s="8"/>
      <c r="L26" s="8"/>
    </row>
    <row r="27">
      <c r="A27" s="5">
        <v>26.0</v>
      </c>
      <c r="B27" s="41">
        <v>139000.0</v>
      </c>
      <c r="C27" s="41">
        <v>895000.0</v>
      </c>
      <c r="D27" s="12">
        <v>2499800.0</v>
      </c>
      <c r="F27" s="11">
        <v>2215900.0</v>
      </c>
      <c r="J27" s="5">
        <v>26.0</v>
      </c>
      <c r="K27" s="47">
        <v>424300.0</v>
      </c>
      <c r="L27" s="48">
        <v>605000.0</v>
      </c>
    </row>
    <row r="28">
      <c r="A28" s="5">
        <v>27.0</v>
      </c>
      <c r="B28" s="6">
        <v>430000.0</v>
      </c>
      <c r="C28" s="6">
        <v>598200.0</v>
      </c>
      <c r="D28" s="12">
        <v>1271500.0</v>
      </c>
      <c r="E28" s="11" t="s">
        <v>39</v>
      </c>
      <c r="F28" s="12">
        <v>1469400.0</v>
      </c>
      <c r="J28" s="5">
        <v>27.0</v>
      </c>
      <c r="K28" s="6">
        <v>139000.0</v>
      </c>
      <c r="L28" s="47">
        <v>895000.0</v>
      </c>
    </row>
    <row r="29">
      <c r="A29" s="5">
        <v>28.0</v>
      </c>
      <c r="B29" s="6">
        <v>210000.0</v>
      </c>
      <c r="C29" s="6">
        <v>0.0</v>
      </c>
      <c r="D29" s="12"/>
      <c r="E29" s="12"/>
      <c r="J29" s="5">
        <v>28.0</v>
      </c>
      <c r="K29" s="6">
        <v>598200.0</v>
      </c>
      <c r="L29" s="6">
        <v>430000.0</v>
      </c>
    </row>
    <row r="30">
      <c r="A30" s="5">
        <v>29.0</v>
      </c>
      <c r="B30" s="6">
        <v>123600.0</v>
      </c>
      <c r="C30" s="6"/>
      <c r="D30" s="12">
        <v>2170700.0</v>
      </c>
      <c r="J30" s="3">
        <v>29.0</v>
      </c>
      <c r="K30" s="8"/>
      <c r="L30" s="8">
        <v>210000.0</v>
      </c>
    </row>
    <row r="31">
      <c r="A31" s="5">
        <v>30.0</v>
      </c>
      <c r="B31" s="6"/>
      <c r="C31" s="6"/>
      <c r="D31" s="12"/>
      <c r="F31" s="12"/>
      <c r="J31" s="5">
        <v>30.0</v>
      </c>
      <c r="K31" s="6">
        <v>123600.0</v>
      </c>
      <c r="L31" s="6">
        <v>700000.0</v>
      </c>
    </row>
    <row r="32">
      <c r="A32" s="5"/>
      <c r="B32" s="6"/>
      <c r="C32" s="6"/>
      <c r="D32" s="12"/>
      <c r="J32" s="5">
        <v>31.0</v>
      </c>
      <c r="K32" s="6">
        <v>250600.0</v>
      </c>
      <c r="L32" s="6">
        <v>733000.0</v>
      </c>
      <c r="M32" s="6">
        <v>2454200.0</v>
      </c>
    </row>
    <row r="33">
      <c r="A33" s="5" t="s">
        <v>6</v>
      </c>
      <c r="B33" s="7"/>
      <c r="C33" s="7"/>
      <c r="J33" s="5" t="s">
        <v>6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