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</sheets>
  <definedNames>
    <definedName hidden="1" localSheetId="0" name="_xlnm._FilterDatabase">ENERO!$A$1:$J$203</definedName>
    <definedName hidden="1" localSheetId="1" name="_xlnm._FilterDatabase">FEBRERO!$A$1:$Z$963</definedName>
    <definedName hidden="1" localSheetId="2" name="_xlnm._FilterDatabase">MARZO!$A$1:$Z$978</definedName>
    <definedName hidden="1" localSheetId="3" name="_xlnm._FilterDatabase">ABRIL!$A$1:$AA$992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tc={00e068d7-3d8b-4693-a16b-a26bcf5ddb4a}</author>
    <author>tc={029f2e31-2adf-463e-affb-8638204849c6}</author>
    <author>tc={0ef2c8ce-be5b-4486-89cb-c3300da20c4c}</author>
    <author>tc={10462d5b-b978-43a2-a7c6-12b690bf336b}</author>
    <author>tc={12a78102-3a87-4247-8389-642340dfd7af}</author>
    <author>tc={151b7354-e65c-4f89-9f0d-f042320d2b6a}</author>
    <author>tc={1bb99c9c-75a0-4f8a-83de-ad9bcda3a07a}</author>
    <author>tc={232e0470-2005-4d55-a185-f64b3b1f7a53}</author>
    <author>tc={26010998-1cda-4422-a5b3-04444e08afd7}</author>
    <author>tc={2688ab71-5e5f-48fe-b757-829948e4348c}</author>
    <author>tc={2957abbe-0732-4c5c-87ab-778033e988f9}</author>
    <author>tc={2cb92f79-68e3-4d72-97d5-7a6f87f6c621}</author>
    <author>tc={33116b23-e159-476d-acc7-2b3a101e8ec4}</author>
    <author>tc={378a4968-e6b4-43b3-9f82-2d70d3dea89f}</author>
    <author>tc={3a2b6f69-db5c-4ea1-a438-872642592540}</author>
    <author>tc={3b9fa342-2bc3-4cc8-a385-d3c1fd8bd5ba}</author>
    <author>tc={3c5146f0-e0f4-46d0-8160-8b06fda24165}</author>
    <author>tc={3ff0ddfd-cc5a-4f10-90a9-bce99e27dc15}</author>
    <author>tc={400bc973-8ecf-4044-b7f5-a256cdaa5e87}</author>
    <author>tc={4bca9f9d-bfbd-4fad-8404-1b624cc8908c}</author>
    <author>tc={4e9b7ba8-83c0-4fce-a343-ff410e559413}</author>
    <author>tc={50a4ec4e-2a23-4426-973f-597fec54ac1e}</author>
    <author>tc={50d5e8dc-71cd-4fd7-bbe4-8847972d3dd5}</author>
    <author>tc={51252554-23af-420d-967b-bd38188afb99}</author>
    <author>tc={517482e9-4c24-4d9f-8d31-c021e24a7b90}</author>
    <author>tc={51846350-07c1-462a-82e3-f0e9954c1854}</author>
    <author>tc={51f1d361-86b7-4cae-ab17-f5e3371a56f4}</author>
    <author>tc={526624f4-07e6-4814-aac7-bf1263d7f4e6}</author>
    <author>tc={53ec57d5-0bbb-486f-a90b-1b1965b3d5df}</author>
    <author>tc={60707632-9687-4737-a526-440ffd46894a}</author>
    <author>tc={609c7fd7-378e-434b-94e7-0795bdb825dd}</author>
    <author>tc={61208e2b-cd09-497e-b2c4-390d0c19f52d}</author>
    <author>tc={71bd578f-a6a8-45b1-83fd-f0f895d53edc}</author>
    <author>tc={72b20c0d-97cb-41ba-a2a0-7e1005d208cf}</author>
    <author>tc={782882c7-9202-437a-a5df-6dcb3c1977a3}</author>
    <author>tc={7d60b255-9354-4855-b262-5d11a1eb3cfd}</author>
    <author>tc={810ab48f-2938-4fe6-a5e6-0dd420a4d028}</author>
    <author>tc={83bebd23-27c6-4b8b-9bf9-c44cee035738}</author>
    <author>tc={851f3891-ec67-470f-bd47-d064ff2d4d39}</author>
    <author>tc={88a6aa3c-b0fc-4dce-a8bc-9153580da90d}</author>
    <author>tc={8d44b088-6af9-4896-b282-fb56af371d55}</author>
    <author>tc={96916e71-306a-442d-a473-78d610fb37bc}</author>
    <author>tc={984cde8f-38e3-4d6a-8a04-5c43a19353dd}</author>
    <author>tc={a4886a61-67a1-4604-825b-c4bb0529a31b}</author>
    <author>tc={a9f25cec-e6bf-4f61-a0cc-97ea9e0f7456}</author>
    <author>tc={ac6cc93c-9c1a-4346-becb-cd09de76c018}</author>
    <author>tc={af4674b3-d403-40df-9bb4-7e4ff0b881b7}</author>
    <author>tc={b1f55922-c695-423f-8ce5-770be7973aaf}</author>
    <author>tc={b6d0c008-e7bc-437d-a3d4-b444b4de1742}</author>
    <author>tc={bdfc6637-116b-41f3-9992-f9a52318f2bc}</author>
    <author>tc={bfd3ef8c-d664-42d8-8fab-04786a87cb55}</author>
    <author>tc={c0847cea-4321-45c2-b500-2bd6a527b219}</author>
    <author>tc={c6575ddf-291b-4021-b75f-5684767c34ed}</author>
    <author>tc={c6675585-5475-4271-a65a-3c277d00cd56}</author>
    <author>tc={c707365a-ca4e-4ccb-99f2-e57f1f60f0e0}</author>
    <author>tc={cd8eea82-6986-4dfd-8fe6-a700fd0501c3}</author>
    <author>tc={d5d8ce17-710e-424e-9e93-e6432bd4ab5f}</author>
    <author>tc={dce137a8-f7e5-4d63-984c-d9d8022e81a8}</author>
    <author>tc={e08e894e-2f1a-4d30-a6bd-f6c45285f144}</author>
    <author>tc={e158deaa-669c-467b-a87f-a71c582d3225}</author>
    <author>tc={e541dac8-e4e7-4e7b-95eb-6be77778b5ea}</author>
    <author>tc={f78e8441-5200-444e-85c9-f90fb21b880c}</author>
    <author>tc={f91fc98a-6858-4129-a6bd-a66dcb069902}</author>
    <author>tc={f9cbe176-eca5-417f-8449-7f833d722cc0}</author>
    <author>tc={fae57356-b4ca-4399-9cbf-c3148afcfa9f}</author>
    <author>tc={fffc988a-9f08-45b8-b725-882b21f2b6bb}</author>
  </authors>
  <commentList>
    <comment authorId="0" xr:uid="{00e068d7-3d8b-4693-a16b-a26bcf5ddb4a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29f2e31-2adf-463e-affb-8638204849c6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ef2c8ce-be5b-4486-89cb-c3300da20c4c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" xr:uid="{10462d5b-b978-43a2-a7c6-12b690bf336b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12a78102-3a87-4247-8389-642340dfd7af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151b7354-e65c-4f89-9f0d-f042320d2b6a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" xr:uid="{1bb99c9c-75a0-4f8a-83de-ad9bcda3a07a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232e0470-2005-4d55-a185-f64b3b1f7a53}" ref="H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" xr:uid="{26010998-1cda-4422-a5b3-04444e08afd7}" ref="H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2688ab71-5e5f-48fe-b757-829948e4348c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2957abbe-0732-4c5c-87ab-778033e988f9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" xr:uid="{2cb92f79-68e3-4d72-97d5-7a6f87f6c621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33116b23-e159-476d-acc7-2b3a101e8ec4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378a4968-e6b4-43b3-9f82-2d70d3dea89f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3a2b6f69-db5c-4ea1-a438-872642592540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" xr:uid="{3b9fa342-2bc3-4cc8-a385-d3c1fd8bd5ba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6" xr:uid="{3c5146f0-e0f4-46d0-8160-8b06fda24165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" xr:uid="{3ff0ddfd-cc5a-4f10-90a9-bce99e27dc15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400bc973-8ecf-4044-b7f5-a256cdaa5e87}" ref="H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4bca9f9d-bfbd-4fad-8404-1b624cc8908c}" ref="H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" xr:uid="{4e9b7ba8-83c0-4fce-a343-ff410e559413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50a4ec4e-2a23-4426-973f-597fec54ac1e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" xr:uid="{50d5e8dc-71cd-4fd7-bbe4-8847972d3dd5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3" xr:uid="{51252554-23af-420d-967b-bd38188afb99}" ref="H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517482e9-4c24-4d9f-8d31-c021e24a7b90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5" xr:uid="{51846350-07c1-462a-82e3-f0e9954c1854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51f1d361-86b7-4cae-ab17-f5e3371a56f4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526624f4-07e6-4814-aac7-bf1263d7f4e6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53ec57d5-0bbb-486f-a90b-1b1965b3d5df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60707632-9687-4737-a526-440ffd46894a}" ref="H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0" xr:uid="{609c7fd7-378e-434b-94e7-0795bdb825dd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1" xr:uid="{61208e2b-cd09-497e-b2c4-390d0c19f52d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71bd578f-a6a8-45b1-83fd-f0f895d53edc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3" xr:uid="{72b20c0d-97cb-41ba-a2a0-7e1005d208cf}" ref="H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4" xr:uid="{782882c7-9202-437a-a5df-6dcb3c1977a3}" ref="H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5" xr:uid="{7d60b255-9354-4855-b262-5d11a1eb3cfd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6" xr:uid="{810ab48f-2938-4fe6-a5e6-0dd420a4d028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7" xr:uid="{83bebd23-27c6-4b8b-9bf9-c44cee035738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851f3891-ec67-470f-bd47-d064ff2d4d39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88a6aa3c-b0fc-4dce-a8bc-9153580da90d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8d44b088-6af9-4896-b282-fb56af371d55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96916e71-306a-442d-a473-78d610fb37bc}" ref="H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984cde8f-38e3-4d6a-8a04-5c43a19353dd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+ TARJETA
</t>
      </text>
    </comment>
    <comment authorId="43" xr:uid="{a4886a61-67a1-4604-825b-c4bb0529a31b}" ref="H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TGARJETA
</t>
      </text>
    </comment>
    <comment authorId="44" xr:uid="{a9f25cec-e6bf-4f61-a0cc-97ea9e0f7456}" ref="H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5" xr:uid="{ac6cc93c-9c1a-4346-becb-cd09de76c018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af4674b3-d403-40df-9bb4-7e4ff0b881b7}" ref="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7" xr:uid="{b1f55922-c695-423f-8ce5-770be7973aaf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b6d0c008-e7bc-437d-a3d4-b444b4de1742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9" xr:uid="{bdfc6637-116b-41f3-9992-f9a52318f2bc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bfd3ef8c-d664-42d8-8fab-04786a87cb55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+ FACTURA
</t>
      </text>
    </comment>
    <comment authorId="51" xr:uid="{c0847cea-4321-45c2-b500-2bd6a527b219}" ref="H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+ EFECTIVO
</t>
      </text>
    </comment>
    <comment authorId="52" xr:uid="{c6575ddf-291b-4021-b75f-5684767c34ed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 efectivo
30 transferewncia
</t>
      </text>
    </comment>
    <comment authorId="53" xr:uid="{c6675585-5475-4271-a65a-3c277d00cd56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4" xr:uid="{c707365a-ca4e-4ccb-99f2-e57f1f60f0e0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5" xr:uid="{cd8eea82-6986-4dfd-8fe6-a700fd0501c3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d5d8ce17-710e-424e-9e93-e6432bd4ab5f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7" xr:uid="{dce137a8-f7e5-4d63-984c-d9d8022e81a8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e08e894e-2f1a-4d30-a6bd-f6c45285f144}" ref="H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factrura + tarjeta
</t>
      </text>
    </comment>
    <comment authorId="59" xr:uid="{e158deaa-669c-467b-a87f-a71c582d3225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e541dac8-e4e7-4e7b-95eb-6be77778b5ea}" ref="H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1" xr:uid="{f78e8441-5200-444e-85c9-f90fb21b880c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2" xr:uid="{f91fc98a-6858-4129-a6bd-a66dcb069902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3" xr:uid="{f9cbe176-eca5-417f-8449-7f833d722cc0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fae57356-b4ca-4399-9cbf-c3148afcfa9f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5" xr:uid="{fffc988a-9f08-45b8-b725-882b21f2b6bb}" ref="H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tc={01e5dea2-c4ca-4de7-be84-dea3edfbef4a}</author>
    <author>tc={076b2ffb-aeee-427a-9c8f-c065f7cc2c22}</author>
    <author>tc={0b358362-86a0-4ca1-8b3f-6ab21a8a7d5d}</author>
    <author>tc={0b93bc4d-058d-46f0-a7dc-0469119e5950}</author>
    <author>tc={0d305da6-8bec-47de-9da8-0bd832b9443d}</author>
    <author>tc={0e477c06-8a28-47a5-8e49-9b17721cf607}</author>
    <author>tc={0f3f081b-aba1-4e11-8394-82e385c727d2}</author>
    <author>tc={10e3b8ae-32c7-4174-b2ce-8bba82fef996}</author>
    <author>tc={11e1a180-5881-46bc-a43e-ec18b061096b}</author>
    <author>tc={12e91242-c760-4360-af18-5208201a9eaf}</author>
    <author>tc={19e35a3b-3bc4-4880-ace7-0c6737005c32}</author>
    <author>tc={1b10508d-a7a0-46e4-8cae-f919461562aa}</author>
    <author>tc={1fbfcd35-74da-40eb-8ed6-5e7aacca1a98}</author>
    <author>tc={21d6c8c0-a9ed-4dbf-8642-936349fca7a3}</author>
    <author>tc={248b8eab-7b25-43ee-bdaf-77bcc32b0e6b}</author>
    <author>tc={2d8c82ac-3e2a-47ca-a8ca-4d8b1729c1b3}</author>
    <author>tc={2dd90f24-b7e1-4b0c-ac7b-1cffb8d1f1fc}</author>
    <author>tc={2f80fc87-5317-47ac-a74d-12f68658725d}</author>
    <author>tc={315989cc-0e9d-4dd9-a0e5-e6c783ce2d0a}</author>
    <author>tc={319e24ac-3a0c-416d-8b7d-1c6914a14ef1}</author>
    <author>tc={33a46364-715f-4bf5-9bfe-16f4787241fa}</author>
    <author>tc={33e62f00-e422-482d-8b05-09cbe1498558}</author>
    <author>tc={34880d44-d65a-46c9-8773-b28dd08d9442}</author>
    <author>tc={35dac341-ec86-42ce-b0f3-e119aa398fc8}</author>
    <author>tc={3637d9a6-f3ab-4b01-9ace-941250a3ec07}</author>
    <author>tc={36e31f99-0a36-4d47-a27e-7665ca9f6c5a}</author>
    <author>tc={37d0fcb5-06c2-4cb5-9d62-a726f263fb26}</author>
    <author>tc={38119fc0-c62c-474f-b5f2-b12a6a2b324d}</author>
    <author>tc={38a65a3d-5c43-4fe4-a24e-97e158a7434c}</author>
    <author>tc={39366978-295f-4ca5-a30e-d3e58df7281f}</author>
    <author>tc={394bad53-8b9b-472e-82b4-1f3895d7eb78}</author>
    <author>tc={3da9fe4e-28bc-45ae-8b22-04c5d2964114}</author>
    <author>tc={3f1eb896-c4ca-4054-8ced-8451509abe39}</author>
    <author>tc={41cc0eb2-6c9f-4290-8c47-7affc646c796}</author>
    <author>tc={421d9983-3bb3-409a-8038-fc25f2af7cd7}</author>
    <author>tc={439be2cd-b6fa-419c-b99f-cad82d583c50}</author>
    <author>tc={43c1a32d-6721-4525-bea0-ca07ac202b6b}</author>
    <author>tc={46d85be5-c95f-473f-8085-d52eeaf972a0}</author>
    <author>tc={47e43eac-b326-4164-813d-1af5f315b478}</author>
    <author>tc={4a932835-acea-4d6b-805e-9ab4ddf78f1d}</author>
    <author>tc={549f2a4e-e3d5-4039-898f-3ee76f5e3178}</author>
    <author>tc={57b6015d-8a55-486d-9225-51eb5fdfe781}</author>
    <author>tc={5ea70b36-60c8-42f4-aaad-da1d5e43cc70}</author>
    <author>tc={69ee3b83-6b69-4b77-9ab6-d31bce1a7eed}</author>
    <author>tc={6ee8dbf6-457c-40df-95eb-cae20afd8f15}</author>
    <author>tc={759390d5-cf72-4f67-a97d-f5e448e58f0b}</author>
    <author>tc={7608fb59-8cbc-4775-a8bd-44f2d04c7749}</author>
    <author>tc={86af01d1-9f29-41df-aa84-a82333fb344d}</author>
    <author>tc={88892cda-c4f3-4160-8558-48007a0698db}</author>
    <author>tc={902af689-d284-4a3e-995e-5fc07d2bc6c7}</author>
    <author>tc={909f4b2a-f2d6-4c54-a34c-99ce31d9d5c1}</author>
    <author>tc={90fa249c-4f0d-4475-bd54-45054d69e785}</author>
    <author>tc={942832fd-2124-46bc-bc14-2f6432a1cd3a}</author>
    <author>tc={9575da3f-2481-42b4-a772-bb74300def86}</author>
    <author>tc={974b15a3-7a5a-47c0-b8cc-8535ae85f082}</author>
    <author>tc={97c2c08b-1092-4b4c-95d8-65dc2aeaee7a}</author>
    <author>tc={9dd15d45-3cb0-472c-b42d-d938b25b47e2}</author>
    <author>tc={9f6b03dc-4711-4508-9e15-58c0f5ab4436}</author>
    <author>tc={a24bbdda-8ae2-4aeb-adbd-8b2c7c5437d0}</author>
    <author>tc={a4034886-9856-43a8-b02e-558d592ad158}</author>
    <author>tc={a420ece9-a2e5-481c-94e5-2d3030206396}</author>
    <author>tc={a4abf923-bd63-4598-9475-7d760ec511c8}</author>
    <author>tc={a7c639a9-ca24-4f05-8a3a-ae71cf68479a}</author>
    <author>tc={a7f94206-f13a-45c8-a6c9-a7ecb8479ba5}</author>
    <author>tc={a869c061-939b-4248-acba-537e0c993e5d}</author>
    <author>tc={afb16740-5ddc-4dde-bbdd-ae4934824ac3}</author>
    <author>tc={b371bf17-15d0-4e90-a246-481542326dea}</author>
    <author>tc={b429eee1-c95c-4e43-a4b5-8e117b55e5bc}</author>
    <author>tc={b8c4919b-9840-40dc-a208-f49e23c18cee}</author>
    <author>tc={b9906a4f-9612-46c0-9069-46681f5d2ff8}</author>
    <author>tc={ba8647c1-3b2b-44ea-817e-88dd976abcf4}</author>
    <author>tc={bf6a70ae-94d8-473d-9b76-e6e30634323d}</author>
    <author>tc={c2380618-60c6-4d76-9123-d9c4ad6fe65d}</author>
    <author>tc={c2dcfcb2-ff47-4a5a-b5cc-777c5d7da21d}</author>
    <author>tc={c75c9f2b-4e97-4c6c-ba9f-77ae997b356c}</author>
    <author>tc={c797c753-0447-47a6-b9d3-51e292b376dd}</author>
    <author>tc={ce231a7d-e5f7-4326-80ea-bba276f659bb}</author>
    <author>tc={d5f68e80-870f-4dd6-8d21-8c62ac01fd0c}</author>
    <author>tc={d755c77d-33c6-4ee1-9f05-9199cead0094}</author>
    <author>tc={dddc6eda-7215-43d3-b63f-7981e8947913}</author>
    <author>tc={de55cc2f-7008-41b0-b6b3-64e31425f527}</author>
    <author>tc={de5d437b-a7d3-4973-b842-fe6c270d6a07}</author>
    <author>tc={e2bc93cc-9b30-49d5-8832-7322365a2409}</author>
    <author>tc={e310f7d6-5859-4c6a-a27e-991740476dc4}</author>
    <author>tc={e815fe70-cf4a-4bfc-a205-88d092218819}</author>
    <author>tc={eb5944f5-77fd-48c8-a825-e6e19c2f6e8f}</author>
    <author>tc={ed463850-7646-41ae-8bd7-754655976e8b}</author>
    <author>tc={ef2b0de8-e0c5-40fc-9032-3fccc367c716}</author>
    <author>tc={efe773a6-71ce-49d8-b3c2-b16fddb7e623}</author>
    <author>tc={f28032a0-5931-4bf0-8cda-302c05ae7d6d}</author>
    <author>tc={f3933e23-69de-408d-9744-6794eb593506}</author>
    <author>tc={f5e2421c-e0e7-4699-8514-5b0b3820cff4}</author>
    <author>tc={f60de53c-ffa2-4126-a2ba-4bd2163a1e21}</author>
    <author>tc={f734157f-2632-4a6f-9c38-b3737bcf54a9}</author>
  </authors>
  <commentList>
    <comment authorId="0" xr:uid="{01e5dea2-c4ca-4de7-be84-dea3edfbef4a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76b2ffb-aeee-427a-9c8f-c065f7cc2c22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b358362-86a0-4ca1-8b3f-6ab21a8a7d5d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" xr:uid="{0b93bc4d-058d-46f0-a7dc-0469119e5950}" ref="H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0d305da6-8bec-47de-9da8-0bd832b9443d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0e477c06-8a28-47a5-8e49-9b17721cf607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tarjeta+factura
</t>
      </text>
    </comment>
    <comment authorId="6" xr:uid="{0f3f081b-aba1-4e11-8394-82e385c727d2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1 reacción en total
señorita eva ha reaccionado con 😍 a las 2026-02-21 20:30 PM
</t>
      </text>
    </comment>
    <comment authorId="7" xr:uid="{10e3b8ae-32c7-4174-b2ce-8bba82fef996}" ref="H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11e1a180-5881-46bc-a43e-ec18b061096b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" xr:uid="{12e91242-c760-4360-af18-5208201a9eaf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" xr:uid="{19e35a3b-3bc4-4880-ace7-0c6737005c32}" ref="H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" xr:uid="{1b10508d-a7a0-46e4-8cae-f919461562aa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2" xr:uid="{1fbfcd35-74da-40eb-8ed6-5e7aacca1a98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21d6c8c0-a9ed-4dbf-8642-936349fca7a3}" ref="H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248b8eab-7b25-43ee-bdaf-77bcc32b0e6b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" xr:uid="{2d8c82ac-3e2a-47ca-a8ca-4d8b1729c1b3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dd90f24-b7e1-4b0c-ac7b-1cffb8d1f1fc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y tarjeta
</t>
      </text>
    </comment>
    <comment authorId="17" xr:uid="{2f80fc87-5317-47ac-a74d-12f68658725d}" ref="H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315989cc-0e9d-4dd9-a0e5-e6c783ce2d0a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319e24ac-3a0c-416d-8b7d-1c6914a14ef1}" ref="H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" xr:uid="{33a46364-715f-4bf5-9bfe-16f4787241fa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33e62f00-e422-482d-8b05-09cbe1498558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34880d44-d65a-46c9-8773-b28dd08d9442}" ref="H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35dac341-ec86-42ce-b0f3-e119aa398fc8}" ref="H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3637d9a6-f3ab-4b01-9ace-941250a3ec07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5" xr:uid="{36e31f99-0a36-4d47-a27e-7665ca9f6c5a}" ref="H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37d0fcb5-06c2-4cb5-9d62-a726f263fb26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38119fc0-c62c-474f-b5f2-b12a6a2b324d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8" xr:uid="{38a65a3d-5c43-4fe4-a24e-97e158a7434c}" ref="H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39366978-295f-4ca5-a30e-d3e58df7281f}" ref="H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394bad53-8b9b-472e-82b4-1f3895d7eb78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TAREJTA
</t>
      </text>
    </comment>
    <comment authorId="31" xr:uid="{3da9fe4e-28bc-45ae-8b22-04c5d2964114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2" xr:uid="{3f1eb896-c4ca-4054-8ced-8451509abe39}" ref="H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3" xr:uid="{41cc0eb2-6c9f-4290-8c47-7affc646c796}" ref="H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4" xr:uid="{421d9983-3bb3-409a-8038-fc25f2af7cd7}" ref="H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5" xr:uid="{439be2cd-b6fa-419c-b99f-cad82d583c50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6" xr:uid="{43c1a32d-6721-4525-bea0-ca07ac202b6b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7" xr:uid="{46d85be5-c95f-473f-8085-d52eeaf972a0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47e43eac-b326-4164-813d-1af5f315b478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9" xr:uid="{4a932835-acea-4d6b-805e-9ab4ddf78f1d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0" xr:uid="{549f2a4e-e3d5-4039-898f-3ee76f5e3178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1" xr:uid="{57b6015d-8a55-486d-9225-51eb5fdfe781}" ref="H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42" xr:uid="{5ea70b36-60c8-42f4-aaad-da1d5e43cc70}" ref="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3" xr:uid="{69ee3b83-6b69-4b77-9ab6-d31bce1a7eed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4" xr:uid="{6ee8dbf6-457c-40df-95eb-cae20afd8f15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759390d5-cf72-4f67-a97d-f5e448e58f0b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7608fb59-8cbc-4775-a8bd-44f2d04c7749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7" xr:uid="{86af01d1-9f29-41df-aa84-a82333fb344d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8" xr:uid="{88892cda-c4f3-4160-8558-48007a0698db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9" xr:uid="{902af689-d284-4a3e-995e-5fc07d2bc6c7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0" xr:uid="{909f4b2a-f2d6-4c54-a34c-99ce31d9d5c1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90fa249c-4f0d-4475-bd54-45054d69e785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2" xr:uid="{942832fd-2124-46bc-bc14-2f6432a1cd3a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9575da3f-2481-42b4-a772-bb74300def86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4" xr:uid="{974b15a3-7a5a-47c0-b8cc-8535ae85f082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97c2c08b-1092-4b4c-95d8-65dc2aeaee7a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9dd15d45-3cb0-472c-b42d-d938b25b47e2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7" xr:uid="{9f6b03dc-4711-4508-9e15-58c0f5ab4436}" ref="H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a24bbdda-8ae2-4aeb-adbd-8b2c7c5437d0}" ref="H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a4034886-9856-43a8-b02e-558d592ad158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a420ece9-a2e5-481c-94e5-2d3030206396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1" xr:uid="{a4abf923-bd63-4598-9475-7d760ec511c8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a7c639a9-ca24-4f05-8a3a-ae71cf68479a}" ref="H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3" xr:uid="{a7f94206-f13a-45c8-a6c9-a7ecb8479ba5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4" xr:uid="{a869c061-939b-4248-acba-537e0c993e5d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5" xr:uid="{afb16740-5ddc-4dde-bbdd-ae4934824ac3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6" xr:uid="{b371bf17-15d0-4e90-a246-481542326dea}" ref="H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67" xr:uid="{b429eee1-c95c-4e43-a4b5-8e117b55e5bc}" ref="H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8" xr:uid="{b8c4919b-9840-40dc-a208-f49e23c18cee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9" xr:uid="{b9906a4f-9612-46c0-9069-46681f5d2ff8}" ref="H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ba8647c1-3b2b-44ea-817e-88dd976abcf4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bf6a70ae-94d8-473d-9b76-e6e30634323d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2" xr:uid="{c2380618-60c6-4d76-9123-d9c4ad6fe65d}" ref="H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c2dcfcb2-ff47-4a5a-b5cc-777c5d7da21d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4" xr:uid="{c75c9f2b-4e97-4c6c-ba9f-77ae997b356c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5" xr:uid="{c797c753-0447-47a6-b9d3-51e292b376dd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6" xr:uid="{ce231a7d-e5f7-4326-80ea-bba276f659bb}" ref="H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d5f68e80-870f-4dd6-8d21-8c62ac01fd0c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TRANSFRENCIA
</t>
      </text>
    </comment>
    <comment authorId="78" xr:uid="{d755c77d-33c6-4ee1-9f05-9199cead0094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9" xr:uid="{dddc6eda-7215-43d3-b63f-7981e8947913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0" xr:uid="{de55cc2f-7008-41b0-b6b3-64e31425f527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1" xr:uid="{de5d437b-a7d3-4973-b842-fe6c270d6a07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e2bc93cc-9b30-49d5-8832-7322365a2409}" ref="H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+ factura
</t>
      </text>
    </comment>
    <comment authorId="83" xr:uid="{e310f7d6-5859-4c6a-a27e-991740476dc4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4" xr:uid="{e815fe70-cf4a-4bfc-a205-88d092218819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5" xr:uid="{eb5944f5-77fd-48c8-a825-e6e19c2f6e8f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6" xr:uid="{ed463850-7646-41ae-8bd7-754655976e8b}" ref="H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7" xr:uid="{ef2b0de8-e0c5-40fc-9032-3fccc367c716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8" xr:uid="{efe773a6-71ce-49d8-b3c2-b16fddb7e623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9" xr:uid="{f28032a0-5931-4bf0-8cda-302c05ae7d6d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0" xr:uid="{f3933e23-69de-408d-9744-6794eb593506}" ref="H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1" xr:uid="{f5e2421c-e0e7-4699-8514-5b0b3820cff4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2" xr:uid="{f60de53c-ffa2-4126-a2ba-4bd2163a1e21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3" xr:uid="{f734157f-2632-4a6f-9c38-b3737bcf54a9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tc={0070394c-3207-4795-83af-aaaea5b3acfb}</author>
    <author>tc={02921fe9-a136-41d2-b35e-9f6cede1de9f}</author>
    <author>tc={048d751b-6b3d-4f2c-bba8-0035d43b5117}</author>
    <author>tc={05448965-4d07-4193-a12c-b6b91b119eb5}</author>
    <author>tc={08930781-04a6-4f44-95c1-711b96de4d5a}</author>
    <author>tc={0cf02c5e-1a0c-43a9-b863-0e2b989644d9}</author>
    <author>tc={0dbefefa-694e-4613-8d7b-736acff1d888}</author>
    <author>tc={10f931f8-e1e5-4b1b-aca1-7c244919a26c}</author>
    <author>tc={190b9663-092d-4716-ad93-e864b57af6ec}</author>
    <author>tc={1c384ed6-7c78-494a-a8b6-6618b1d6737c}</author>
    <author>tc={1da89d9d-5b52-45ac-b567-68cdfbb88c2d}</author>
    <author>tc={1de37f1b-2ca6-4ab1-a5b9-80ea9f5bbbfd}</author>
    <author>tc={20cc5916-4a39-43e0-ac95-c14af240cde0}</author>
    <author>tc={2134b018-e79c-4821-a29e-a23cc28f86a8}</author>
    <author>tc={2268b88a-da9e-460f-8777-de5e8003cac1}</author>
    <author>tc={2304e2f1-51f3-441a-8aac-73b1df40a0f0}</author>
    <author>tc={2653110e-3dcb-45bb-bf62-4c7ea5997106}</author>
    <author>tc={27ae88cd-0a5c-4414-8db9-99b38fa94f8f}</author>
    <author>tc={284f7b64-36ee-4eb3-a71d-b3ace52a01d3}</author>
    <author>tc={288e2739-1ce2-4c49-b488-2452a84790ca}</author>
    <author>tc={28a7f6bf-ed5b-42ef-81a6-3e8cef191d77}</author>
    <author>tc={2e2aeb5b-6e78-4598-bbe5-40246f5b72b8}</author>
    <author>tc={33a74b38-9203-4674-a056-33c67d8a32d0}</author>
    <author>tc={38d5e9cb-c956-465d-a3df-55e2d4b96e58}</author>
    <author>tc={390c88c1-a1f6-4716-a404-ba5c834ed7d6}</author>
    <author>tc={3d046cd7-d585-4c73-ad98-f04c989fef60}</author>
    <author>tc={41af5f73-6b4f-450b-bc91-42091bd412e1}</author>
    <author>tc={424b5edb-6d09-4135-8407-2ed47a7c4969}</author>
    <author>tc={448928fa-e2ca-4041-9eea-5f7e0f9eccf6}</author>
    <author>tc={4a769fde-e76e-4057-ba80-343151974112}</author>
    <author>tc={4b7ee2be-4e47-4e7d-87df-d9c4fd24655b}</author>
    <author>tc={50c03871-afa5-44ca-89a9-5c4388388652}</author>
    <author>tc={5497d54c-fb33-407f-ad3f-b16e2e0942f5}</author>
    <author>tc={580e1ae0-5155-4ed7-aff7-f2a1d0dccd61}</author>
    <author>tc={5a7a4890-e78e-458f-b484-33d9cce650d1}</author>
    <author>tc={5aba26e8-35fd-4d11-89d3-79f903dbd4ff}</author>
    <author>tc={5c0c171e-ccb9-4ea0-bc51-e7cac1ed758b}</author>
    <author>tc={62dd36a7-f502-4586-a6cc-acdd3dc26034}</author>
    <author>tc={63c87c0e-af0d-40cc-8973-9352dd32e4f4}</author>
    <author>tc={63dad61c-29c3-45fc-bb1a-5d36fab8392f}</author>
    <author>tc={6c9b7c08-be15-4175-a649-df5efe2d759b}</author>
    <author>tc={705a0b3b-4f47-4e50-aa7c-e7de48b0d202}</author>
    <author>tc={7211ae41-c198-4bf2-bbb8-b73fe9485fb2}</author>
    <author>tc={7875e83c-6188-4f67-b8d5-43c34b908f40}</author>
    <author>tc={78ec01ac-6845-43ca-9350-03c985c12e49}</author>
    <author>tc={79249bf7-f02e-4d44-9c45-39fda64ffe97}</author>
    <author>tc={7c03f22f-289c-4789-84d5-174051c7909b}</author>
    <author>tc={83b21224-cf6e-4ab0-9740-34d343cf87c3}</author>
    <author>tc={85f5300d-181a-478f-af07-38c7f103a406}</author>
    <author>tc={87bfa0d5-e7ec-49a5-a8f5-1b3943bd3abc}</author>
    <author>tc={87c3827b-cbc7-46d8-9af8-72b64a0b7b5d}</author>
    <author>tc={8a083dab-5348-4bcb-85cb-1c06e887190e}</author>
    <author>tc={8d316cb2-33da-4d2c-882a-9745c2d4e8b8}</author>
    <author>tc={8fc4de55-c13f-4de1-bfcd-99e7b4d8c9d5}</author>
    <author>tc={921f4847-e0d3-4b2b-9b41-ffde090da85e}</author>
    <author>tc={9a33da95-aec5-46a8-8f1e-f9e398f21058}</author>
    <author>tc={9a4bbbce-6ada-43e0-aef8-a689cdb48159}</author>
    <author>tc={9ad2df69-3993-4c4a-8652-c6fa12904bf7}</author>
    <author>tc={9d1d604b-60a4-4f5c-8056-ccdd426b25c2}</author>
    <author>tc={9d369a9b-f11d-42e5-9a98-752956cd22e7}</author>
    <author>tc={9f139df9-1881-404a-8b23-4a9a5140b97c}</author>
    <author>tc={a4a0edd9-1144-4c80-a7e0-e2a6120f62dc}</author>
    <author>tc={a7a29b35-37b0-445c-84e7-6c27985a3479}</author>
    <author>tc={a8da3b32-9dd4-4a01-82f7-3415f32d0554}</author>
    <author>tc={aa341192-8e03-4103-84fe-0b8ceedfa0d7}</author>
    <author>tc={ae0bafdf-da22-4474-b5c5-0b40f4f17658}</author>
    <author>tc={b2087965-fe5d-421b-9bb5-5337350d4ec7}</author>
    <author>tc={b379d726-bd48-432c-9cf3-dd6aec9b5ad4}</author>
    <author>tc={b54b06d4-712b-4206-86ab-fde70df8afdd}</author>
    <author>tc={b59875de-0dcb-42f7-9142-3ebfe2981249}</author>
    <author>tc={b5d7edfd-869a-4049-bf8d-57a645846e55}</author>
    <author>tc={b65b3828-42d0-4f8d-bdec-f33b36485c80}</author>
    <author>tc={b6cc723f-bcf2-4892-988e-8c0ed81a53af}</author>
    <author>tc={b72d9f5f-80c4-49a0-bf07-66004880f57e}</author>
    <author>tc={b7a7cd89-db11-4986-84fa-9560dded574e}</author>
    <author>tc={b7fc2e95-f510-43be-88a5-8e09fa73bbb6}</author>
    <author>tc={b866a231-a4d8-4da3-a966-48c1b8bdcefa}</author>
    <author>tc={c2fc8a07-9f6c-4244-8d88-55e2a2b82500}</author>
    <author>tc={c906c8a6-a7b8-4227-97e8-5eebec1d27aa}</author>
    <author>tc={c952d399-bc72-40a8-a47c-fde48c2cfc24}</author>
    <author>tc={cbab7bd7-268e-4b40-a62f-a72da58ad4de}</author>
    <author>tc={ceec03dd-9e58-4726-ab8e-fb2e93851d1d}</author>
    <author>tc={cf1b471c-e4e0-4528-9db9-fec4331b3c02}</author>
    <author>tc={d23f43a9-1877-485d-92d8-dc85e7ef3a95}</author>
    <author>tc={d5dc9a7c-ed11-4d9d-bb19-fcf73cea1de8}</author>
    <author>tc={d73e1c30-4959-422b-a129-d5279c2f9837}</author>
    <author>tc={d9581ac7-2390-481e-bf9d-9fad43fe289d}</author>
    <author>tc={d96d69eb-5344-47b8-a39b-98206a046e1b}</author>
    <author>tc={deef14b6-f7dc-4fc0-9fe8-10e0fe8c942b}</author>
    <author>tc={def98c00-30bc-4bde-b932-72137017be7b}</author>
    <author>tc={df9d105f-56db-49ca-b328-502213224a47}</author>
    <author>tc={e0cf6626-9168-4889-b1ff-e3bb04f8cdfc}</author>
    <author>tc={e52adc29-8da5-4362-9c44-c75c86916bde}</author>
    <author>tc={ed8d8830-9c98-4e12-a880-dbbb745b0bb5}</author>
    <author>tc={ee7b4cc3-aed6-493d-abaf-2c6a0a6df6b2}</author>
    <author>tc={f17bb3e2-d3a2-44f0-bdfe-9a1f281d18b8}</author>
    <author>tc={f800ac4a-7adf-468a-a73c-378a6d3d916f}</author>
    <author>tc={f8947385-2695-41f2-b5e8-25e25d2e4c7a}</author>
    <author>tc={f9f5121f-d758-404c-a8d8-171f4f7e341f}</author>
    <author>tc={f9fff43a-90dd-4255-8d98-a0f3850895c2}</author>
    <author>tc={fc7e37cc-373e-4d1a-9b6e-dc8f40143f31}</author>
    <author>tc={ff1e50fb-d460-42ee-b327-6b67ddb8d0cb}</author>
  </authors>
  <commentList>
    <comment authorId="0" xr:uid="{0070394c-3207-4795-83af-aaaea5b3acfb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" xr:uid="{02921fe9-a136-41d2-b35e-9f6cede1de9f}" ref="H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" xr:uid="{048d751b-6b3d-4f2c-bba8-0035d43b5117}" ref="H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" xr:uid="{05448965-4d07-4193-a12c-b6b91b119eb5}" ref="H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08930781-04a6-4f44-95c1-711b96de4d5a}" ref="H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0cf02c5e-1a0c-43a9-b863-0e2b989644d9}" ref="H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" xr:uid="{0dbefefa-694e-4613-8d7b-736acff1d888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" xr:uid="{10f931f8-e1e5-4b1b-aca1-7c244919a26c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190b9663-092d-4716-ad93-e864b57af6ec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" xr:uid="{1c384ed6-7c78-494a-a8b6-6618b1d6737c}" ref="H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1da89d9d-5b52-45ac-b567-68cdfbb88c2d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" xr:uid="{1de37f1b-2ca6-4ab1-a5b9-80ea9f5bbbfd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20cc5916-4a39-43e0-ac95-c14af240cde0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3" xr:uid="{2134b018-e79c-4821-a29e-a23cc28f86a8}" ref="H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2268b88a-da9e-460f-8777-de5e8003cac1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" xr:uid="{2304e2f1-51f3-441a-8aac-73b1df40a0f0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653110e-3dcb-45bb-bf62-4c7ea5997106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" xr:uid="{27ae88cd-0a5c-4414-8db9-99b38fa94f8f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284f7b64-36ee-4eb3-a71d-b3ace52a01d3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" xr:uid="{288e2739-1ce2-4c49-b488-2452a84790ca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28a7f6bf-ed5b-42ef-81a6-3e8cef191d77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2e2aeb5b-6e78-4598-bbe5-40246f5b72b8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33a74b38-9203-4674-a056-33c67d8a32d0}" ref="H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38d5e9cb-c956-465d-a3df-55e2d4b96e58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390c88c1-a1f6-4716-a404-ba5c834ed7d6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3d046cd7-d585-4c73-ad98-f04c989fef60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41af5f73-6b4f-450b-bc91-42091bd412e1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424b5edb-6d09-4135-8407-2ed47a7c4969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448928fa-e2ca-4041-9eea-5f7e0f9eccf6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9" xr:uid="{4a769fde-e76e-4057-ba80-343151974112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4b7ee2be-4e47-4e7d-87df-d9c4fd24655b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50c03871-afa5-44ca-89a9-5c4388388652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transferncia
</t>
      </text>
    </comment>
    <comment authorId="32" xr:uid="{5497d54c-fb33-407f-ad3f-b16e2e0942f5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580e1ae0-5155-4ed7-aff7-f2a1d0dccd61}" ref="H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5a7a4890-e78e-458f-b484-33d9cce650d1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5" xr:uid="{5aba26e8-35fd-4d11-89d3-79f903dbd4ff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5c0c171e-ccb9-4ea0-bc51-e7cac1ed758b}" ref="H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7" xr:uid="{62dd36a7-f502-4586-a6cc-acdd3dc26034}" ref="H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8" xr:uid="{63c87c0e-af0d-40cc-8973-9352dd32e4f4}" ref="H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63dad61c-29c3-45fc-bb1a-5d36fab8392f}" ref="H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0" xr:uid="{6c9b7c08-be15-4175-a649-df5efe2d759b}" ref="H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705a0b3b-4f47-4e50-aa7c-e7de48b0d202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2" xr:uid="{7211ae41-c198-4bf2-bbb8-b73fe9485fb2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7875e83c-6188-4f67-b8d5-43c34b908f40}" ref="H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4" xr:uid="{78ec01ac-6845-43ca-9350-03c985c12e49}" ref="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79249bf7-f02e-4d44-9c45-39fda64ffe97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6" xr:uid="{7c03f22f-289c-4789-84d5-174051c7909b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83b21224-cf6e-4ab0-9740-34d343cf87c3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85f5300d-181a-478f-af07-38c7f103a406}" ref="H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+ transferencia
</t>
      </text>
    </comment>
    <comment authorId="49" xr:uid="{87bfa0d5-e7ec-49a5-a8f5-1b3943bd3abc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87c3827b-cbc7-46d8-9af8-72b64a0b7b5d}" ref="H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1" xr:uid="{8a083dab-5348-4bcb-85cb-1c06e887190e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2" xr:uid="{8d316cb2-33da-4d2c-882a-9745c2d4e8b8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8fc4de55-c13f-4de1-bfcd-99e7b4d8c9d5}" ref="H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921f4847-e0d3-4b2b-9b41-ffde090da85e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5" xr:uid="{9a33da95-aec5-46a8-8f1e-f9e398f21058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9a4bbbce-6ada-43e0-aef8-a689cdb48159}" ref="H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 + factura
</t>
      </text>
    </comment>
    <comment authorId="57" xr:uid="{9ad2df69-3993-4c4a-8652-c6fa12904bf7}" ref="H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9d1d604b-60a4-4f5c-8056-ccdd426b25c2}" ref="H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9d369a9b-f11d-42e5-9a98-752956cd22e7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0" xr:uid="{9f139df9-1881-404a-8b23-4a9a5140b97c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 transferencia
</t>
      </text>
    </comment>
    <comment authorId="61" xr:uid="{a4a0edd9-1144-4c80-a7e0-e2a6120f62dc}" ref="H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a7a29b35-37b0-445c-84e7-6c27985a3479}" ref="H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tarjeta+trasnferencia
</t>
      </text>
    </comment>
    <comment authorId="63" xr:uid="{a8da3b32-9dd4-4a01-82f7-3415f32d0554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aa341192-8e03-4103-84fe-0b8ceedfa0d7}" ref="H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5" xr:uid="{ae0bafdf-da22-4474-b5c5-0b40f4f17658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66" xr:uid="{b2087965-fe5d-421b-9bb5-5337350d4ec7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7" xr:uid="{b379d726-bd48-432c-9cf3-dd6aec9b5ad4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8" xr:uid="{b54b06d4-712b-4206-86ab-fde70df8afdd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b59875de-0dcb-42f7-9142-3ebfe2981249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b5d7edfd-869a-4049-bf8d-57a645846e55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b65b3828-42d0-4f8d-bdec-f33b36485c80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2" xr:uid="{b6cc723f-bcf2-4892-988e-8c0ed81a53af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b72d9f5f-80c4-49a0-bf07-66004880f57e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4" xr:uid="{b7a7cd89-db11-4986-84fa-9560dded574e}" ref="H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tarjeta+transferencia
</t>
      </text>
    </comment>
    <comment authorId="75" xr:uid="{b7fc2e95-f510-43be-88a5-8e09fa73bbb6}" ref="H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6" xr:uid="{b866a231-a4d8-4da3-a966-48c1b8bdcefa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7" xr:uid="{c2fc8a07-9f6c-4244-8d88-55e2a2b82500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8" xr:uid="{c906c8a6-a7b8-4227-97e8-5eebec1d27aa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+ TRANSFERENCIA
</t>
      </text>
    </comment>
    <comment authorId="79" xr:uid="{c952d399-bc72-40a8-a47c-fde48c2cfc24}" ref="H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0" xr:uid="{cbab7bd7-268e-4b40-a62f-a72da58ad4de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1" xr:uid="{ceec03dd-9e58-4726-ab8e-fb2e93851d1d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2" xr:uid="{cf1b471c-e4e0-4528-9db9-fec4331b3c02}" ref="H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3" xr:uid="{d23f43a9-1877-485d-92d8-dc85e7ef3a95}" ref="H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4" xr:uid="{d5dc9a7c-ed11-4d9d-bb19-fcf73cea1de8}" ref="H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5" xr:uid="{d73e1c30-4959-422b-a129-d5279c2f9837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6" xr:uid="{d9581ac7-2390-481e-bf9d-9fad43fe289d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7" xr:uid="{d96d69eb-5344-47b8-a39b-98206a046e1b}" ref="H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8" xr:uid="{deef14b6-f7dc-4fc0-9fe8-10e0fe8c942b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9" xr:uid="{def98c00-30bc-4bde-b932-72137017be7b}" ref="H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0" xr:uid="{df9d105f-56db-49ca-b328-502213224a47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1" xr:uid="{e0cf6626-9168-4889-b1ff-e3bb04f8cdfc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2" xr:uid="{e52adc29-8da5-4362-9c44-c75c86916bde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3" xr:uid="{ed8d8830-9c98-4e12-a880-dbbb745b0bb5}" ref="H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4" xr:uid="{ee7b4cc3-aed6-493d-abaf-2c6a0a6df6b2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5" xr:uid="{f17bb3e2-d3a2-44f0-bdfe-9a1f281d18b8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6" xr:uid="{f800ac4a-7adf-468a-a73c-378a6d3d916f}" ref="H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7" xr:uid="{f8947385-2695-41f2-b5e8-25e25d2e4c7a}" ref="H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8" xr:uid="{f9f5121f-d758-404c-a8d8-171f4f7e341f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9" xr:uid="{f9fff43a-90dd-4255-8d98-a0f3850895c2}" ref="H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0" xr:uid="{fc7e37cc-373e-4d1a-9b6e-dc8f40143f31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1" xr:uid="{ff1e50fb-d460-42ee-b327-6b67ddb8d0cb}" ref="H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tc={49e2246b-593c-4a01-90bc-8ed3f1c91447}</author>
    <author>tc={a5632f28-28ff-45f1-be21-33d3a69772e5}</author>
    <author>tc={e58c726e-a3a9-4712-acbb-3326f211192b}</author>
    <author>tc={fa8713a6-7893-44ba-99e7-0731d9d6ffce}</author>
    <author>tc={fe3c7f0b-140a-4bff-94d3-b86c71b3d3bd}</author>
  </authors>
  <commentList>
    <comment authorId="0" xr:uid="{49e2246b-593c-4a01-90bc-8ed3f1c91447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" xr:uid="{a5632f28-28ff-45f1-be21-33d3a69772e5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e58c726e-a3a9-4712-acbb-3326f211192b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" xr:uid="{fa8713a6-7893-44ba-99e7-0731d9d6ffce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fe3c7f0b-140a-4bff-94d3-b86c71b3d3bd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</commentList>
</comments>
</file>

<file path=xl/sharedStrings.xml><?xml version="1.0" encoding="utf-8"?>
<sst xmlns="http://schemas.openxmlformats.org/spreadsheetml/2006/main" count="3229" uniqueCount="737">
  <si>
    <t>F</t>
  </si>
  <si>
    <t>NOMBRE DEL PROPIETARIO</t>
  </si>
  <si>
    <t>MASCOTA</t>
  </si>
  <si>
    <t>RAZA</t>
  </si>
  <si>
    <t>SERVICIO</t>
  </si>
  <si>
    <t>ADICIONALES</t>
  </si>
  <si>
    <t>PELO</t>
  </si>
  <si>
    <t>VALOR</t>
  </si>
  <si>
    <t>PESO</t>
  </si>
  <si>
    <t>ACCESORIO</t>
  </si>
  <si>
    <t xml:space="preserve">SURI GARCIA </t>
  </si>
  <si>
    <t xml:space="preserve">DANTE </t>
  </si>
  <si>
    <t>SHIH TZU</t>
  </si>
  <si>
    <t>BAÑO EVA</t>
  </si>
  <si>
    <t>LARGO</t>
  </si>
  <si>
    <t>PAÑOLETA</t>
  </si>
  <si>
    <t xml:space="preserve">JUAN RODRIGUEZ </t>
  </si>
  <si>
    <t>ROBBIN</t>
  </si>
  <si>
    <t>COCKER</t>
  </si>
  <si>
    <t>-</t>
  </si>
  <si>
    <t xml:space="preserve">MARTHA SALAZAR </t>
  </si>
  <si>
    <t xml:space="preserve">FIONA </t>
  </si>
  <si>
    <t>YORKSHIRE TERRIER</t>
  </si>
  <si>
    <t>EVA'S GROOMING</t>
  </si>
  <si>
    <t>MOÑO</t>
  </si>
  <si>
    <t xml:space="preserve">MARIA CAMILA MUÑOZ </t>
  </si>
  <si>
    <t xml:space="preserve">TOÑA </t>
  </si>
  <si>
    <t>MESTIZO</t>
  </si>
  <si>
    <t>CORTO</t>
  </si>
  <si>
    <t xml:space="preserve">NALA </t>
  </si>
  <si>
    <t xml:space="preserve">MARIA ALEJANDRA GOMEZ </t>
  </si>
  <si>
    <t xml:space="preserve">MARTINA </t>
  </si>
  <si>
    <t>PUG</t>
  </si>
  <si>
    <t>CORTE DE UÑAS</t>
  </si>
  <si>
    <t>NO</t>
  </si>
  <si>
    <t xml:space="preserve">MANUELA </t>
  </si>
  <si>
    <t>BULLDOG FRANCÉS</t>
  </si>
  <si>
    <t xml:space="preserve">GLADIS PALOMINO </t>
  </si>
  <si>
    <t>MOÑOS</t>
  </si>
  <si>
    <t xml:space="preserve">JESSICA PONCE </t>
  </si>
  <si>
    <t xml:space="preserve">VIOLETA </t>
  </si>
  <si>
    <t>YESSICA PRADA</t>
  </si>
  <si>
    <t xml:space="preserve">DOKI </t>
  </si>
  <si>
    <t xml:space="preserve">INGRID LOPEZ </t>
  </si>
  <si>
    <t xml:space="preserve">DASHuRI </t>
  </si>
  <si>
    <t xml:space="preserve">SE RAPO </t>
  </si>
  <si>
    <t xml:space="preserve">LAURA JARAMILLO </t>
  </si>
  <si>
    <t xml:space="preserve">LEO </t>
  </si>
  <si>
    <t>CORGI</t>
  </si>
  <si>
    <t>ISABEL CRISTINA GONZALEZ</t>
  </si>
  <si>
    <t>COCO</t>
  </si>
  <si>
    <t xml:space="preserve">SARA </t>
  </si>
  <si>
    <t xml:space="preserve">ILEANA CIFUENTES </t>
  </si>
  <si>
    <t>YEIKO</t>
  </si>
  <si>
    <t>GOLDEN RETRIEVER</t>
  </si>
  <si>
    <t xml:space="preserve">LUZ KARIMA BEDOYA </t>
  </si>
  <si>
    <t>ATENEA</t>
  </si>
  <si>
    <t>AMERICAN BULLY</t>
  </si>
  <si>
    <t>MAX</t>
  </si>
  <si>
    <t xml:space="preserve">LUZ ADRIANA CARO </t>
  </si>
  <si>
    <t xml:space="preserve">SAM </t>
  </si>
  <si>
    <t>LUISANA PERAZA</t>
  </si>
  <si>
    <t>MIA</t>
  </si>
  <si>
    <t>PEQUINES</t>
  </si>
  <si>
    <t>GUSTAVO ADOLFO ARIAS</t>
  </si>
  <si>
    <t xml:space="preserve">MOLY </t>
  </si>
  <si>
    <t>ALEXANDER VALLECILLA</t>
  </si>
  <si>
    <t xml:space="preserve">LULU </t>
  </si>
  <si>
    <t xml:space="preserve">PAOLA ANDREA DE LA ROSA </t>
  </si>
  <si>
    <t>CAFE</t>
  </si>
  <si>
    <t xml:space="preserve">ANDREA RODRIGUEZ </t>
  </si>
  <si>
    <t xml:space="preserve">CANDY </t>
  </si>
  <si>
    <t>CHIHUAHUA</t>
  </si>
  <si>
    <t>LIMPIEZA DENTAL PROFUNDA</t>
  </si>
  <si>
    <t xml:space="preserve">VALERIA SERRANO </t>
  </si>
  <si>
    <t xml:space="preserve">CHOCOLATE </t>
  </si>
  <si>
    <t>DANIELA VILLEGAS</t>
  </si>
  <si>
    <t>MARA</t>
  </si>
  <si>
    <t>ANDREA DAVILA</t>
  </si>
  <si>
    <t>LUKA</t>
  </si>
  <si>
    <t>DAVID CALDERON</t>
  </si>
  <si>
    <t>KIARA</t>
  </si>
  <si>
    <t>BEAGLE</t>
  </si>
  <si>
    <t>NATALIA CORREA BEDOYA</t>
  </si>
  <si>
    <t>ALMA</t>
  </si>
  <si>
    <t>RAPADO</t>
  </si>
  <si>
    <t>MARISOL HENAO</t>
  </si>
  <si>
    <t>LUNA</t>
  </si>
  <si>
    <t>BIEWER TERRIER</t>
  </si>
  <si>
    <t>EMPIEZA MENSUALIDAD</t>
  </si>
  <si>
    <t xml:space="preserve">CARLOS EFREN OTERO </t>
  </si>
  <si>
    <t>VINCENT</t>
  </si>
  <si>
    <t>DANIELA GONZALEZ RUBIO</t>
  </si>
  <si>
    <t xml:space="preserve"> MORITA </t>
  </si>
  <si>
    <t xml:space="preserve">CAROLINA OCAMPO </t>
  </si>
  <si>
    <t xml:space="preserve">MANOLO </t>
  </si>
  <si>
    <t>CORBATÍN</t>
  </si>
  <si>
    <t xml:space="preserve">SARA EVA MARTINEZ </t>
  </si>
  <si>
    <t xml:space="preserve">NUNA </t>
  </si>
  <si>
    <t xml:space="preserve">PUMBA </t>
  </si>
  <si>
    <t>YUDI TRUJILLO</t>
  </si>
  <si>
    <t xml:space="preserve"> ROMEO </t>
  </si>
  <si>
    <t xml:space="preserve">KAREN SOFIA GALLON </t>
  </si>
  <si>
    <t xml:space="preserve"> TAMMY </t>
  </si>
  <si>
    <t xml:space="preserve">DIANA DELGADO </t>
  </si>
  <si>
    <t>ADAL</t>
  </si>
  <si>
    <t xml:space="preserve">ELIANA LOPEZ </t>
  </si>
  <si>
    <t xml:space="preserve">CONNY </t>
  </si>
  <si>
    <t>RAPADA</t>
  </si>
  <si>
    <t>PINCHSER</t>
  </si>
  <si>
    <t xml:space="preserve">DAVID CAMILO MORENO </t>
  </si>
  <si>
    <t xml:space="preserve">NATALIA PALACIOS </t>
  </si>
  <si>
    <t>NUBE</t>
  </si>
  <si>
    <t>SCHNAUZER</t>
  </si>
  <si>
    <t xml:space="preserve">FERNANDA CASANOVA </t>
  </si>
  <si>
    <t xml:space="preserve">MIA </t>
  </si>
  <si>
    <t>LIMPIEZA OIDOS</t>
  </si>
  <si>
    <t xml:space="preserve">DANIELA RINCON </t>
  </si>
  <si>
    <t xml:space="preserve">TOBY </t>
  </si>
  <si>
    <t xml:space="preserve">JESSICA GARCIA </t>
  </si>
  <si>
    <t xml:space="preserve">AVRIL </t>
  </si>
  <si>
    <t xml:space="preserve">ALEXANDRA MEJIA </t>
  </si>
  <si>
    <t xml:space="preserve">SPIKE </t>
  </si>
  <si>
    <t xml:space="preserve">CHANEL </t>
  </si>
  <si>
    <t>POODLE</t>
  </si>
  <si>
    <t>ANGELICA MESA</t>
  </si>
  <si>
    <t>GUCCI</t>
  </si>
  <si>
    <t>ALEJANDRO</t>
  </si>
  <si>
    <t>LUPITA</t>
  </si>
  <si>
    <t>KEVIN ANDRES</t>
  </si>
  <si>
    <t>DOCKY</t>
  </si>
  <si>
    <t>PEINADO</t>
  </si>
  <si>
    <t>MARIA JOSE PARRA</t>
  </si>
  <si>
    <t>MILA</t>
  </si>
  <si>
    <t>LINA ACEVEDO</t>
  </si>
  <si>
    <t>LUCAS</t>
  </si>
  <si>
    <t>MATIAS</t>
  </si>
  <si>
    <t>JUAN RODRIGUEZ</t>
  </si>
  <si>
    <t>ESTEFANIA FORONDA</t>
  </si>
  <si>
    <t>ELA</t>
  </si>
  <si>
    <t>DANIELA SANCLEMENTE</t>
  </si>
  <si>
    <t>DANNAH</t>
  </si>
  <si>
    <t>ALEJANDRO FONTECHA</t>
  </si>
  <si>
    <t>FRIDA</t>
  </si>
  <si>
    <t>BOYERO DE BERNA</t>
  </si>
  <si>
    <t>DACHSHUND</t>
  </si>
  <si>
    <t xml:space="preserve">CLAUDIA GOMEZ </t>
  </si>
  <si>
    <t xml:space="preserve">MAX </t>
  </si>
  <si>
    <t xml:space="preserve">MAURICIO LOPEZ </t>
  </si>
  <si>
    <t xml:space="preserve">CHOCO </t>
  </si>
  <si>
    <t>BORDER COLLIE</t>
  </si>
  <si>
    <t>SURI GARCIA</t>
  </si>
  <si>
    <t xml:space="preserve">SIMPARICA TRIO </t>
  </si>
  <si>
    <t>DANIELA SERNA</t>
  </si>
  <si>
    <t>ANGELY LOPEZ</t>
  </si>
  <si>
    <t>CANELA</t>
  </si>
  <si>
    <t>POMERANIA</t>
  </si>
  <si>
    <t>EVA PRIMITIVO</t>
  </si>
  <si>
    <t>YULEIDY VILLEGAS</t>
  </si>
  <si>
    <t>ANASTASIA</t>
  </si>
  <si>
    <t>HUSKY SIBERIANO</t>
  </si>
  <si>
    <t xml:space="preserve">JUAN ESTEBAN GARCIA </t>
  </si>
  <si>
    <t xml:space="preserve">ELLA </t>
  </si>
  <si>
    <t xml:space="preserve">YESSICA PRADA </t>
  </si>
  <si>
    <t xml:space="preserve">ADIELA PEREZ </t>
  </si>
  <si>
    <t xml:space="preserve">RONE </t>
  </si>
  <si>
    <t>SPRINGER SPANIEL</t>
  </si>
  <si>
    <t xml:space="preserve">ANGELA CLAROS </t>
  </si>
  <si>
    <t xml:space="preserve">MAILA </t>
  </si>
  <si>
    <t xml:space="preserve">MARIA SILVANA LLANOS </t>
  </si>
  <si>
    <t xml:space="preserve">ROMEO </t>
  </si>
  <si>
    <t xml:space="preserve">TATIANA LONDOÑO </t>
  </si>
  <si>
    <t xml:space="preserve">PARCERO </t>
  </si>
  <si>
    <t>LABRADOR</t>
  </si>
  <si>
    <t xml:space="preserve">YANETH QUINTERO </t>
  </si>
  <si>
    <t xml:space="preserve">KATY </t>
  </si>
  <si>
    <t xml:space="preserve">LEIDY GOMEZ </t>
  </si>
  <si>
    <t xml:space="preserve">CODY </t>
  </si>
  <si>
    <t xml:space="preserve">SUSAN LOPEZ </t>
  </si>
  <si>
    <t>SKY DAZA</t>
  </si>
  <si>
    <t xml:space="preserve">MONICA VEGA </t>
  </si>
  <si>
    <t xml:space="preserve">ANGUS </t>
  </si>
  <si>
    <t xml:space="preserve">CAMILO ESCOBAR </t>
  </si>
  <si>
    <t xml:space="preserve">DOMINIK </t>
  </si>
  <si>
    <t xml:space="preserve">VANESSA GARCIA </t>
  </si>
  <si>
    <t>BELLA</t>
  </si>
  <si>
    <t>VICTORIA HOLGUIN</t>
  </si>
  <si>
    <t>ALANA</t>
  </si>
  <si>
    <t>ALEXANDRA CARDONA</t>
  </si>
  <si>
    <t xml:space="preserve">ODDY </t>
  </si>
  <si>
    <t xml:space="preserve">CRISTINA GOMEZ </t>
  </si>
  <si>
    <t xml:space="preserve">LUPE </t>
  </si>
  <si>
    <t xml:space="preserve">NATALIA SABOGAL </t>
  </si>
  <si>
    <t>LOCKY</t>
  </si>
  <si>
    <t xml:space="preserve">NUBE </t>
  </si>
  <si>
    <t xml:space="preserve">KAROL MORALES </t>
  </si>
  <si>
    <t xml:space="preserve">JUGUETE </t>
  </si>
  <si>
    <t xml:space="preserve">MANUELA POSADA </t>
  </si>
  <si>
    <t>ARI</t>
  </si>
  <si>
    <t>CHOWCHOW</t>
  </si>
  <si>
    <t xml:space="preserve">KAREN ZAPATA </t>
  </si>
  <si>
    <t xml:space="preserve">YEIKO </t>
  </si>
  <si>
    <t xml:space="preserve">DIANA TAMAYO </t>
  </si>
  <si>
    <t xml:space="preserve">LUCA </t>
  </si>
  <si>
    <t xml:space="preserve">MARIA CRISTINA SANCHEZ </t>
  </si>
  <si>
    <t xml:space="preserve">DARA </t>
  </si>
  <si>
    <t xml:space="preserve">PAOLA COQUECO </t>
  </si>
  <si>
    <t>SAMOYEDO</t>
  </si>
  <si>
    <t xml:space="preserve">LILIANA TORRES </t>
  </si>
  <si>
    <t xml:space="preserve">MIKE </t>
  </si>
  <si>
    <t xml:space="preserve">JAKE </t>
  </si>
  <si>
    <t xml:space="preserve">MARISOL HENAO </t>
  </si>
  <si>
    <t xml:space="preserve">LUNA </t>
  </si>
  <si>
    <t>JHONATAN MORALES</t>
  </si>
  <si>
    <t xml:space="preserve">ASAI </t>
  </si>
  <si>
    <t>STITCH</t>
  </si>
  <si>
    <t xml:space="preserve">JOY </t>
  </si>
  <si>
    <t xml:space="preserve">CRISTINA VILLEGAS </t>
  </si>
  <si>
    <t xml:space="preserve">NEGRITA </t>
  </si>
  <si>
    <t xml:space="preserve">CHLOE </t>
  </si>
  <si>
    <t xml:space="preserve">WISTON </t>
  </si>
  <si>
    <t xml:space="preserve">LAURA DAVILA </t>
  </si>
  <si>
    <t>VILMA</t>
  </si>
  <si>
    <t xml:space="preserve">ANGELICA JIMENEZ </t>
  </si>
  <si>
    <t xml:space="preserve">HEIDY </t>
  </si>
  <si>
    <t xml:space="preserve">DIANA MOSCOSO </t>
  </si>
  <si>
    <t>IVY</t>
  </si>
  <si>
    <t xml:space="preserve">VALENTINA PEÑARANDA </t>
  </si>
  <si>
    <t xml:space="preserve">ZEUS </t>
  </si>
  <si>
    <t>PAULA ANDREA CASTRO</t>
  </si>
  <si>
    <t>POTTER</t>
  </si>
  <si>
    <t xml:space="preserve">ROBBIN </t>
  </si>
  <si>
    <t xml:space="preserve">OSCAR PALACIO </t>
  </si>
  <si>
    <t xml:space="preserve">YORDI </t>
  </si>
  <si>
    <t>LEIDY GONZALEZ</t>
  </si>
  <si>
    <t>DONNY</t>
  </si>
  <si>
    <t xml:space="preserve">CRISTIN GUERRERO </t>
  </si>
  <si>
    <t>ATHENA</t>
  </si>
  <si>
    <t xml:space="preserve">ANDREA DAVILA </t>
  </si>
  <si>
    <t xml:space="preserve">LUKA </t>
  </si>
  <si>
    <t xml:space="preserve">ALEJANDRA TABARES </t>
  </si>
  <si>
    <t>COCO CHANNEL</t>
  </si>
  <si>
    <t>MARIA JOSE BARRETO</t>
  </si>
  <si>
    <t xml:space="preserve">SABRINA </t>
  </si>
  <si>
    <t>JHOANA MENDEZ</t>
  </si>
  <si>
    <t>ROMMEL</t>
  </si>
  <si>
    <t>GATO</t>
  </si>
  <si>
    <t>CAT LOVER</t>
  </si>
  <si>
    <t xml:space="preserve">JHOANA </t>
  </si>
  <si>
    <t>LUPE</t>
  </si>
  <si>
    <t>SANDRA PANIAGUA</t>
  </si>
  <si>
    <t>SE RAPO</t>
  </si>
  <si>
    <t>MARIAM ZUÑIGA</t>
  </si>
  <si>
    <t>BICHON MALTES</t>
  </si>
  <si>
    <t>FERNADA CASANOVA</t>
  </si>
  <si>
    <t>LUISA MUÑOZ</t>
  </si>
  <si>
    <t>TOM JAVIER</t>
  </si>
  <si>
    <t>PERSA</t>
  </si>
  <si>
    <t>JENNI GARCIA</t>
  </si>
  <si>
    <t>TEO</t>
  </si>
  <si>
    <t>ERIKA FERNANDA AGUDELO</t>
  </si>
  <si>
    <t>TOBBY FERNANDO</t>
  </si>
  <si>
    <t xml:space="preserve">COTON DE TULEAR </t>
  </si>
  <si>
    <t xml:space="preserve">LUISA MARTINEZ </t>
  </si>
  <si>
    <t xml:space="preserve">CAROLINA MARTINEZ </t>
  </si>
  <si>
    <t>MOLY</t>
  </si>
  <si>
    <t>FLASH BATH</t>
  </si>
  <si>
    <t xml:space="preserve">JAVIER SERNA </t>
  </si>
  <si>
    <t xml:space="preserve">OREO </t>
  </si>
  <si>
    <t xml:space="preserve">ANGIE SANCHEZ </t>
  </si>
  <si>
    <t xml:space="preserve">HONEY </t>
  </si>
  <si>
    <t xml:space="preserve">ANGELICA MESA </t>
  </si>
  <si>
    <t xml:space="preserve">GUCCI </t>
  </si>
  <si>
    <t xml:space="preserve">PATRICIA PULIDO </t>
  </si>
  <si>
    <t xml:space="preserve">TOTO </t>
  </si>
  <si>
    <t>CONEJO</t>
  </si>
  <si>
    <t xml:space="preserve">VALENTINA RODRIGUEZ </t>
  </si>
  <si>
    <t xml:space="preserve">ASGARD </t>
  </si>
  <si>
    <t xml:space="preserve">JUDITH FARFAN </t>
  </si>
  <si>
    <t xml:space="preserve">LOLITA </t>
  </si>
  <si>
    <t xml:space="preserve">DASHURY </t>
  </si>
  <si>
    <t xml:space="preserve">CLAUDIA FERNANDA VARELA </t>
  </si>
  <si>
    <t>CONAN</t>
  </si>
  <si>
    <t xml:space="preserve">ROGERT </t>
  </si>
  <si>
    <t xml:space="preserve">VANESSA MORENO </t>
  </si>
  <si>
    <t xml:space="preserve">VALENTINA MARULANDA </t>
  </si>
  <si>
    <t xml:space="preserve">PAOLA ANDREA SABOGAL </t>
  </si>
  <si>
    <t>CHEWBACA</t>
  </si>
  <si>
    <t>ADRIANA ENRIQUE</t>
  </si>
  <si>
    <t xml:space="preserve">ELIANA RIVADENEIRA </t>
  </si>
  <si>
    <t xml:space="preserve">GALA </t>
  </si>
  <si>
    <t xml:space="preserve">WILMER CARVAJAL </t>
  </si>
  <si>
    <t>PIPO</t>
  </si>
  <si>
    <t xml:space="preserve">GUILLERMO LOZANO </t>
  </si>
  <si>
    <t>TOKIO</t>
  </si>
  <si>
    <t>MANUELA GARCIA</t>
  </si>
  <si>
    <t>NILAN</t>
  </si>
  <si>
    <t>ANABELY CARLOSAMA</t>
  </si>
  <si>
    <t>CECILIA</t>
  </si>
  <si>
    <t xml:space="preserve">JHON ORDOÑEZ </t>
  </si>
  <si>
    <t xml:space="preserve">MILAN </t>
  </si>
  <si>
    <t xml:space="preserve">PAOLA BRAVO </t>
  </si>
  <si>
    <t xml:space="preserve">MAXIMO </t>
  </si>
  <si>
    <t>/</t>
  </si>
  <si>
    <t>MARIA A GALVEZ</t>
  </si>
  <si>
    <t>YESSIKA VICTORIA</t>
  </si>
  <si>
    <t>OLIVER</t>
  </si>
  <si>
    <t>BOMBI</t>
  </si>
  <si>
    <t>AMANDA ROSERO</t>
  </si>
  <si>
    <t>BEMBE</t>
  </si>
  <si>
    <t>ALEXA ZAPATA</t>
  </si>
  <si>
    <t>SASHA</t>
  </si>
  <si>
    <t>LOLA</t>
  </si>
  <si>
    <t>ADRIAN CALDERON</t>
  </si>
  <si>
    <t>BRUNO</t>
  </si>
  <si>
    <t>YAMILETH RODRIGUEZ</t>
  </si>
  <si>
    <t>JESSICA DUQUE</t>
  </si>
  <si>
    <t>LINA MEJIA</t>
  </si>
  <si>
    <t>ANNY</t>
  </si>
  <si>
    <t>PAOLA CASTAÑO</t>
  </si>
  <si>
    <t>TOMMY</t>
  </si>
  <si>
    <t>LORENA SAENZ</t>
  </si>
  <si>
    <t>SOL</t>
  </si>
  <si>
    <t>DIANA SANCHEZ</t>
  </si>
  <si>
    <t>ISMAEL PARAMO</t>
  </si>
  <si>
    <t>TOGO</t>
  </si>
  <si>
    <t>PASTOR ALEMÁN</t>
  </si>
  <si>
    <t>LIBIA CEDIEL</t>
  </si>
  <si>
    <t>NALA</t>
  </si>
  <si>
    <t>KAREN GAVIRIA</t>
  </si>
  <si>
    <t>ABBY</t>
  </si>
  <si>
    <t>BALU</t>
  </si>
  <si>
    <t>ROMEO</t>
  </si>
  <si>
    <t>VALERIA HERRERA</t>
  </si>
  <si>
    <t>KLOE</t>
  </si>
  <si>
    <t>JOEL CASTRO</t>
  </si>
  <si>
    <t>ZOE</t>
  </si>
  <si>
    <t>CRISTIAN</t>
  </si>
  <si>
    <t>MAGNUS</t>
  </si>
  <si>
    <t xml:space="preserve">FABIO LOPEZ </t>
  </si>
  <si>
    <t xml:space="preserve">MINIE </t>
  </si>
  <si>
    <t xml:space="preserve">KATHERINE RAMIREZ </t>
  </si>
  <si>
    <t>APOLO</t>
  </si>
  <si>
    <t xml:space="preserve">NORA PINEDA </t>
  </si>
  <si>
    <t xml:space="preserve">POLAR </t>
  </si>
  <si>
    <t>JOHAN SEBASTIAN SALDARRIAGA</t>
  </si>
  <si>
    <t>ENZO</t>
  </si>
  <si>
    <t xml:space="preserve">SANTIAGO DIAZ </t>
  </si>
  <si>
    <t>HANNA</t>
  </si>
  <si>
    <t>MARIA VICTORIA ACEVEDO</t>
  </si>
  <si>
    <t xml:space="preserve">SIMBA </t>
  </si>
  <si>
    <t xml:space="preserve">DAVID CALDERON </t>
  </si>
  <si>
    <t>MORITA</t>
  </si>
  <si>
    <t xml:space="preserve">VIVIANA MARCELA ALVAREZ </t>
  </si>
  <si>
    <t xml:space="preserve">MAXIMILIANO </t>
  </si>
  <si>
    <t xml:space="preserve">MONICA BARRAGAN </t>
  </si>
  <si>
    <t xml:space="preserve">TERRY </t>
  </si>
  <si>
    <t>ALEXANDRA</t>
  </si>
  <si>
    <t>NOAH</t>
  </si>
  <si>
    <t>MARIAM CASTAÑO</t>
  </si>
  <si>
    <t>MOLLY</t>
  </si>
  <si>
    <t>ANGIE PAOLA TORRES</t>
  </si>
  <si>
    <t>JUAN CAMILO CARDONA</t>
  </si>
  <si>
    <t>DANTE</t>
  </si>
  <si>
    <t>ALEJANDRA MADRID</t>
  </si>
  <si>
    <t>THOMAS</t>
  </si>
  <si>
    <t>LAURA LASPRILLA</t>
  </si>
  <si>
    <t>SAMARA</t>
  </si>
  <si>
    <t>LUCY MONTES</t>
  </si>
  <si>
    <t>NIÑO</t>
  </si>
  <si>
    <t>LAURA ARIAS</t>
  </si>
  <si>
    <t xml:space="preserve">DAVID AGUDELO </t>
  </si>
  <si>
    <t>COFFE</t>
  </si>
  <si>
    <t xml:space="preserve">LOCKY </t>
  </si>
  <si>
    <t xml:space="preserve">VICTORIA HOLGUIN </t>
  </si>
  <si>
    <t>ALANNA</t>
  </si>
  <si>
    <t xml:space="preserve">MARIA PAULA MARTINEZ </t>
  </si>
  <si>
    <t xml:space="preserve">MAIRA ARALZALES </t>
  </si>
  <si>
    <t>EMI</t>
  </si>
  <si>
    <t xml:space="preserve">NICO </t>
  </si>
  <si>
    <t xml:space="preserve">NORA OSORIO </t>
  </si>
  <si>
    <t xml:space="preserve">COPITO </t>
  </si>
  <si>
    <t xml:space="preserve">YULIANA NOREÑA </t>
  </si>
  <si>
    <t xml:space="preserve">TOBBY </t>
  </si>
  <si>
    <t xml:space="preserve">ADAL </t>
  </si>
  <si>
    <t xml:space="preserve">MARA </t>
  </si>
  <si>
    <t>YEFERSON GUZMAN</t>
  </si>
  <si>
    <t xml:space="preserve">MARIA ALEJANDRA </t>
  </si>
  <si>
    <t>ROMA</t>
  </si>
  <si>
    <t>RAPAR</t>
  </si>
  <si>
    <t>ESTEFANIA HERNANDEZ</t>
  </si>
  <si>
    <t xml:space="preserve">SIMON </t>
  </si>
  <si>
    <t xml:space="preserve">NAHLA </t>
  </si>
  <si>
    <t xml:space="preserve">MARIA CONSUELO </t>
  </si>
  <si>
    <t>EFREN EDUARDO RAMIREZ</t>
  </si>
  <si>
    <t>COLLIN</t>
  </si>
  <si>
    <t>GIOVANA VELAZQUEZ</t>
  </si>
  <si>
    <t>HONEY</t>
  </si>
  <si>
    <t xml:space="preserve">ISABEL CRISTINA </t>
  </si>
  <si>
    <t xml:space="preserve">ANA MARIA ESCARRIA </t>
  </si>
  <si>
    <t xml:space="preserve">ROCKY </t>
  </si>
  <si>
    <t xml:space="preserve">ALEJANDRO </t>
  </si>
  <si>
    <t xml:space="preserve">RUFFO </t>
  </si>
  <si>
    <t xml:space="preserve">MARIA JOSE DELGADO </t>
  </si>
  <si>
    <t>RAMON</t>
  </si>
  <si>
    <t xml:space="preserve">DAHIANA MARIN MARIN </t>
  </si>
  <si>
    <t xml:space="preserve">KIRA </t>
  </si>
  <si>
    <t>JHOANA AGUDELO</t>
  </si>
  <si>
    <t xml:space="preserve">LUPITA </t>
  </si>
  <si>
    <t xml:space="preserve">MARIA CAMILA TENORIO </t>
  </si>
  <si>
    <t xml:space="preserve">PAOLA TORRES </t>
  </si>
  <si>
    <t xml:space="preserve">BRUNO </t>
  </si>
  <si>
    <t xml:space="preserve">SOFIA ARBOLEDA </t>
  </si>
  <si>
    <t>BALOO</t>
  </si>
  <si>
    <t xml:space="preserve">ANDREA COBA MEJIA </t>
  </si>
  <si>
    <t xml:space="preserve">BINGO </t>
  </si>
  <si>
    <t xml:space="preserve">DASHURI </t>
  </si>
  <si>
    <t xml:space="preserve">RODRIGO JOSE GARCIA </t>
  </si>
  <si>
    <t xml:space="preserve">JAIRO ANDRES GALLEGO </t>
  </si>
  <si>
    <t>ZIA</t>
  </si>
  <si>
    <t xml:space="preserve">MANUELA HENAO </t>
  </si>
  <si>
    <t>FREYA</t>
  </si>
  <si>
    <t>STHEPANIA QUINTERO</t>
  </si>
  <si>
    <t>MIEL</t>
  </si>
  <si>
    <t>PONSKY</t>
  </si>
  <si>
    <t>MAYRA MONDRAGON</t>
  </si>
  <si>
    <t>VIOLETA</t>
  </si>
  <si>
    <t>FERNANDA CASANOVA</t>
  </si>
  <si>
    <t xml:space="preserve">MARIA QUINTERO </t>
  </si>
  <si>
    <t xml:space="preserve">MILO </t>
  </si>
  <si>
    <t xml:space="preserve">ANTONIO GUTIERREZ </t>
  </si>
  <si>
    <t xml:space="preserve">CAROLINA ALVAREZ </t>
  </si>
  <si>
    <t xml:space="preserve">SILVANA LLANO </t>
  </si>
  <si>
    <t xml:space="preserve">BLANCA LIBIA ALZATE </t>
  </si>
  <si>
    <t xml:space="preserve">SUSHY </t>
  </si>
  <si>
    <t>LHASA APSO</t>
  </si>
  <si>
    <t xml:space="preserve">JULIAN OCAMPO </t>
  </si>
  <si>
    <t>EMMA</t>
  </si>
  <si>
    <t>CARLOS ESCALANTE</t>
  </si>
  <si>
    <t xml:space="preserve">DRACO </t>
  </si>
  <si>
    <t xml:space="preserve">XIMENA TORRES </t>
  </si>
  <si>
    <t xml:space="preserve">VALERIA HERRERA </t>
  </si>
  <si>
    <t xml:space="preserve">KLOE </t>
  </si>
  <si>
    <t>JOHANNA CARVAJAL</t>
  </si>
  <si>
    <t>YORKI</t>
  </si>
  <si>
    <t>MARIA TERESA MENDOZA</t>
  </si>
  <si>
    <t xml:space="preserve">MOTAS </t>
  </si>
  <si>
    <t xml:space="preserve">DIANA MARQUEZ </t>
  </si>
  <si>
    <t xml:space="preserve">MARTIN </t>
  </si>
  <si>
    <t>SE RAPA</t>
  </si>
  <si>
    <t xml:space="preserve">LUISA TORRES </t>
  </si>
  <si>
    <t xml:space="preserve">PERLA </t>
  </si>
  <si>
    <t>CAROLINA ZAMORA</t>
  </si>
  <si>
    <t>TEDDY</t>
  </si>
  <si>
    <t>JACK</t>
  </si>
  <si>
    <t xml:space="preserve">ELIANA </t>
  </si>
  <si>
    <t xml:space="preserve">MAXI </t>
  </si>
  <si>
    <t>BONO</t>
  </si>
  <si>
    <t>VALENTINA QUIÑONES</t>
  </si>
  <si>
    <t>VALENTINO</t>
  </si>
  <si>
    <t>TATIANA LONDOÑO</t>
  </si>
  <si>
    <t>DOKI</t>
  </si>
  <si>
    <t xml:space="preserve">MARIA JOSE PARRA </t>
  </si>
  <si>
    <t xml:space="preserve">MILA </t>
  </si>
  <si>
    <t xml:space="preserve">LAURA BONILLA </t>
  </si>
  <si>
    <t xml:space="preserve">ABRIL </t>
  </si>
  <si>
    <t xml:space="preserve">LEIDY RUSSI </t>
  </si>
  <si>
    <t xml:space="preserve">IRIS </t>
  </si>
  <si>
    <t>OREO</t>
  </si>
  <si>
    <t xml:space="preserve">FABIOLA HERNANDEZ </t>
  </si>
  <si>
    <t>MILI</t>
  </si>
  <si>
    <t>TOBBY</t>
  </si>
  <si>
    <t xml:space="preserve">MARISO HENAO </t>
  </si>
  <si>
    <t xml:space="preserve">JULIAN MORENO </t>
  </si>
  <si>
    <t xml:space="preserve">PRINCESA </t>
  </si>
  <si>
    <t>EVA LISO PERFECTO</t>
  </si>
  <si>
    <t>PERFILAR</t>
  </si>
  <si>
    <t>JESSICA HERNANDEZ</t>
  </si>
  <si>
    <t>ODDY</t>
  </si>
  <si>
    <t xml:space="preserve">DIANA MARIN </t>
  </si>
  <si>
    <t>SUSY</t>
  </si>
  <si>
    <t xml:space="preserve">JENNI GARCIA </t>
  </si>
  <si>
    <t xml:space="preserve">TEO </t>
  </si>
  <si>
    <t>ASAI</t>
  </si>
  <si>
    <t>KATHERINE</t>
  </si>
  <si>
    <t xml:space="preserve">YURI ANDREA BRAVO </t>
  </si>
  <si>
    <t>SIMON</t>
  </si>
  <si>
    <t xml:space="preserve">KELLY LOPEZ </t>
  </si>
  <si>
    <t>DONA</t>
  </si>
  <si>
    <t xml:space="preserve">GUSTAVO ZUÑIGA </t>
  </si>
  <si>
    <t xml:space="preserve">BECKER </t>
  </si>
  <si>
    <t>LINA JOHANA MOLINA</t>
  </si>
  <si>
    <t>FIONA</t>
  </si>
  <si>
    <t>ANTONIO GUTIERREZ</t>
  </si>
  <si>
    <t xml:space="preserve">KEVIN </t>
  </si>
  <si>
    <t xml:space="preserve">HADA </t>
  </si>
  <si>
    <t>KAREN SOFIA GALLON</t>
  </si>
  <si>
    <t>TAMMY</t>
  </si>
  <si>
    <t xml:space="preserve">MILLERLANDY </t>
  </si>
  <si>
    <t xml:space="preserve">LUCAS </t>
  </si>
  <si>
    <t xml:space="preserve">DIEGO IMBACHI </t>
  </si>
  <si>
    <t xml:space="preserve">KENSHIN </t>
  </si>
  <si>
    <t xml:space="preserve">LEYLA CAMARGO </t>
  </si>
  <si>
    <t>TOMMY BLUE</t>
  </si>
  <si>
    <t xml:space="preserve">ROSA VALDERRAMA </t>
  </si>
  <si>
    <t xml:space="preserve">MARIA TERESA TABARES </t>
  </si>
  <si>
    <t>ROKO</t>
  </si>
  <si>
    <t>TOTO</t>
  </si>
  <si>
    <t xml:space="preserve">ANDRES FELIPE ANGEL </t>
  </si>
  <si>
    <t xml:space="preserve">SHORO </t>
  </si>
  <si>
    <t xml:space="preserve">DIANA PALACIOS </t>
  </si>
  <si>
    <t xml:space="preserve">ZURICH </t>
  </si>
  <si>
    <t xml:space="preserve">VIVIANA CARDENAS </t>
  </si>
  <si>
    <t>RICKY</t>
  </si>
  <si>
    <t xml:space="preserve">STEFANIA LONDOÑO </t>
  </si>
  <si>
    <t xml:space="preserve">THOMAS </t>
  </si>
  <si>
    <t xml:space="preserve">MARIAM CASTAÑO </t>
  </si>
  <si>
    <t xml:space="preserve">MOLLY </t>
  </si>
  <si>
    <t xml:space="preserve">ACCESORIO </t>
  </si>
  <si>
    <t xml:space="preserve">GILBERT ALEXANDER </t>
  </si>
  <si>
    <t xml:space="preserve">ORUS </t>
  </si>
  <si>
    <t xml:space="preserve">NATALIA BEDOYA </t>
  </si>
  <si>
    <t xml:space="preserve">ALMA </t>
  </si>
  <si>
    <t xml:space="preserve">MARGARET </t>
  </si>
  <si>
    <t>PABLO EMILIO</t>
  </si>
  <si>
    <t xml:space="preserve">MARIA VICTORIA ACEVEDO </t>
  </si>
  <si>
    <t>SIMBA</t>
  </si>
  <si>
    <t>MARIA CLEMENCIA DAVALOS</t>
  </si>
  <si>
    <t xml:space="preserve">PASTOR BELGA </t>
  </si>
  <si>
    <t xml:space="preserve">LUISA FERNANDA REBELLON </t>
  </si>
  <si>
    <t xml:space="preserve">DAIKY </t>
  </si>
  <si>
    <t xml:space="preserve">VALERIA MORENO </t>
  </si>
  <si>
    <t xml:space="preserve">DANIELA GONZALEZ RUBIO </t>
  </si>
  <si>
    <t xml:space="preserve">MORITA </t>
  </si>
  <si>
    <t xml:space="preserve">PIPO </t>
  </si>
  <si>
    <t>ALASKA MALAMUTE</t>
  </si>
  <si>
    <t xml:space="preserve">LEIDY GONZALEZ </t>
  </si>
  <si>
    <t xml:space="preserve">DONNY </t>
  </si>
  <si>
    <t xml:space="preserve">DIEGO GONZALEZ </t>
  </si>
  <si>
    <t>SAMMY</t>
  </si>
  <si>
    <t xml:space="preserve">YAMILETH RODRIGUEZ </t>
  </si>
  <si>
    <t>VALERIA CASTILLO</t>
  </si>
  <si>
    <t>GIO</t>
  </si>
  <si>
    <t>DALMATA</t>
  </si>
  <si>
    <t xml:space="preserve">ZOE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</si>
  <si>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</si>
  <si>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XIMENA VARGAS </t>
  </si>
  <si>
    <t xml:space="preserve">NIÑO </t>
  </si>
  <si>
    <t xml:space="preserve">CHARLY </t>
  </si>
  <si>
    <t>OREJAS</t>
  </si>
  <si>
    <t>ANNIE</t>
  </si>
  <si>
    <t xml:space="preserve">LUCHO </t>
  </si>
  <si>
    <t xml:space="preserve">LEIDY TATIANA GONZALEZ </t>
  </si>
  <si>
    <t xml:space="preserve">KIARA </t>
  </si>
  <si>
    <t xml:space="preserve">CARMEN JULIA GARCIA </t>
  </si>
  <si>
    <t>KOKO</t>
  </si>
  <si>
    <t xml:space="preserve">CARLOS ESCALANTE </t>
  </si>
  <si>
    <t xml:space="preserve">MARIA A GALVEZ </t>
  </si>
  <si>
    <t xml:space="preserve">CHER </t>
  </si>
  <si>
    <t xml:space="preserve">LINA MEJIA </t>
  </si>
  <si>
    <t xml:space="preserve">CAMILO CARDONA </t>
  </si>
  <si>
    <t>ESTEFANIA CHAVEZ</t>
  </si>
  <si>
    <t>CHANNEL</t>
  </si>
  <si>
    <t>YORMA LORENA ALVAREZ</t>
  </si>
  <si>
    <t xml:space="preserve">MILTON MARTINEZ </t>
  </si>
  <si>
    <t>TERRANOVA</t>
  </si>
  <si>
    <t>VALERIAN VELASQUEZ</t>
  </si>
  <si>
    <t>BELEN</t>
  </si>
  <si>
    <t>DIANA CAROLINA LOZANO</t>
  </si>
  <si>
    <t>YORDI</t>
  </si>
  <si>
    <t xml:space="preserve">ADELA PEREZ </t>
  </si>
  <si>
    <t>RONE</t>
  </si>
  <si>
    <t>CRISTINA VILLEGAS</t>
  </si>
  <si>
    <t>WISTON</t>
  </si>
  <si>
    <t>NEGRITA</t>
  </si>
  <si>
    <t>CAROLINA OCAMPO</t>
  </si>
  <si>
    <t>MANOLO</t>
  </si>
  <si>
    <t xml:space="preserve">JESSICA LIBREROS </t>
  </si>
  <si>
    <t xml:space="preserve">LINA MARCELA SUA </t>
  </si>
  <si>
    <t xml:space="preserve">SKY </t>
  </si>
  <si>
    <t>ALVARO JOSE JAIMES</t>
  </si>
  <si>
    <t>PACO</t>
  </si>
  <si>
    <t xml:space="preserve">DAYANA ORTIZ </t>
  </si>
  <si>
    <t>GEORGE</t>
  </si>
  <si>
    <t xml:space="preserve">JUAN </t>
  </si>
  <si>
    <t>LINEZCA</t>
  </si>
  <si>
    <t>ANGIE DANIELA CAÑAS</t>
  </si>
  <si>
    <t>CAMILO ESCOBAR</t>
  </si>
  <si>
    <t>DOMINIK</t>
  </si>
  <si>
    <t>AVRIL</t>
  </si>
  <si>
    <t>DIEGO GONZALEZ</t>
  </si>
  <si>
    <t>SKY</t>
  </si>
  <si>
    <t xml:space="preserve">MARIA FERNANDA RIVAS </t>
  </si>
  <si>
    <t>MILO</t>
  </si>
  <si>
    <t>VALENTINA AZA</t>
  </si>
  <si>
    <t xml:space="preserve">ERIKA FERNANDA AGUDELO </t>
  </si>
  <si>
    <t>$89.000</t>
  </si>
  <si>
    <t>ISABELLA ROMERO</t>
  </si>
  <si>
    <t>GRECIA</t>
  </si>
  <si>
    <t xml:space="preserve">LIZETH GALVIS </t>
  </si>
  <si>
    <t xml:space="preserve">YUDI TRUJILLO </t>
  </si>
  <si>
    <t xml:space="preserve">JIMMY ALBERTO PUENTES </t>
  </si>
  <si>
    <t>MILU</t>
  </si>
  <si>
    <t>WEST HIGHLAND WHITE TERRIER</t>
  </si>
  <si>
    <t xml:space="preserve">ROMA </t>
  </si>
  <si>
    <t xml:space="preserve">NANI CARDONA </t>
  </si>
  <si>
    <t>ASGARD</t>
  </si>
  <si>
    <t xml:space="preserve">JUAN CARLOS RAMIREZ </t>
  </si>
  <si>
    <t>MINIE</t>
  </si>
  <si>
    <t xml:space="preserve">LUZ KARIME BEDOYA </t>
  </si>
  <si>
    <t>SANDRA MILENA CASTILLO</t>
  </si>
  <si>
    <t>NIÑA</t>
  </si>
  <si>
    <t xml:space="preserve">DIANA GUEVARA </t>
  </si>
  <si>
    <t xml:space="preserve">VALENTINA QUIÑONES </t>
  </si>
  <si>
    <t>LUZ PIEDAD JARAMILLO</t>
  </si>
  <si>
    <t xml:space="preserve">HARRY </t>
  </si>
  <si>
    <t>FABIOLA HERNANDEZ</t>
  </si>
  <si>
    <t>FRUNA</t>
  </si>
  <si>
    <t>ANNY KARINA TORRES</t>
  </si>
  <si>
    <t>COCKY</t>
  </si>
  <si>
    <t>SUSAN LOPEZ</t>
  </si>
  <si>
    <t>VIVIANA MARCELA</t>
  </si>
  <si>
    <t>MAXIMILIANO</t>
  </si>
  <si>
    <t>VALENTINA PEÑARANDA</t>
  </si>
  <si>
    <t>DIANA MOSCOSO</t>
  </si>
  <si>
    <t>DIANA TEJADA</t>
  </si>
  <si>
    <t xml:space="preserve">JULIANA ARIAS </t>
  </si>
  <si>
    <t xml:space="preserve">JUAN CAMILO GARCIA </t>
  </si>
  <si>
    <t>GORDO</t>
  </si>
  <si>
    <t>COPITO</t>
  </si>
  <si>
    <t xml:space="preserve">VANESSA </t>
  </si>
  <si>
    <t xml:space="preserve">MILU </t>
  </si>
  <si>
    <t>DRACO</t>
  </si>
  <si>
    <t xml:space="preserve">MARIA SILVANA LLANO </t>
  </si>
  <si>
    <t xml:space="preserve">AMPARO VALDERRAMA </t>
  </si>
  <si>
    <t xml:space="preserve">GALITO </t>
  </si>
  <si>
    <t xml:space="preserve">VILMA </t>
  </si>
  <si>
    <t xml:space="preserve">ADRIANA GOMEZ </t>
  </si>
  <si>
    <t>LUKAS</t>
  </si>
  <si>
    <t xml:space="preserve">CLAUDIA </t>
  </si>
  <si>
    <t>HACHI</t>
  </si>
  <si>
    <t xml:space="preserve">RAFAEL ZABALA </t>
  </si>
  <si>
    <t xml:space="preserve">GUSTAVO OLIVEROS </t>
  </si>
  <si>
    <t>ROCKY</t>
  </si>
  <si>
    <t xml:space="preserve">YULEIDY VILLEGAS </t>
  </si>
  <si>
    <t xml:space="preserve">CLUADIA </t>
  </si>
  <si>
    <t>PERLA</t>
  </si>
  <si>
    <t xml:space="preserve">LUIS CARLOS </t>
  </si>
  <si>
    <t xml:space="preserve">SEBASTIAN CEBALLOS </t>
  </si>
  <si>
    <t>AITANA</t>
  </si>
  <si>
    <t xml:space="preserve">DASHIRI </t>
  </si>
  <si>
    <t>LINA JHOANA MOLINA</t>
  </si>
  <si>
    <t>KELLY TEJADA</t>
  </si>
  <si>
    <t>IRIS</t>
  </si>
  <si>
    <t>DIEGO FERNANDO LOPEZ</t>
  </si>
  <si>
    <t>BLUE</t>
  </si>
  <si>
    <t>HILDA MURILLO</t>
  </si>
  <si>
    <t xml:space="preserve"> COCO</t>
  </si>
  <si>
    <t>JOSE DANIEL MONCADA</t>
  </si>
  <si>
    <t xml:space="preserve">MAYRA ACOSTA </t>
  </si>
  <si>
    <t xml:space="preserve">IRINA OSPINA </t>
  </si>
  <si>
    <t xml:space="preserve">SIARA </t>
  </si>
  <si>
    <t xml:space="preserve">ANGELICA </t>
  </si>
  <si>
    <t xml:space="preserve">HERA </t>
  </si>
  <si>
    <t>MARIA JOSE ISAZA</t>
  </si>
  <si>
    <t>BICHON HABANERO</t>
  </si>
  <si>
    <t xml:space="preserve">MILENA GAITAN </t>
  </si>
  <si>
    <t xml:space="preserve">FERNANDA BEDOYA </t>
  </si>
  <si>
    <t>MISSY</t>
  </si>
  <si>
    <t xml:space="preserve">LIMPIEZA DENTAL PROFUNDA </t>
  </si>
  <si>
    <t>VALENTINA RODRIGUEZ VICTORIA</t>
  </si>
  <si>
    <t>CANDY</t>
  </si>
  <si>
    <t>JHON HECTOR MESA</t>
  </si>
  <si>
    <t>MARIA FERNANDA RAMIREZ</t>
  </si>
  <si>
    <t>TOCINETA</t>
  </si>
  <si>
    <t>DANIELA ESCOBAR LORZA</t>
  </si>
  <si>
    <t>DULCE</t>
  </si>
  <si>
    <t>JAKE</t>
  </si>
  <si>
    <t>JOY</t>
  </si>
  <si>
    <t xml:space="preserve">YURI MONTOYA </t>
  </si>
  <si>
    <t xml:space="preserve">RIGO </t>
  </si>
  <si>
    <t>CAVAPOO</t>
  </si>
  <si>
    <t xml:space="preserve">JOEL CASTRO </t>
  </si>
  <si>
    <t>PAOLA COQUECO</t>
  </si>
  <si>
    <t xml:space="preserve">DIANA MARCELA </t>
  </si>
  <si>
    <t xml:space="preserve"> LEO </t>
  </si>
  <si>
    <t xml:space="preserve">PAULA ANDREA SABOGAL </t>
  </si>
  <si>
    <t xml:space="preserve">COCO CHANEL </t>
  </si>
  <si>
    <t>PARCERO</t>
  </si>
  <si>
    <t>JUDITH FARFAN</t>
  </si>
  <si>
    <t>LOLITA</t>
  </si>
  <si>
    <t xml:space="preserve">COCO </t>
  </si>
  <si>
    <t>MARIA VICTORIA GALLO</t>
  </si>
  <si>
    <t>DUSHI</t>
  </si>
  <si>
    <t xml:space="preserve">MARIANA MUÑOZ </t>
  </si>
  <si>
    <t>PRINCESA</t>
  </si>
  <si>
    <t>JESSICA FLORES JARAMILLO</t>
  </si>
  <si>
    <t>ANGUS</t>
  </si>
  <si>
    <t>LIMPIEZA DENTAL</t>
  </si>
  <si>
    <t xml:space="preserve">MAIRA ARANZALES </t>
  </si>
  <si>
    <t xml:space="preserve">EMY </t>
  </si>
  <si>
    <t xml:space="preserve">YORMA LORENA ALVAREZ </t>
  </si>
  <si>
    <t xml:space="preserve">MARIA JOSE BARRETO </t>
  </si>
  <si>
    <t>SABRINA</t>
  </si>
  <si>
    <t>DASHURI</t>
  </si>
  <si>
    <t xml:space="preserve">ODIN </t>
  </si>
  <si>
    <t xml:space="preserve">CRISTIAN RENGIFO </t>
  </si>
  <si>
    <t>CHELSEA</t>
  </si>
  <si>
    <t xml:space="preserve">KEYRA </t>
  </si>
  <si>
    <t xml:space="preserve">CAROLINA GUTIERREZ </t>
  </si>
  <si>
    <t>ALASKA</t>
  </si>
  <si>
    <t>LINA MARIA GARCIA</t>
  </si>
  <si>
    <t>BELLOTA</t>
  </si>
  <si>
    <t>LUISA VALENTINA TAIMBU</t>
  </si>
  <si>
    <t xml:space="preserve">NEGRA </t>
  </si>
  <si>
    <t xml:space="preserve">MELISSA MEZA </t>
  </si>
  <si>
    <t xml:space="preserve">MECHAS </t>
  </si>
  <si>
    <t>PANCHA</t>
  </si>
  <si>
    <t xml:space="preserve">CHIA </t>
  </si>
  <si>
    <t xml:space="preserve">MARIA ALEJANDRA MEJIA </t>
  </si>
  <si>
    <t xml:space="preserve">FECHA </t>
  </si>
  <si>
    <t>NUEVO</t>
  </si>
  <si>
    <t>PAUTA</t>
  </si>
  <si>
    <t xml:space="preserve">MARGARITA MARMOLEJO </t>
  </si>
  <si>
    <t xml:space="preserve">ANA AMRIA AGUDELO </t>
  </si>
  <si>
    <t xml:space="preserve">VALENTINO </t>
  </si>
  <si>
    <t xml:space="preserve">ESTEFANIA CHAVEZ </t>
  </si>
  <si>
    <t xml:space="preserve">ESTEFANIA HERNANDEZ </t>
  </si>
  <si>
    <t xml:space="preserve">DIVIER RIVERRA </t>
  </si>
  <si>
    <t xml:space="preserve">BENJI </t>
  </si>
  <si>
    <t>SI</t>
  </si>
  <si>
    <t xml:space="preserve">MARIA CLEMENCIA DAVILA </t>
  </si>
  <si>
    <t xml:space="preserve">FATIMA </t>
  </si>
  <si>
    <t xml:space="preserve">MARCO </t>
  </si>
  <si>
    <t xml:space="preserve">NELLY LOPEZ </t>
  </si>
  <si>
    <t>DANNA</t>
  </si>
  <si>
    <t>LINA MARCELA OSPINA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</si>
</sst>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0.0"/>
    <numFmt numFmtId="166" formatCode="dd/mm/yyyy"/>
    <numFmt numFmtId="167" formatCode="d.m"/>
    <numFmt numFmtId="168" formatCode="d/m/yyyy"/>
  </numFmts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3C4043"/>
      <name val="Arial"/>
    </font>
    <font>
      <sz val="12.0"/>
      <color rgb="FF000000"/>
      <name val="Arial"/>
    </font>
    <font>
      <b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1" fillId="0" fontId="4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2" fontId="4" numFmtId="164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0" fillId="0" fontId="4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ñorita eva" id="{0346ec8f-e255-4e0f-8f10-7cae5c42867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6" dT="2026-01-20T15:58:41.00" personId="{0346ec8f-e255-4e0f-8f10-7cae5c428675}" id="{8d44b088-6af9-4896-b282-fb56af371d55}" done="0">
    <x18tc:text xml:space="preserve">tarjeta</x18tc:text>
  </x18tc:threadedComment>
  <x18tc:threadedComment ref="H73" dT="2026-01-20T16:06:32.00" personId="{0346ec8f-e255-4e0f-8f10-7cae5c428675}" id="{71bd578f-a6a8-45b1-83fd-f0f895d53edc}" done="0">
    <x18tc:text xml:space="preserve">tarjeta</x18tc:text>
  </x18tc:threadedComment>
  <x18tc:threadedComment ref="H94" dT="2026-01-23T17:01:13.00" personId="{0346ec8f-e255-4e0f-8f10-7cae5c428675}" id="{88a6aa3c-b0fc-4dce-a8bc-9153580da90d}" done="0">
    <x18tc:text xml:space="preserve">tarjeta</x18tc:text>
  </x18tc:threadedComment>
  <x18tc:threadedComment ref="H136" dT="2026-01-28T22:30:12.00" personId="{0346ec8f-e255-4e0f-8f10-7cae5c428675}" id="{7d60b255-9354-4855-b262-5d11a1eb3cfd}" done="0">
    <x18tc:text xml:space="preserve">transferencia</x18tc:text>
  </x18tc:threadedComment>
  <x18tc:threadedComment ref="H39" dT="2026-01-13T16:53:13.00" personId="{0346ec8f-e255-4e0f-8f10-7cae5c428675}" id="{bdfc6637-116b-41f3-9992-f9a52318f2bc}" done="0">
    <x18tc:text xml:space="preserve">tarjeta</x18tc:text>
  </x18tc:threadedComment>
  <x18tc:threadedComment ref="H47" dT="2026-01-14T22:14:57.00" personId="{0346ec8f-e255-4e0f-8f10-7cae5c428675}" id="{33116b23-e159-476d-acc7-2b3a101e8ec4}" done="0">
    <x18tc:text xml:space="preserve">transferencia</x18tc:text>
  </x18tc:threadedComment>
  <x18tc:threadedComment ref="H118" dT="2026-01-26T19:10:40.00" personId="{0346ec8f-e255-4e0f-8f10-7cae5c428675}" id="{a9f25cec-e6bf-4f61-a0cc-97ea9e0f7456}" done="0">
    <x18tc:text xml:space="preserve">tarjeta</x18tc:text>
  </x18tc:threadedComment>
  <x18tc:threadedComment ref="H93" dT="2026-01-23T16:29:25.00" personId="{0346ec8f-e255-4e0f-8f10-7cae5c428675}" id="{1bb99c9c-75a0-4f8a-83de-ad9bcda3a07a}" done="0">
    <x18tc:text xml:space="preserve">tarjeta</x18tc:text>
  </x18tc:threadedComment>
  <x18tc:threadedComment ref="H46" dT="2026-01-14T21:38:15.00" personId="{0346ec8f-e255-4e0f-8f10-7cae5c428675}" id="{cd8eea82-6986-4dfd-8fe6-a700fd0501c3}" done="0">
    <x18tc:text xml:space="preserve">transferencia</x18tc:text>
  </x18tc:threadedComment>
  <x18tc:threadedComment ref="H38" dT="2026-01-13T14:41:56.00" personId="{0346ec8f-e255-4e0f-8f10-7cae5c428675}" id="{151b7354-e65c-4f89-9f0d-f042320d2b6a}" done="0">
    <x18tc:text xml:space="preserve">transferencia</x18tc:text>
  </x18tc:threadedComment>
  <x18tc:threadedComment ref="H40" dT="2026-01-13T19:27:13.00" personId="{0346ec8f-e255-4e0f-8f10-7cae5c428675}" id="{bfd3ef8c-d664-42d8-8fab-04786a87cb55}" done="0">
    <x18tc:text xml:space="preserve">TRANSFERENCIA + FACTURA</x18tc:text>
  </x18tc:threadedComment>
  <x18tc:threadedComment ref="H135" dT="2026-01-28T22:22:24.00" personId="{0346ec8f-e255-4e0f-8f10-7cae5c428675}" id="{60707632-9687-4737-a526-440ffd46894a}" done="0">
    <x18tc:text xml:space="preserve">tarjeta</x18tc:text>
  </x18tc:threadedComment>
  <x18tc:threadedComment ref="H14" dT="2026-01-06T20:53:24.00" personId="{0346ec8f-e255-4e0f-8f10-7cae5c428675}" id="{3b9fa342-2bc3-4cc8-a385-d3c1fd8bd5ba}" done="0">
    <x18tc:text xml:space="preserve">transferencia</x18tc:text>
  </x18tc:threadedComment>
  <x18tc:threadedComment ref="H80" dT="2026-01-21T13:34:01.00" personId="{0346ec8f-e255-4e0f-8f10-7cae5c428675}" id="{fffc988a-9f08-45b8-b725-882b21f2b6bb}" done="0">
    <x18tc:text xml:space="preserve">factura</x18tc:text>
  </x18tc:threadedComment>
  <x18tc:threadedComment ref="H128" dT="2026-01-27T19:50:42.00" personId="{0346ec8f-e255-4e0f-8f10-7cae5c428675}" id="{984cde8f-38e3-4d6a-8a04-5c43a19353dd}" done="0">
    <x18tc:text xml:space="preserve">FACTURA + TARJETA</x18tc:text>
  </x18tc:threadedComment>
  <x18tc:threadedComment ref="H125" dT="2026-01-27T21:24:37.00" personId="{0346ec8f-e255-4e0f-8f10-7cae5c428675}" id="{c0847cea-4321-45c2-b500-2bd6a527b219}" done="0">
    <x18tc:text xml:space="preserve">FACTURA + EFECTIVO</x18tc:text>
  </x18tc:threadedComment>
  <x18tc:threadedComment ref="H87" dT="2026-01-23T13:21:47.00" personId="{0346ec8f-e255-4e0f-8f10-7cae5c428675}" id="{53ec57d5-0bbb-486f-a90b-1b1965b3d5df}" done="0">
    <x18tc:text xml:space="preserve">tarjeta</x18tc:text>
  </x18tc:threadedComment>
  <x18tc:threadedComment ref="H45" dT="2026-01-14T16:34:53.00" personId="{0346ec8f-e255-4e0f-8f10-7cae5c428675}" id="{b1f55922-c695-423f-8ce5-770be7973aaf}" done="0">
    <x18tc:text xml:space="preserve">tarjeta</x18tc:text>
  </x18tc:threadedComment>
  <x18tc:threadedComment ref="H7" dT="2026-01-05T20:29:12.00" personId="{0346ec8f-e255-4e0f-8f10-7cae5c428675}" id="{f78e8441-5200-444e-85c9-f90fb21b880c}" done="0">
    <x18tc:text xml:space="preserve">TARJETA</x18tc:text>
  </x18tc:threadedComment>
  <x18tc:threadedComment ref="H123" dT="2026-01-27T20:27:30.00" personId="{0346ec8f-e255-4e0f-8f10-7cae5c428675}" id="{4bca9f9d-bfbd-4fad-8404-1b624cc8908c}" done="0">
    <x18tc:text xml:space="preserve">transferencia</x18tc:text>
  </x18tc:threadedComment>
  <x18tc:threadedComment ref="H36" dT="2026-01-13T12:57:05.00" personId="{0346ec8f-e255-4e0f-8f10-7cae5c428675}" id="{609c7fd7-378e-434b-94e7-0795bdb825dd}" done="0">
    <x18tc:text xml:space="preserve">transferencia</x18tc:text>
  </x18tc:threadedComment>
  <x18tc:threadedComment ref="H51" dT="2026-01-19T13:25:40.00" personId="{0346ec8f-e255-4e0f-8f10-7cae5c428675}" id="{51846350-07c1-462a-82e3-f0e9954c1854}" done="0">
    <x18tc:text xml:space="preserve">transferencia</x18tc:text>
  </x18tc:threadedComment>
  <x18tc:threadedComment ref="H106" dT="2026-01-24T19:12:04.00" personId="{0346ec8f-e255-4e0f-8f10-7cae5c428675}" id="{dce137a8-f7e5-4d63-984c-d9d8022e81a8}" done="0">
    <x18tc:text xml:space="preserve">transferencia</x18tc:text>
  </x18tc:threadedComment>
  <x18tc:threadedComment ref="H52" dT="2026-01-19T13:25:46.00" personId="{0346ec8f-e255-4e0f-8f10-7cae5c428675}" id="{51f1d361-86b7-4cae-ab17-f5e3371a56f4}" done="0">
    <x18tc:text xml:space="preserve">transferencia</x18tc:text>
  </x18tc:threadedComment>
  <x18tc:threadedComment ref="H89" dT="2026-01-22T21:25:45.00" personId="{0346ec8f-e255-4e0f-8f10-7cae5c428675}" id="{2688ab71-5e5f-48fe-b757-829948e4348c}" done="0">
    <x18tc:text xml:space="preserve">TRANSFERENCIA</x18tc:text>
  </x18tc:threadedComment>
  <x18tc:threadedComment ref="H130" dT="2026-01-27T22:58:32.00" personId="{0346ec8f-e255-4e0f-8f10-7cae5c428675}" id="{400bc973-8ecf-4044-b7f5-a256cdaa5e87}" done="0">
    <x18tc:text xml:space="preserve">tarjeta</x18tc:text>
  </x18tc:threadedComment>
  <x18tc:threadedComment ref="H142" dT="2026-01-29T22:38:42.00" personId="{0346ec8f-e255-4e0f-8f10-7cae5c428675}" id="{782882c7-9202-437a-a5df-6dcb3c1977a3}" done="0">
    <x18tc:text xml:space="preserve">tarjeta</x18tc:text>
  </x18tc:threadedComment>
  <x18tc:threadedComment ref="H88" dT="2026-01-22T20:31:07.00" personId="{0346ec8f-e255-4e0f-8f10-7cae5c428675}" id="{12a78102-3a87-4247-8389-642340dfd7af}" done="0">
    <x18tc:text xml:space="preserve">TRANSFERENCIA</x18tc:text>
  </x18tc:threadedComment>
  <x18tc:threadedComment ref="H143" dT="2026-01-29T22:38:36.00" personId="{0346ec8f-e255-4e0f-8f10-7cae5c428675}" id="{26010998-1cda-4422-a5b3-04444e08afd7}" done="0">
    <x18tc:text xml:space="preserve">tarjeta</x18tc:text>
  </x18tc:threadedComment>
  <x18tc:threadedComment ref="H95" dT="2026-01-24T13:31:36.00" personId="{0346ec8f-e255-4e0f-8f10-7cae5c428675}" id="{83bebd23-27c6-4b8b-9bf9-c44cee035738}" done="0">
    <x18tc:text xml:space="preserve">transferencia</x18tc:text>
  </x18tc:threadedComment>
  <x18tc:threadedComment ref="H85" dT="2026-01-21T22:27:54.00" personId="{0346ec8f-e255-4e0f-8f10-7cae5c428675}" id="{b6d0c008-e7bc-437d-a3d4-b444b4de1742}" done="0">
    <x18tc:text xml:space="preserve">TRANSFERENCIA</x18tc:text>
  </x18tc:threadedComment>
  <x18tc:threadedComment ref="H24" dT="2026-01-08T22:16:38.00" personId="{0346ec8f-e255-4e0f-8f10-7cae5c428675}" id="{d5d8ce17-710e-424e-9e93-e6432bd4ab5f}" done="0">
    <x18tc:text xml:space="preserve">transferencia</x18tc:text>
  </x18tc:threadedComment>
  <x18tc:threadedComment ref="H84" dT="2026-01-21T22:27:47.00" personId="{0346ec8f-e255-4e0f-8f10-7cae5c428675}" id="{af4674b3-d403-40df-9bb4-7e4ff0b881b7}" done="0">
    <x18tc:text xml:space="preserve">TRANSFERENCIA</x18tc:text>
  </x18tc:threadedComment>
  <x18tc:threadedComment ref="H35" dT="2026-01-10T19:03:05.00" personId="{0346ec8f-e255-4e0f-8f10-7cae5c428675}" id="{0ef2c8ce-be5b-4486-89cb-c3300da20c4c}" done="0">
    <x18tc:text xml:space="preserve">tarjeta</x18tc:text>
  </x18tc:threadedComment>
  <x18tc:threadedComment ref="H99" dT="2026-01-23T20:47:05.00" personId="{0346ec8f-e255-4e0f-8f10-7cae5c428675}" id="{10462d5b-b978-43a2-a7c6-12b690bf336b}" done="0">
    <x18tc:text xml:space="preserve">TRANSFERENCIA</x18tc:text>
  </x18tc:threadedComment>
  <x18tc:threadedComment ref="H23" dT="2026-01-08T16:13:40.00" personId="{0346ec8f-e255-4e0f-8f10-7cae5c428675}" id="{c6675585-5475-4271-a65a-3c277d00cd56}" done="0">
    <x18tc:text xml:space="preserve">TARJETA</x18tc:text>
  </x18tc:threadedComment>
  <x18tc:threadedComment ref="H119" dT="2026-01-26T21:57:13.00" personId="{0346ec8f-e255-4e0f-8f10-7cae5c428675}" id="{96916e71-306a-442d-a473-78d610fb37bc}" done="0">
    <x18tc:text xml:space="preserve">tarjeta</x18tc:text>
  </x18tc:threadedComment>
  <x18tc:threadedComment ref="H162" dT="2026-01-31T21:51:06.00" personId="{0346ec8f-e255-4e0f-8f10-7cae5c428675}" id="{517482e9-4c24-4d9f-8d31-c021e24a7b90}" done="0">
    <x18tc:text xml:space="preserve">TRANSFERENCIA</x18tc:text>
  </x18tc:threadedComment>
  <x18tc:threadedComment ref="H158" dT="2026-01-31T22:49:32.00" personId="{0346ec8f-e255-4e0f-8f10-7cae5c428675}" id="{72b20c0d-97cb-41ba-a2a0-7e1005d208cf}" done="0">
    <x18tc:text xml:space="preserve">factura</x18tc:text>
  </x18tc:threadedComment>
  <x18tc:threadedComment ref="H161" dT="2026-01-31T22:55:15.00" personId="{0346ec8f-e255-4e0f-8f10-7cae5c428675}" id="{3ff0ddfd-cc5a-4f10-90a9-bce99e27dc15}" done="0">
    <x18tc:text xml:space="preserve">transferencia</x18tc:text>
  </x18tc:threadedComment>
  <x18tc:threadedComment ref="H90" dT="2026-01-22T20:32:14.00" personId="{0346ec8f-e255-4e0f-8f10-7cae5c428675}" id="{c707365a-ca4e-4ccb-99f2-e57f1f60f0e0}" done="0">
    <x18tc:text xml:space="preserve">TRANSFERENCIA</x18tc:text>
  </x18tc:threadedComment>
  <x18tc:threadedComment ref="H105" dT="2026-01-24T17:08:56.00" personId="{0346ec8f-e255-4e0f-8f10-7cae5c428675}" id="{f91fc98a-6858-4129-a6bd-a66dcb069902}" done="0">
    <x18tc:text xml:space="preserve">TRANSFERENCIA</x18tc:text>
  </x18tc:threadedComment>
  <x18tc:threadedComment ref="H114" dT="2026-01-26T15:28:53.00" personId="{0346ec8f-e255-4e0f-8f10-7cae5c428675}" id="{e541dac8-e4e7-4e7b-95eb-6be77778b5ea}" done="0">
    <x18tc:text xml:space="preserve">transferencia</x18tc:text>
  </x18tc:threadedComment>
  <x18tc:threadedComment ref="H109" dT="2026-01-24T16:56:43.00" personId="{0346ec8f-e255-4e0f-8f10-7cae5c428675}" id="{2957abbe-0732-4c5c-87ab-778033e988f9}" done="0">
    <x18tc:text xml:space="preserve">TRANSFERENCIA</x18tc:text>
  </x18tc:threadedComment>
  <x18tc:threadedComment ref="H16" dT="2026-01-08T15:25:40.00" personId="{0346ec8f-e255-4e0f-8f10-7cae5c428675}" id="{4e9b7ba8-83c0-4fce-a343-ff410e559413}" done="0">
    <x18tc:text xml:space="preserve">TRANSFERENCIA</x18tc:text>
  </x18tc:threadedComment>
  <x18tc:threadedComment ref="H111" dT="2026-01-24T17:01:00.00" personId="{0346ec8f-e255-4e0f-8f10-7cae5c428675}" id="{a4886a61-67a1-4604-825b-c4bb0529a31b}" done="0">
    <x18tc:text xml:space="preserve">TGARJETA</x18tc:text>
  </x18tc:threadedComment>
  <x18tc:threadedComment ref="H156" dT="2026-01-31T21:01:14.00" personId="{0346ec8f-e255-4e0f-8f10-7cae5c428675}" id="{232e0470-2005-4d55-a185-f64b3b1f7a53}" done="0">
    <x18tc:text xml:space="preserve">TRANSFERENCIA</x18tc:text>
  </x18tc:threadedComment>
  <x18tc:threadedComment ref="H17" dT="2026-01-08T15:25:46.00" personId="{0346ec8f-e255-4e0f-8f10-7cae5c428675}" id="{fae57356-b4ca-4399-9cbf-c3148afcfa9f}" done="0">
    <x18tc:text xml:space="preserve">TRANSFERENCIA</x18tc:text>
  </x18tc:threadedComment>
  <x18tc:threadedComment ref="H112" dT="2026-01-24T17:01:07.00" personId="{0346ec8f-e255-4e0f-8f10-7cae5c428675}" id="{e158deaa-669c-467b-a87f-a71c582d3225}" done="0">
    <x18tc:text xml:space="preserve">TARJETA</x18tc:text>
  </x18tc:threadedComment>
  <x18tc:threadedComment ref="H157" dT="2026-01-31T21:01:08.00" personId="{0346ec8f-e255-4e0f-8f10-7cae5c428675}" id="{ac6cc93c-9c1a-4346-becb-cd09de76c018}" done="0">
    <x18tc:text xml:space="preserve">TRANSFERENCIA</x18tc:text>
  </x18tc:threadedComment>
  <x18tc:threadedComment ref="H27" dT="2026-01-09T13:14:30.00" personId="{0346ec8f-e255-4e0f-8f10-7cae5c428675}" id="{c6575ddf-291b-4021-b75f-5684767c34ed}" done="0">
    <x18tc:text xml:space="preserve">60 efectivo
30 transferewncia</x18tc:text>
  </x18tc:threadedComment>
  <x18tc:threadedComment ref="H132" dT="2026-01-28T15:52:51.00" personId="{0346ec8f-e255-4e0f-8f10-7cae5c428675}" id="{e08e894e-2f1a-4d30-a6bd-f6c45285f144}" done="0">
    <x18tc:text xml:space="preserve">factrura + tarjeta</x18tc:text>
  </x18tc:threadedComment>
  <x18tc:threadedComment ref="H8" dT="2026-01-05T20:29:18.00" personId="{0346ec8f-e255-4e0f-8f10-7cae5c428675}" id="{50d5e8dc-71cd-4fd7-bbe4-8847972d3dd5}" done="0">
    <x18tc:text xml:space="preserve">TARJETA</x18tc:text>
  </x18tc:threadedComment>
  <x18tc:threadedComment ref="H133" dT="2026-01-28T15:27:20.00" personId="{0346ec8f-e255-4e0f-8f10-7cae5c428675}" id="{3a2b6f69-db5c-4ea1-a438-872642592540}" done="0">
    <x18tc:text xml:space="preserve">transferencia</x18tc:text>
  </x18tc:threadedComment>
  <x18tc:threadedComment ref="H58" dT="2026-01-17T16:41:45.00" personId="{0346ec8f-e255-4e0f-8f10-7cae5c428675}" id="{61208e2b-cd09-497e-b2c4-390d0c19f52d}" done="0">
    <x18tc:text xml:space="preserve">TARJETA</x18tc:text>
  </x18tc:threadedComment>
  <x18tc:threadedComment ref="H148" dT="2026-01-30T20:42:19.00" personId="{0346ec8f-e255-4e0f-8f10-7cae5c428675}" id="{810ab48f-2938-4fe6-a5e6-0dd420a4d028}" done="0">
    <x18tc:text xml:space="preserve">transferencia</x18tc:text>
  </x18tc:threadedComment>
  <x18tc:threadedComment ref="H134" dT="2026-01-28T15:24:04.00" personId="{0346ec8f-e255-4e0f-8f10-7cae5c428675}" id="{3c5146f0-e0f4-46d0-8160-8b06fda24165}" done="0">
    <x18tc:text xml:space="preserve">transferencia</x18tc:text>
  </x18tc:threadedComment>
  <x18tc:threadedComment ref="H86" dT="2026-01-22T15:55:36.00" personId="{0346ec8f-e255-4e0f-8f10-7cae5c428675}" id="{2cb92f79-68e3-4d72-97d5-7a6f87f6c621}" done="0">
    <x18tc:text xml:space="preserve">TRANSFERENCIA</x18tc:text>
  </x18tc:threadedComment>
  <x18tc:threadedComment ref="H152" dT="2026-01-31T13:43:59.00" personId="{0346ec8f-e255-4e0f-8f10-7cae5c428675}" id="{51252554-23af-420d-967b-bd38188afb99}" done="0">
    <x18tc:text xml:space="preserve">transferencia</x18tc:text>
  </x18tc:threadedComment>
  <x18tc:threadedComment ref="H67" dT="2026-01-19T17:10:42.00" personId="{0346ec8f-e255-4e0f-8f10-7cae5c428675}" id="{f9cbe176-eca5-417f-8449-7f833d722cc0}" done="0">
    <x18tc:text xml:space="preserve">TRANSFERENCIA</x18tc:text>
  </x18tc:threadedComment>
  <x18tc:threadedComment ref="H28" dT="2026-01-09T16:05:20.00" personId="{0346ec8f-e255-4e0f-8f10-7cae5c428675}" id="{851f3891-ec67-470f-bd47-d064ff2d4d39}" done="0">
    <x18tc:text xml:space="preserve">TARJETA</x18tc:text>
  </x18tc:threadedComment>
  <x18tc:threadedComment ref="H122" dT="2026-01-27T13:23:58.00" personId="{0346ec8f-e255-4e0f-8f10-7cae5c428675}" id="{00e068d7-3d8b-4693-a16b-a26bcf5ddb4a}" done="0">
    <x18tc:text xml:space="preserve">TARJETA</x18tc:text>
  </x18tc:threadedComment>
  <x18tc:threadedComment ref="H83" dT="2026-01-21T19:09:43.00" personId="{0346ec8f-e255-4e0f-8f10-7cae5c428675}" id="{50a4ec4e-2a23-4426-973f-597fec54ac1e}" done="0">
    <x18tc:text xml:space="preserve">Transferencia</x18tc:text>
  </x18tc:threadedComment>
  <x18tc:threadedComment ref="H10" dT="2026-01-06T17:01:02.00" personId="{0346ec8f-e255-4e0f-8f10-7cae5c428675}" id="{378a4968-e6b4-43b3-9f82-2d70d3dea89f}" done="0">
    <x18tc:text xml:space="preserve">transferencia</x18tc:text>
  </x18tc:threadedComment>
  <x18tc:threadedComment ref="H11" dT="2026-01-06T16:57:55.00" personId="{0346ec8f-e255-4e0f-8f10-7cae5c428675}" id="{029f2e31-2adf-463e-affb-8638204849c6}" done="0">
    <x18tc:text xml:space="preserve">tarjeta</x18tc:text>
  </x18tc:threadedComment>
  <x18tc:threadedComment ref="H81" dT="2026-01-22T13:44:01.00" personId="{0346ec8f-e255-4e0f-8f10-7cae5c428675}" id="{526624f4-07e6-4814-aac7-bf1263d7f4e6}" done="0">
    <x18tc:text xml:space="preserve">tarjeta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33" dT="2026-02-21T20:30:54.00" personId="{0346ec8f-e255-4e0f-8f10-7cae5c428675}" id="{0f3f081b-aba1-4e11-8394-82e385c727d2}" done="0">
    <x18tc:text xml:space="preserve">tarjeta
1 reacción en total
señorita eva ha reaccionado con 😍 a las 2026-02-21 20:30 PM</x18tc:text>
  </x18tc:threadedComment>
  <x18tc:threadedComment ref="H95" dT="2026-02-18T13:46:24.00" personId="{0346ec8f-e255-4e0f-8f10-7cae5c428675}" id="{47e43eac-b326-4164-813d-1af5f315b478}" done="0">
    <x18tc:text xml:space="preserve">transferencia</x18tc:text>
  </x18tc:threadedComment>
  <x18tc:threadedComment ref="H64" dT="2026-02-12T20:58:32.00" personId="{0346ec8f-e255-4e0f-8f10-7cae5c428675}" id="{86af01d1-9f29-41df-aa84-a82333fb344d}" done="0">
    <x18tc:text xml:space="preserve">TRANSFERENCIA</x18tc:text>
  </x18tc:threadedComment>
  <x18tc:threadedComment ref="H126" dT="2026-02-21T20:29:16.00" personId="{0346ec8f-e255-4e0f-8f10-7cae5c428675}" id="{f3933e23-69de-408d-9744-6794eb593506}" done="0">
    <x18tc:text xml:space="preserve">TARJETA</x18tc:text>
  </x18tc:threadedComment>
  <x18tc:threadedComment ref="H91" dT="2026-02-17T15:44:50.00" personId="{0346ec8f-e255-4e0f-8f10-7cae5c428675}" id="{a869c061-939b-4248-acba-537e0c993e5d}" done="0">
    <x18tc:text xml:space="preserve">Transferencia</x18tc:text>
  </x18tc:threadedComment>
  <x18tc:threadedComment ref="H92" dT="2026-02-17T16:23:01.00" personId="{0346ec8f-e255-4e0f-8f10-7cae5c428675}" id="{248b8eab-7b25-43ee-bdaf-77bcc32b0e6b}" done="0">
    <x18tc:text xml:space="preserve">transferencia</x18tc:text>
  </x18tc:threadedComment>
  <x18tc:threadedComment ref="H148" dT="2026-02-25T20:23:21.00" personId="{0346ec8f-e255-4e0f-8f10-7cae5c428675}" id="{394bad53-8b9b-472e-82b4-1f3895d7eb78}" done="0">
    <x18tc:text xml:space="preserve">TAREJTA</x18tc:text>
  </x18tc:threadedComment>
  <x18tc:threadedComment ref="H123" dT="2026-02-21T18:48:05.00" personId="{0346ec8f-e255-4e0f-8f10-7cae5c428675}" id="{38a65a3d-5c43-4fe4-a24e-97e158a7434c}" done="0">
    <x18tc:text xml:space="preserve">TARJETA</x18tc:text>
  </x18tc:threadedComment>
  <x18tc:threadedComment ref="H139" dT="2026-02-24T13:41:53.00" personId="{0346ec8f-e255-4e0f-8f10-7cae5c428675}" id="{36e31f99-0a36-4d47-a27e-7665ca9f6c5a}" done="0">
    <x18tc:text xml:space="preserve">transferencia</x18tc:text>
  </x18tc:threadedComment>
  <x18tc:threadedComment ref="H140" dT="2026-02-24T13:41:47.00" personId="{0346ec8f-e255-4e0f-8f10-7cae5c428675}" id="{21d6c8c0-a9ed-4dbf-8642-936349fca7a3}" done="0">
    <x18tc:text xml:space="preserve">transferencia</x18tc:text>
  </x18tc:threadedComment>
  <x18tc:threadedComment ref="H19" dT="2026-02-04T13:00:22.00" personId="{0346ec8f-e255-4e0f-8f10-7cae5c428675}" id="{11e1a180-5881-46bc-a43e-ec18b061096b}" done="0">
    <x18tc:text xml:space="preserve">transferencia</x18tc:text>
  </x18tc:threadedComment>
  <x18tc:threadedComment ref="H122" dT="2026-02-21T18:48:00.00" personId="{0346ec8f-e255-4e0f-8f10-7cae5c428675}" id="{0b358362-86a0-4ca1-8b3f-6ab21a8a7d5d}" done="0">
    <x18tc:text xml:space="preserve">TARJETA</x18tc:text>
  </x18tc:threadedComment>
  <x18tc:threadedComment ref="H142" dT="2026-02-24T16:59:47.00" personId="{0346ec8f-e255-4e0f-8f10-7cae5c428675}" id="{9f6b03dc-4711-4508-9e15-58c0f5ab4436}" done="0">
    <x18tc:text xml:space="preserve">transferencia</x18tc:text>
  </x18tc:threadedComment>
  <x18tc:threadedComment ref="H62" dT="2026-02-12T15:22:49.00" personId="{0346ec8f-e255-4e0f-8f10-7cae5c428675}" id="{57b6015d-8a55-486d-9225-51eb5fdfe781}" done="0">
    <x18tc:text xml:space="preserve">FACTURA</x18tc:text>
  </x18tc:threadedComment>
  <x18tc:threadedComment ref="H47" dT="2026-02-09T14:43:00.00" personId="{0346ec8f-e255-4e0f-8f10-7cae5c428675}" id="{d755c77d-33c6-4ee1-9f05-9199cead0094}" done="0">
    <x18tc:text xml:space="preserve">transferencia</x18tc:text>
  </x18tc:threadedComment>
  <x18tc:threadedComment ref="H45" dT="2026-02-07T22:24:32.00" personId="{0346ec8f-e255-4e0f-8f10-7cae5c428675}" id="{a420ece9-a2e5-481c-94e5-2d3030206396}" done="0">
    <x18tc:text xml:space="preserve">tarjeta</x18tc:text>
  </x18tc:threadedComment>
  <x18tc:threadedComment ref="H13" dT="2026-02-03T13:36:54.00" personId="{0346ec8f-e255-4e0f-8f10-7cae5c428675}" id="{549f2a4e-e3d5-4039-898f-3ee76f5e3178}" done="0">
    <x18tc:text xml:space="preserve">TRANSFERENCIA</x18tc:text>
  </x18tc:threadedComment>
  <x18tc:threadedComment ref="H137" dT="2026-02-24T13:41:32.00" personId="{0346ec8f-e255-4e0f-8f10-7cae5c428675}" id="{34880d44-d65a-46c9-8773-b28dd08d9442}" done="0">
    <x18tc:text xml:space="preserve">transferencia</x18tc:text>
  </x18tc:threadedComment>
  <x18tc:threadedComment ref="H87" dT="2026-02-16T16:47:12.00" personId="{0346ec8f-e255-4e0f-8f10-7cae5c428675}" id="{b8c4919b-9840-40dc-a208-f49e23c18cee}" done="0">
    <x18tc:text xml:space="preserve">tarjeta</x18tc:text>
  </x18tc:threadedComment>
  <x18tc:threadedComment ref="H89" dT="2026-02-16T17:16:15.00" personId="{0346ec8f-e255-4e0f-8f10-7cae5c428675}" id="{076b2ffb-aeee-427a-9c8f-c065f7cc2c22}" done="0">
    <x18tc:text xml:space="preserve">tarjeta</x18tc:text>
  </x18tc:threadedComment>
  <x18tc:threadedComment ref="H138" dT="2026-02-24T13:41:40.00" personId="{0346ec8f-e255-4e0f-8f10-7cae5c428675}" id="{ed463850-7646-41ae-8bd7-754655976e8b}" done="0">
    <x18tc:text xml:space="preserve">transferencia</x18tc:text>
  </x18tc:threadedComment>
  <x18tc:threadedComment ref="H88" dT="2026-02-16T16:47:18.00" personId="{0346ec8f-e255-4e0f-8f10-7cae5c428675}" id="{909f4b2a-f2d6-4c54-a34c-99ce31d9d5c1}" done="0">
    <x18tc:text xml:space="preserve">tarjeta</x18tc:text>
  </x18tc:threadedComment>
  <x18tc:threadedComment ref="H61" dT="2026-02-12T15:22:35.00" personId="{0346ec8f-e255-4e0f-8f10-7cae5c428675}" id="{f60de53c-ffa2-4126-a2ba-4bd2163a1e21}" done="0">
    <x18tc:text xml:space="preserve">TRANSFERENCIA</x18tc:text>
  </x18tc:threadedComment>
  <x18tc:threadedComment ref="H78" dT="2026-02-14T19:22:04.00" personId="{0346ec8f-e255-4e0f-8f10-7cae5c428675}" id="{2d8c82ac-3e2a-47ca-a8ca-4d8b1729c1b3}" done="0">
    <x18tc:text xml:space="preserve">tarjeta</x18tc:text>
  </x18tc:threadedComment>
  <x18tc:threadedComment ref="H59" dT="2026-02-11T19:59:13.00" personId="{0346ec8f-e255-4e0f-8f10-7cae5c428675}" id="{9dd15d45-3cb0-472c-b42d-d938b25b47e2}" done="0">
    <x18tc:text xml:space="preserve">TRANSFERENCIA</x18tc:text>
  </x18tc:threadedComment>
  <x18tc:threadedComment ref="H83" dT="2026-02-14T19:22:41.00" personId="{0346ec8f-e255-4e0f-8f10-7cae5c428675}" id="{315989cc-0e9d-4dd9-a0e5-e6c783ce2d0a}" done="0">
    <x18tc:text xml:space="preserve">TARJETA</x18tc:text>
  </x18tc:threadedComment>
  <x18tc:threadedComment ref="H66" dT="2026-02-12T22:34:53.00" personId="{0346ec8f-e255-4e0f-8f10-7cae5c428675}" id="{3da9fe4e-28bc-45ae-8b22-04c5d2964114}" done="0">
    <x18tc:text xml:space="preserve">TRANSFERENCIA</x18tc:text>
  </x18tc:threadedComment>
  <x18tc:threadedComment ref="H104" dT="2026-02-19T16:50:19.00" personId="{0346ec8f-e255-4e0f-8f10-7cae5c428675}" id="{d5f68e80-870f-4dd6-8d21-8c62ac01fd0c}" done="0">
    <x18tc:text xml:space="preserve">TRANSFRENCIA</x18tc:text>
  </x18tc:threadedComment>
  <x18tc:threadedComment ref="H4" dT="2026-02-02T15:58:59.00" personId="{0346ec8f-e255-4e0f-8f10-7cae5c428675}" id="{0d305da6-8bec-47de-9da8-0bd832b9443d}" done="0">
    <x18tc:text xml:space="preserve">transferencia</x18tc:text>
  </x18tc:threadedComment>
  <x18tc:threadedComment ref="H153" dT="2026-02-26T19:10:07.00" personId="{0346ec8f-e255-4e0f-8f10-7cae5c428675}" id="{c2380618-60c6-4d76-9123-d9c4ad6fe65d}" done="0">
    <x18tc:text xml:space="preserve">transferencia</x18tc:text>
  </x18tc:threadedComment>
  <x18tc:threadedComment ref="H106" dT="2026-02-19T18:56:03.00" personId="{0346ec8f-e255-4e0f-8f10-7cae5c428675}" id="{97c2c08b-1092-4b4c-95d8-65dc2aeaee7a}" done="0">
    <x18tc:text xml:space="preserve">TRANSFERENCIA</x18tc:text>
  </x18tc:threadedComment>
  <x18tc:threadedComment ref="H9" dT="2026-02-02T21:36:41.00" personId="{0346ec8f-e255-4e0f-8f10-7cae5c428675}" id="{ba8647c1-3b2b-44ea-817e-88dd976abcf4}" done="0">
    <x18tc:text xml:space="preserve">Tarjeta</x18tc:text>
  </x18tc:threadedComment>
  <x18tc:threadedComment ref="H2" dT="2026-02-02T16:05:52.00" personId="{0346ec8f-e255-4e0f-8f10-7cae5c428675}" id="{dddc6eda-7215-43d3-b63f-7981e8947913}" done="0">
    <x18tc:text xml:space="preserve">Transferencia</x18tc:text>
  </x18tc:threadedComment>
  <x18tc:threadedComment ref="H108" dT="2026-02-19T18:59:39.00" personId="{0346ec8f-e255-4e0f-8f10-7cae5c428675}" id="{2f80fc87-5317-47ac-a74d-12f68658725d}" done="0">
    <x18tc:text xml:space="preserve">TRANSFERENCIA</x18tc:text>
  </x18tc:threadedComment>
  <x18tc:threadedComment ref="H8" dT="2026-02-02T21:36:34.00" personId="{0346ec8f-e255-4e0f-8f10-7cae5c428675}" id="{f734157f-2632-4a6f-9c38-b3737bcf54a9}" done="0">
    <x18tc:text xml:space="preserve">Tarjeta</x18tc:text>
  </x18tc:threadedComment>
  <x18tc:threadedComment ref="H7" dT="2026-02-02T21:36:29.00" personId="{0346ec8f-e255-4e0f-8f10-7cae5c428675}" id="{a4034886-9856-43a8-b02e-558d592ad158}" done="0">
    <x18tc:text xml:space="preserve">Tarjeta</x18tc:text>
  </x18tc:threadedComment>
  <x18tc:threadedComment ref="H155" dT="2026-02-26T19:16:14.00" personId="{0346ec8f-e255-4e0f-8f10-7cae5c428675}" id="{ce231a7d-e5f7-4326-80ea-bba276f659bb}" done="0">
    <x18tc:text xml:space="preserve">transferencia</x18tc:text>
  </x18tc:threadedComment>
  <x18tc:threadedComment ref="H100" dT="2026-02-18T19:19:02.00" personId="{0346ec8f-e255-4e0f-8f10-7cae5c428675}" id="{ef2b0de8-e0c5-40fc-9032-3fccc367c716}" done="0">
    <x18tc:text xml:space="preserve">TRANSFERENCIA</x18tc:text>
  </x18tc:threadedComment>
  <x18tc:threadedComment ref="H60" dT="2026-02-11T22:16:35.00" personId="{0346ec8f-e255-4e0f-8f10-7cae5c428675}" id="{eb5944f5-77fd-48c8-a825-e6e19c2f6e8f}" done="0">
    <x18tc:text xml:space="preserve">tarjeta</x18tc:text>
  </x18tc:threadedComment>
  <x18tc:threadedComment ref="H65" dT="2026-02-12T22:35:02.00" personId="{0346ec8f-e255-4e0f-8f10-7cae5c428675}" id="{33a46364-715f-4bf5-9bfe-16f4787241fa}" done="0">
    <x18tc:text xml:space="preserve">TRANSFERENCIA</x18tc:text>
  </x18tc:threadedComment>
  <x18tc:threadedComment ref="H3" dT="2026-02-02T14:49:25.00" personId="{0346ec8f-e255-4e0f-8f10-7cae5c428675}" id="{12e91242-c760-4360-af18-5208201a9eaf}" done="0">
    <x18tc:text xml:space="preserve">TARJETA</x18tc:text>
  </x18tc:threadedComment>
  <x18tc:threadedComment ref="H131" dT="2026-02-21T21:58:23.00" personId="{0346ec8f-e255-4e0f-8f10-7cae5c428675}" id="{b429eee1-c95c-4e43-a4b5-8e117b55e5bc}" done="0">
    <x18tc:text xml:space="preserve">transferencia</x18tc:text>
  </x18tc:threadedComment>
  <x18tc:threadedComment ref="H128" dT="2026-02-21T21:38:10.00" personId="{0346ec8f-e255-4e0f-8f10-7cae5c428675}" id="{c2dcfcb2-ff47-4a5a-b5cc-777c5d7da21d}" done="0">
    <x18tc:text xml:space="preserve">transferencia</x18tc:text>
  </x18tc:threadedComment>
  <x18tc:threadedComment ref="H127" dT="2026-02-21T21:38:03.00" personId="{0346ec8f-e255-4e0f-8f10-7cae5c428675}" id="{c797c753-0447-47a6-b9d3-51e292b376dd}" done="0">
    <x18tc:text xml:space="preserve">transferencia</x18tc:text>
  </x18tc:threadedComment>
  <x18tc:threadedComment ref="H32" dT="2026-02-05T16:07:20.00" personId="{0346ec8f-e255-4e0f-8f10-7cae5c428675}" id="{439be2cd-b6fa-419c-b99f-cad82d583c50}" done="0">
    <x18tc:text xml:space="preserve">transferencia</x18tc:text>
  </x18tc:threadedComment>
  <x18tc:threadedComment ref="H37" dT="2026-02-06T15:55:02.00" personId="{0346ec8f-e255-4e0f-8f10-7cae5c428675}" id="{2dd90f24-b7e1-4b0c-ac7b-1cffb8d1f1fc}" done="0">
    <x18tc:text xml:space="preserve">factura y tarjeta</x18tc:text>
  </x18tc:threadedComment>
  <x18tc:threadedComment ref="H69" dT="2026-02-13T16:12:04.00" personId="{0346ec8f-e255-4e0f-8f10-7cae5c428675}" id="{4a932835-acea-4d6b-805e-9ab4ddf78f1d}" done="0">
    <x18tc:text xml:space="preserve">transferencia</x18tc:text>
  </x18tc:threadedComment>
  <x18tc:threadedComment ref="H12" dT="2026-02-03T15:34:19.00" personId="{0346ec8f-e255-4e0f-8f10-7cae5c428675}" id="{88892cda-c4f3-4160-8558-48007a0698db}" done="0">
    <x18tc:text xml:space="preserve">transferencia</x18tc:text>
  </x18tc:threadedComment>
  <x18tc:threadedComment ref="H33" dT="2026-02-05T20:41:52.00" personId="{0346ec8f-e255-4e0f-8f10-7cae5c428675}" id="{38119fc0-c62c-474f-b5f2-b12a6a2b324d}" done="0">
    <x18tc:text xml:space="preserve">transferencia</x18tc:text>
  </x18tc:threadedComment>
  <x18tc:threadedComment ref="H165" dT="2026-02-28T13:07:25.00" personId="{0346ec8f-e255-4e0f-8f10-7cae5c428675}" id="{69ee3b83-6b69-4b77-9ab6-d31bce1a7eed}" done="0">
    <x18tc:text xml:space="preserve">TRANSFERENCIA</x18tc:text>
  </x18tc:threadedComment>
  <x18tc:threadedComment ref="H40" dT="2026-02-06T15:27:06.00" personId="{0346ec8f-e255-4e0f-8f10-7cae5c428675}" id="{43c1a32d-6721-4525-bea0-ca07ac202b6b}" done="0">
    <x18tc:text xml:space="preserve">TRANSFERENCIA</x18tc:text>
  </x18tc:threadedComment>
  <x18tc:threadedComment ref="H30" dT="2026-02-05T15:26:13.00" personId="{0346ec8f-e255-4e0f-8f10-7cae5c428675}" id="{a7f94206-f13a-45c8-a6c9-a7ecb8479ba5}" done="0">
    <x18tc:text xml:space="preserve">tarjeta</x18tc:text>
  </x18tc:threadedComment>
  <x18tc:threadedComment ref="H166" dT="2026-02-28T14:45:35.00" personId="{0346ec8f-e255-4e0f-8f10-7cae5c428675}" id="{de55cc2f-7008-41b0-b6b3-64e31425f527}" done="0">
    <x18tc:text xml:space="preserve">transferencia</x18tc:text>
  </x18tc:threadedComment>
  <x18tc:threadedComment ref="H34" dT="2026-02-05T21:20:34.00" personId="{0346ec8f-e255-4e0f-8f10-7cae5c428675}" id="{01e5dea2-c4ca-4de7-be84-dea3edfbef4a}" done="0">
    <x18tc:text xml:space="preserve">TARJETA</x18tc:text>
  </x18tc:threadedComment>
  <x18tc:threadedComment ref="H72" dT="2026-02-14T16:26:41.00" personId="{0346ec8f-e255-4e0f-8f10-7cae5c428675}" id="{e815fe70-cf4a-4bfc-a205-88d092218819}" done="0">
    <x18tc:text xml:space="preserve">transferencia</x18tc:text>
  </x18tc:threadedComment>
  <x18tc:threadedComment ref="H75" dT="2026-02-14T15:36:33.00" personId="{0346ec8f-e255-4e0f-8f10-7cae5c428675}" id="{f28032a0-5931-4bf0-8cda-302c05ae7d6d}" done="0">
    <x18tc:text xml:space="preserve">tarjeta</x18tc:text>
  </x18tc:threadedComment>
  <x18tc:threadedComment ref="H71" dT="2026-02-13T22:55:16.00" personId="{0346ec8f-e255-4e0f-8f10-7cae5c428675}" id="{902af689-d284-4a3e-995e-5fc07d2bc6c7}" done="0">
    <x18tc:text xml:space="preserve">transferencia</x18tc:text>
  </x18tc:threadedComment>
  <x18tc:threadedComment ref="H107" dT="2026-02-19T21:05:17.00" personId="{0346ec8f-e255-4e0f-8f10-7cae5c428675}" id="{0e477c06-8a28-47a5-8e49-9b17721cf607}" done="0">
    <x18tc:text xml:space="preserve">tarjeta+factura</x18tc:text>
  </x18tc:threadedComment>
  <x18tc:threadedComment ref="H97" dT="2026-02-17T19:45:11.00" personId="{0346ec8f-e255-4e0f-8f10-7cae5c428675}" id="{e2bc93cc-9b30-49d5-8832-7322365a2409}" done="0">
    <x18tc:text xml:space="preserve">transferencia + factura</x18tc:text>
  </x18tc:threadedComment>
  <x18tc:threadedComment ref="H76" dT="2026-02-14T15:36:26.00" personId="{0346ec8f-e255-4e0f-8f10-7cae5c428675}" id="{bf6a70ae-94d8-473d-9b76-e6e30634323d}" done="0">
    <x18tc:text xml:space="preserve">tarjeta</x18tc:text>
  </x18tc:threadedComment>
  <x18tc:threadedComment ref="H41" dT="2026-02-07T16:28:05.00" personId="{0346ec8f-e255-4e0f-8f10-7cae5c428675}" id="{efe773a6-71ce-49d8-b3c2-b16fddb7e623}" done="0">
    <x18tc:text xml:space="preserve">transferencia</x18tc:text>
  </x18tc:threadedComment>
  <x18tc:threadedComment ref="H52" dT="2026-02-09T19:07:11.00" personId="{0346ec8f-e255-4e0f-8f10-7cae5c428675}" id="{1fbfcd35-74da-40eb-8ed6-5e7aacca1a98}" done="0">
    <x18tc:text xml:space="preserve">transferencia</x18tc:text>
  </x18tc:threadedComment>
  <x18tc:threadedComment ref="H46" dT="2026-02-07T16:37:40.00" personId="{0346ec8f-e255-4e0f-8f10-7cae5c428675}" id="{6ee8dbf6-457c-40df-95eb-cae20afd8f15}" done="0">
    <x18tc:text xml:space="preserve">Transferencia</x18tc:text>
  </x18tc:threadedComment>
  <x18tc:threadedComment ref="H80" dT="2026-02-14T20:35:38.00" personId="{0346ec8f-e255-4e0f-8f10-7cae5c428675}" id="{a7c639a9-ca24-4f05-8a3a-ae71cf68479a}" done="0">
    <x18tc:text xml:space="preserve">transferencia</x18tc:text>
  </x18tc:threadedComment>
  <x18tc:threadedComment ref="H73" dT="2026-02-14T14:53:11.00" personId="{0346ec8f-e255-4e0f-8f10-7cae5c428675}" id="{c75c9f2b-4e97-4c6c-ba9f-77ae997b356c}" done="0">
    <x18tc:text xml:space="preserve">transferencia</x18tc:text>
  </x18tc:threadedComment>
  <x18tc:threadedComment ref="H53" dT="2026-02-10T13:26:26.00" personId="{0346ec8f-e255-4e0f-8f10-7cae5c428675}" id="{7608fb59-8cbc-4775-a8bd-44f2d04c7749}" done="0">
    <x18tc:text xml:space="preserve">TRANSFERENCIA</x18tc:text>
  </x18tc:threadedComment>
  <x18tc:threadedComment ref="H79" dT="2026-02-14T22:55:42.00" personId="{0346ec8f-e255-4e0f-8f10-7cae5c428675}" id="{759390d5-cf72-4f67-a97d-f5e448e58f0b}" done="0">
    <x18tc:text xml:space="preserve">transferencia</x18tc:text>
  </x18tc:threadedComment>
  <x18tc:threadedComment ref="H102" dT="2026-02-18T21:29:52.00" personId="{0346ec8f-e255-4e0f-8f10-7cae5c428675}" id="{f5e2421c-e0e7-4699-8514-5b0b3820cff4}" done="0">
    <x18tc:text xml:space="preserve">transferencia</x18tc:text>
  </x18tc:threadedComment>
  <x18tc:threadedComment ref="H103" dT="2026-02-18T22:03:30.00" personId="{0346ec8f-e255-4e0f-8f10-7cae5c428675}" id="{46d85be5-c95f-473f-8085-d52eeaf972a0}" done="0">
    <x18tc:text xml:space="preserve">transferencia</x18tc:text>
  </x18tc:threadedComment>
  <x18tc:threadedComment ref="H101" dT="2026-02-18T22:04:03.00" personId="{0346ec8f-e255-4e0f-8f10-7cae5c428675}" id="{afb16740-5ddc-4dde-bbdd-ae4934824ac3}" done="0">
    <x18tc:text xml:space="preserve">transferencia</x18tc:text>
  </x18tc:threadedComment>
  <x18tc:threadedComment ref="H48" dT="2026-02-09T14:42:41.00" personId="{0346ec8f-e255-4e0f-8f10-7cae5c428675}" id="{9575da3f-2481-42b4-a772-bb74300def86}" done="0">
    <x18tc:text xml:space="preserve">tarjeta</x18tc:text>
  </x18tc:threadedComment>
  <x18tc:threadedComment ref="H132" dT="2026-02-21T15:08:45.00" personId="{0346ec8f-e255-4e0f-8f10-7cae5c428675}" id="{319e24ac-3a0c-416d-8b7d-1c6914a14ef1}" done="0">
    <x18tc:text xml:space="preserve">transferencia</x18tc:text>
  </x18tc:threadedComment>
  <x18tc:threadedComment ref="H26" dT="2026-02-04T22:26:01.00" personId="{0346ec8f-e255-4e0f-8f10-7cae5c428675}" id="{3637d9a6-f3ab-4b01-9ace-941250a3ec07}" done="0">
    <x18tc:text xml:space="preserve">transferencia</x18tc:text>
  </x18tc:threadedComment>
  <x18tc:threadedComment ref="H112" dT="2026-02-20T22:28:23.00" personId="{0346ec8f-e255-4e0f-8f10-7cae5c428675}" id="{e310f7d6-5859-4c6a-a27e-991740476dc4}" done="0">
    <x18tc:text xml:space="preserve">tarjeta</x18tc:text>
  </x18tc:threadedComment>
  <x18tc:threadedComment ref="H173" dT="2026-02-28T15:59:47.00" personId="{0346ec8f-e255-4e0f-8f10-7cae5c428675}" id="{10e3b8ae-32c7-4174-b2ce-8bba82fef996}" done="0">
    <x18tc:text xml:space="preserve">tarjeta</x18tc:text>
  </x18tc:threadedComment>
  <x18tc:threadedComment ref="H113" dT="2026-02-20T22:28:28.00" personId="{0346ec8f-e255-4e0f-8f10-7cae5c428675}" id="{35dac341-ec86-42ce-b0f3-e119aa398fc8}" done="0">
    <x18tc:text xml:space="preserve">tarjeta</x18tc:text>
  </x18tc:threadedComment>
  <x18tc:threadedComment ref="H27" dT="2026-02-04T21:41:24.00" personId="{0346ec8f-e255-4e0f-8f10-7cae5c428675}" id="{90fa249c-4f0d-4475-bd54-45054d69e785}" done="0">
    <x18tc:text xml:space="preserve">TRANSFERENCIA</x18tc:text>
  </x18tc:threadedComment>
  <x18tc:threadedComment ref="H174" dT="2026-02-28T15:59:52.00" personId="{0346ec8f-e255-4e0f-8f10-7cae5c428675}" id="{974b15a3-7a5a-47c0-b8cc-8535ae85f082}" done="0">
    <x18tc:text xml:space="preserve">tarjeta</x18tc:text>
  </x18tc:threadedComment>
  <x18tc:threadedComment ref="H111" dT="2026-02-20T22:28:18.00" personId="{0346ec8f-e255-4e0f-8f10-7cae5c428675}" id="{a24bbdda-8ae2-4aeb-adbd-8b2c7c5437d0}" done="0">
    <x18tc:text xml:space="preserve">tarjeta</x18tc:text>
  </x18tc:threadedComment>
  <x18tc:threadedComment ref="H68" dT="2026-02-13T14:58:02.00" personId="{0346ec8f-e255-4e0f-8f10-7cae5c428675}" id="{33e62f00-e422-482d-8b05-09cbe1498558}" done="0">
    <x18tc:text xml:space="preserve">TARJETA</x18tc:text>
  </x18tc:threadedComment>
  <x18tc:threadedComment ref="H179" dT="2026-02-28T19:17:05.00" personId="{0346ec8f-e255-4e0f-8f10-7cae5c428675}" id="{0b93bc4d-058d-46f0-a7dc-0469119e5950}" done="0">
    <x18tc:text xml:space="preserve">Transferencia</x18tc:text>
  </x18tc:threadedComment>
  <x18tc:threadedComment ref="H178" dT="2026-02-28T19:16:57.00" personId="{0346ec8f-e255-4e0f-8f10-7cae5c428675}" id="{a4abf923-bd63-4598-9475-7d760ec511c8}" done="0">
    <x18tc:text xml:space="preserve">Transferencia</x18tc:text>
  </x18tc:threadedComment>
  <x18tc:threadedComment ref="H162" dT="2026-02-27T22:49:37.00" personId="{0346ec8f-e255-4e0f-8f10-7cae5c428675}" id="{de5d437b-a7d3-4973-b842-fe6c270d6a07}" done="0">
    <x18tc:text xml:space="preserve">tarjeta</x18tc:text>
  </x18tc:threadedComment>
  <x18tc:threadedComment ref="H177" dT="2026-02-28T19:16:50.00" personId="{0346ec8f-e255-4e0f-8f10-7cae5c428675}" id="{421d9983-3bb3-409a-8038-fc25f2af7cd7}" done="0">
    <x18tc:text xml:space="preserve">Transferencia</x18tc:text>
  </x18tc:threadedComment>
  <x18tc:threadedComment ref="H116" dT="2026-02-20T16:05:21.00" personId="{0346ec8f-e255-4e0f-8f10-7cae5c428675}" id="{5ea70b36-60c8-42f4-aaad-da1d5e43cc70}" done="0">
    <x18tc:text xml:space="preserve">transferencia</x18tc:text>
  </x18tc:threadedComment>
  <x18tc:threadedComment ref="H159" dT="2026-02-27T22:26:57.00" personId="{0346ec8f-e255-4e0f-8f10-7cae5c428675}" id="{3f1eb896-c4ca-4054-8ced-8451509abe39}" done="0">
    <x18tc:text xml:space="preserve">factura</x18tc:text>
  </x18tc:threadedComment>
  <x18tc:threadedComment ref="H25" dT="2026-02-04T21:13:05.00" personId="{0346ec8f-e255-4e0f-8f10-7cae5c428675}" id="{1b10508d-a7a0-46e4-8cae-f919461562aa}" done="0">
    <x18tc:text xml:space="preserve">TARJETA</x18tc:text>
  </x18tc:threadedComment>
  <x18tc:threadedComment ref="H63" dT="2026-02-12T19:22:32.00" personId="{0346ec8f-e255-4e0f-8f10-7cae5c428675}" id="{41cc0eb2-6c9f-4290-8c47-7affc646c796}" done="0">
    <x18tc:text xml:space="preserve">TRANSFERENCIA</x18tc:text>
  </x18tc:threadedComment>
  <x18tc:threadedComment ref="H158" dT="2026-02-27T22:26:51.00" personId="{0346ec8f-e255-4e0f-8f10-7cae5c428675}" id="{b371bf17-15d0-4e90-a246-481542326dea}" done="0">
    <x18tc:text xml:space="preserve">factura</x18tc:text>
  </x18tc:threadedComment>
  <x18tc:threadedComment ref="H150" dT="2026-02-26T16:42:13.00" personId="{0346ec8f-e255-4e0f-8f10-7cae5c428675}" id="{942832fd-2124-46bc-bc14-2f6432a1cd3a}" done="0">
    <x18tc:text xml:space="preserve">TRANSFERENCIA</x18tc:text>
  </x18tc:threadedComment>
  <x18tc:threadedComment ref="H125" dT="2026-02-21T17:43:01.00" personId="{0346ec8f-e255-4e0f-8f10-7cae5c428675}" id="{b9906a4f-9612-46c0-9069-46681f5d2ff8}" done="0">
    <x18tc:text xml:space="preserve">transferencia</x18tc:text>
  </x18tc:threadedComment>
  <x18tc:threadedComment ref="H120" dT="2026-02-21T15:12:39.00" personId="{0346ec8f-e255-4e0f-8f10-7cae5c428675}" id="{19e35a3b-3bc4-4880-ace7-0c6737005c32}" done="0">
    <x18tc:text xml:space="preserve">transferencia</x18tc:text>
  </x18tc:threadedComment>
  <x18tc:threadedComment ref="H151" dT="2026-02-26T16:15:57.00" personId="{0346ec8f-e255-4e0f-8f10-7cae5c428675}" id="{39366978-295f-4ca5-a30e-d3e58df7281f}" done="0">
    <x18tc:text xml:space="preserve">transferencia</x18tc:text>
  </x18tc:threadedComment>
  <x18tc:threadedComment ref="H163" dT="2026-02-27T20:44:29.00" personId="{0346ec8f-e255-4e0f-8f10-7cae5c428675}" id="{37d0fcb5-06c2-4cb5-9d62-a726f263fb26}" done="0">
    <x18tc:text xml:space="preserve">transferencia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0" dT="2026-03-28T20:16:50.00" personId="{0346ec8f-e255-4e0f-8f10-7cae5c428675}" id="{ed8d8830-9c98-4e12-a880-dbbb745b0bb5}" done="0">
    <x18tc:text xml:space="preserve">transferencia</x18tc:text>
  </x18tc:threadedComment>
  <x18tc:threadedComment ref="H149" dT="2026-03-24T18:57:04.00" personId="{0346ec8f-e255-4e0f-8f10-7cae5c428675}" id="{580e1ae0-5155-4ed7-aff7-f2a1d0dccd61}" done="0">
    <x18tc:text xml:space="preserve">tarjeta</x18tc:text>
  </x18tc:threadedComment>
  <x18tc:threadedComment ref="H48" dT="2026-03-07T21:41:23.00" personId="{0346ec8f-e255-4e0f-8f10-7cae5c428675}" id="{83b21224-cf6e-4ab0-9740-34d343cf87c3}" done="0">
    <x18tc:text xml:space="preserve">tarjeta</x18tc:text>
  </x18tc:threadedComment>
  <x18tc:threadedComment ref="H51" dT="2026-03-07T20:35:27.00" personId="{0346ec8f-e255-4e0f-8f10-7cae5c428675}" id="{b2087965-fe5d-421b-9bb5-5337350d4ec7}" done="0">
    <x18tc:text xml:space="preserve">transferencia</x18tc:text>
  </x18tc:threadedComment>
  <x18tc:threadedComment ref="H214" dT="2026-04-01T13:00:03.00" personId="{0346ec8f-e255-4e0f-8f10-7cae5c428675}" id="{df9d105f-56db-49ca-b328-502213224a47}" done="0">
    <x18tc:text xml:space="preserve">transferencia</x18tc:text>
  </x18tc:threadedComment>
  <x18tc:threadedComment ref="H215" dT="2026-04-01T13:00:08.00" personId="{0346ec8f-e255-4e0f-8f10-7cae5c428675}" id="{8a083dab-5348-4bcb-85cb-1c06e887190e}" done="0">
    <x18tc:text xml:space="preserve">transferencia</x18tc:text>
  </x18tc:threadedComment>
  <x18tc:threadedComment ref="H209" dT="2026-04-01T13:00:18.00" personId="{0346ec8f-e255-4e0f-8f10-7cae5c428675}" id="{aa341192-8e03-4103-84fe-0b8ceedfa0d7}" done="0">
    <x18tc:text xml:space="preserve">transferencia</x18tc:text>
  </x18tc:threadedComment>
  <x18tc:threadedComment ref="H136" dT="2026-03-21T15:10:56.00" personId="{0346ec8f-e255-4e0f-8f10-7cae5c428675}" id="{448928fa-e2ca-4041-9eea-5f7e0f9eccf6}" done="0">
    <x18tc:text xml:space="preserve">transferencia</x18tc:text>
  </x18tc:threadedComment>
  <x18tc:threadedComment ref="H104" dT="2026-03-18T13:18:50.00" personId="{0346ec8f-e255-4e0f-8f10-7cae5c428675}" id="{b59875de-0dcb-42f7-9142-3ebfe2981249}" done="0">
    <x18tc:text xml:space="preserve">TRANSFERENCIA</x18tc:text>
  </x18tc:threadedComment>
  <x18tc:threadedComment ref="H20" dT="2026-03-03T22:59:16.00" personId="{0346ec8f-e255-4e0f-8f10-7cae5c428675}" id="{190b9663-092d-4716-ad93-e864b57af6ec}" done="0">
    <x18tc:text xml:space="preserve">transferencia</x18tc:text>
  </x18tc:threadedComment>
  <x18tc:threadedComment ref="H22" dT="2026-03-03T22:59:25.00" personId="{0346ec8f-e255-4e0f-8f10-7cae5c428675}" id="{284f7b64-36ee-4eb3-a71d-b3ace52a01d3}" done="0">
    <x18tc:text xml:space="preserve">transferencia</x18tc:text>
  </x18tc:threadedComment>
  <x18tc:threadedComment ref="H21" dT="2026-03-03T22:59:21.00" personId="{0346ec8f-e255-4e0f-8f10-7cae5c428675}" id="{deef14b6-f7dc-4fc0-9fe8-10e0fe8c942b}" done="0">
    <x18tc:text xml:space="preserve">transferencia</x18tc:text>
  </x18tc:threadedComment>
  <x18tc:threadedComment ref="H171" dT="2026-03-27T13:39:49.00" personId="{0346ec8f-e255-4e0f-8f10-7cae5c428675}" id="{62dd36a7-f502-4586-a6cc-acdd3dc26034}" done="0">
    <x18tc:text xml:space="preserve">tarjeta</x18tc:text>
  </x18tc:threadedComment>
  <x18tc:threadedComment ref="H23" dT="2026-03-03T22:59:29.00" personId="{0346ec8f-e255-4e0f-8f10-7cae5c428675}" id="{f9f5121f-d758-404c-a8d8-171f4f7e341f}" done="0">
    <x18tc:text xml:space="preserve">transferencia</x18tc:text>
  </x18tc:threadedComment>
  <x18tc:threadedComment ref="H207" dT="2026-03-31T19:12:23.00" personId="{0346ec8f-e255-4e0f-8f10-7cae5c428675}" id="{b7a7cd89-db11-4986-84fa-9560dded574e}" done="0">
    <x18tc:text xml:space="preserve">tarjeta+transferencia</x18tc:text>
  </x18tc:threadedComment>
  <x18tc:threadedComment ref="H83" dT="2026-03-12T22:26:12.00" personId="{0346ec8f-e255-4e0f-8f10-7cae5c428675}" id="{9d369a9b-f11d-42e5-9a98-752956cd22e7}" done="0">
    <x18tc:text xml:space="preserve">transferencia</x18tc:text>
  </x18tc:threadedComment>
  <x18tc:threadedComment ref="H131" dT="2026-03-20T22:05:37.00" personId="{0346ec8f-e255-4e0f-8f10-7cae5c428675}" id="{f800ac4a-7adf-468a-a73c-378a6d3d916f}" done="0">
    <x18tc:text xml:space="preserve">TRANSFERENCIA</x18tc:text>
  </x18tc:threadedComment>
  <x18tc:threadedComment ref="H24" dT="2026-03-03T22:59:34.00" personId="{0346ec8f-e255-4e0f-8f10-7cae5c428675}" id="{5497d54c-fb33-407f-ad3f-b16e2e0942f5}" done="0">
    <x18tc:text xml:space="preserve">transferencia</x18tc:text>
  </x18tc:threadedComment>
  <x18tc:threadedComment ref="H82" dT="2026-03-12T22:26:25.00" personId="{0346ec8f-e255-4e0f-8f10-7cae5c428675}" id="{c2fc8a07-9f6c-4244-8d88-55e2a2b82500}" done="0">
    <x18tc:text xml:space="preserve">factura</x18tc:text>
  </x18tc:threadedComment>
  <x18tc:threadedComment ref="H206" dT="2026-03-31T19:12:15.00" personId="{0346ec8f-e255-4e0f-8f10-7cae5c428675}" id="{a7a29b35-37b0-445c-84e7-6c27985a3479}" done="0">
    <x18tc:text xml:space="preserve">tarjeta+trasnferencia</x18tc:text>
  </x18tc:threadedComment>
  <x18tc:threadedComment ref="H208" dT="2026-03-31T19:08:24.00" personId="{0346ec8f-e255-4e0f-8f10-7cae5c428675}" id="{def98c00-30bc-4bde-b932-72137017be7b}" done="0">
    <x18tc:text xml:space="preserve">tarjeta</x18tc:text>
  </x18tc:threadedComment>
  <x18tc:threadedComment ref="H84" dT="2026-03-12T22:26:04.00" personId="{0346ec8f-e255-4e0f-8f10-7cae5c428675}" id="{78ec01ac-6845-43ca-9350-03c985c12e49}" done="0">
    <x18tc:text xml:space="preserve">transferencia</x18tc:text>
  </x18tc:threadedComment>
  <x18tc:threadedComment ref="H66" dT="2026-03-11T14:47:13.00" personId="{0346ec8f-e255-4e0f-8f10-7cae5c428675}" id="{b65b3828-42d0-4f8d-bdec-f33b36485c80}" done="0">
    <x18tc:text xml:space="preserve">transferencia</x18tc:text>
  </x18tc:threadedComment>
  <x18tc:threadedComment ref="H74" dT="2026-03-11T22:38:43.00" personId="{0346ec8f-e255-4e0f-8f10-7cae5c428675}" id="{048d751b-6b3d-4f2c-bba8-0035d43b5117}" done="0">
    <x18tc:text xml:space="preserve">tarjeta</x18tc:text>
  </x18tc:threadedComment>
  <x18tc:threadedComment ref="H101" dT="2026-03-14T22:22:46.00" personId="{0346ec8f-e255-4e0f-8f10-7cae5c428675}" id="{8d316cb2-33da-4d2c-882a-9745c2d4e8b8}" done="0">
    <x18tc:text xml:space="preserve">Transferencia</x18tc:text>
  </x18tc:threadedComment>
  <x18tc:threadedComment ref="H39" dT="2026-03-06T22:21:05.00" personId="{0346ec8f-e255-4e0f-8f10-7cae5c428675}" id="{e52adc29-8da5-4362-9c44-c75c86916bde}" done="0">
    <x18tc:text xml:space="preserve">tarjeta</x18tc:text>
  </x18tc:threadedComment>
  <x18tc:threadedComment ref="H94" dT="2026-03-14T22:17:45.00" personId="{0346ec8f-e255-4e0f-8f10-7cae5c428675}" id="{390c88c1-a1f6-4716-a404-ba5c834ed7d6}" done="0">
    <x18tc:text xml:space="preserve">Tarjeta</x18tc:text>
  </x18tc:threadedComment>
  <x18tc:threadedComment ref="H93" dT="2026-03-14T22:17:39.00" personId="{0346ec8f-e255-4e0f-8f10-7cae5c428675}" id="{288e2739-1ce2-4c49-b488-2452a84790ca}" done="0">
    <x18tc:text xml:space="preserve">Tarjeta</x18tc:text>
  </x18tc:threadedComment>
  <x18tc:threadedComment ref="H75" dT="2026-03-11T22:52:23.00" personId="{0346ec8f-e255-4e0f-8f10-7cae5c428675}" id="{b866a231-a4d8-4da3-a966-48c1b8bdcefa}" done="0">
    <x18tc:text xml:space="preserve">tarjeta</x18tc:text>
  </x18tc:threadedComment>
  <x18tc:threadedComment ref="H99" dT="2026-03-14T22:00:02.00" personId="{0346ec8f-e255-4e0f-8f10-7cae5c428675}" id="{a8da3b32-9dd4-4a01-82f7-3415f32d0554}" done="0">
    <x18tc:text xml:space="preserve">Transferencia</x18tc:text>
  </x18tc:threadedComment>
  <x18tc:threadedComment ref="H92" dT="2026-03-14T21:58:55.00" personId="{0346ec8f-e255-4e0f-8f10-7cae5c428675}" id="{20cc5916-4a39-43e0-ac95-c14af240cde0}" done="0">
    <x18tc:text xml:space="preserve">Tarjeta</x18tc:text>
  </x18tc:threadedComment>
  <x18tc:threadedComment ref="H11" dT="2026-03-03T13:27:27.00" personId="{0346ec8f-e255-4e0f-8f10-7cae5c428675}" id="{7211ae41-c198-4bf2-bbb8-b73fe9485fb2}" done="0">
    <x18tc:text xml:space="preserve">TARJETA</x18tc:text>
  </x18tc:threadedComment>
  <x18tc:threadedComment ref="H96" dT="2026-03-14T21:28:47.00" personId="{0346ec8f-e255-4e0f-8f10-7cae5c428675}" id="{921f4847-e0d3-4b2b-9b41-ffde090da85e}" done="0">
    <x18tc:text xml:space="preserve">Transferencia</x18tc:text>
  </x18tc:threadedComment>
  <x18tc:threadedComment ref="H77" dT="2026-03-12T20:25:11.00" personId="{0346ec8f-e255-4e0f-8f10-7cae5c428675}" id="{9f139df9-1881-404a-8b23-4a9a5140b97c}" done="0">
    <x18tc:text xml:space="preserve">60 transferencia</x18tc:text>
  </x18tc:threadedComment>
  <x18tc:threadedComment ref="H141" dT="2026-03-21T16:47:51.00" personId="{0346ec8f-e255-4e0f-8f10-7cae5c428675}" id="{08930781-04a6-4f44-95c1-711b96de4d5a}" done="0">
    <x18tc:text xml:space="preserve">transferencia</x18tc:text>
  </x18tc:threadedComment>
  <x18tc:threadedComment ref="H134" dT="2026-03-21T16:48:37.00" personId="{0346ec8f-e255-4e0f-8f10-7cae5c428675}" id="{b6cc723f-bcf2-4892-988e-8c0ed81a53af}" done="0">
    <x18tc:text xml:space="preserve">transferencia</x18tc:text>
  </x18tc:threadedComment>
  <x18tc:threadedComment ref="H135" dT="2026-03-21T16:48:44.00" personId="{0346ec8f-e255-4e0f-8f10-7cae5c428675}" id="{02921fe9-a136-41d2-b35e-9f6cede1de9f}" done="0">
    <x18tc:text xml:space="preserve">transferencia</x18tc:text>
  </x18tc:threadedComment>
  <x18tc:threadedComment ref="H133" dT="2026-03-20T20:22:07.00" personId="{0346ec8f-e255-4e0f-8f10-7cae5c428675}" id="{7c03f22f-289c-4789-84d5-174051c7909b}" done="0">
    <x18tc:text xml:space="preserve">tarjeta</x18tc:text>
  </x18tc:threadedComment>
  <x18tc:threadedComment ref="H49" dT="2026-03-07T22:10:40.00" personId="{0346ec8f-e255-4e0f-8f10-7cae5c428675}" id="{7875e83c-6188-4f67-b8d5-43c34b908f40}" done="0">
    <x18tc:text xml:space="preserve">transferencia</x18tc:text>
  </x18tc:threadedComment>
  <x18tc:threadedComment ref="H71" dT="2026-03-11T19:39:30.00" personId="{0346ec8f-e255-4e0f-8f10-7cae5c428675}" id="{d9581ac7-2390-481e-bf9d-9fad43fe289d}" done="0">
    <x18tc:text xml:space="preserve">tarjeta</x18tc:text>
  </x18tc:threadedComment>
  <x18tc:threadedComment ref="H172" dT="2026-03-27T16:15:41.00" personId="{0346ec8f-e255-4e0f-8f10-7cae5c428675}" id="{50c03871-afa5-44ca-89a9-5c4388388652}" done="0">
    <x18tc:text xml:space="preserve">transferncia</x18tc:text>
  </x18tc:threadedComment>
  <x18tc:threadedComment ref="H70" dT="2026-03-11T19:39:25.00" personId="{0346ec8f-e255-4e0f-8f10-7cae5c428675}" id="{424b5edb-6d09-4135-8407-2ed47a7c4969}" done="0">
    <x18tc:text xml:space="preserve">tarjeta</x18tc:text>
  </x18tc:threadedComment>
  <x18tc:threadedComment ref="H46" dT="2026-03-07T19:22:11.00" personId="{0346ec8f-e255-4e0f-8f10-7cae5c428675}" id="{2e2aeb5b-6e78-4598-bbe5-40246f5b72b8}" done="0">
    <x18tc:text xml:space="preserve">TARJETA</x18tc:text>
  </x18tc:threadedComment>
  <x18tc:threadedComment ref="H73" dT="2026-03-11T19:13:30.00" personId="{0346ec8f-e255-4e0f-8f10-7cae5c428675}" id="{e0cf6626-9168-4889-b1ff-e3bb04f8cdfc}" done="0">
    <x18tc:text xml:space="preserve">TARJETA</x18tc:text>
  </x18tc:threadedComment>
  <x18tc:threadedComment ref="H9" dT="2026-03-03T13:26:43.00" personId="{0346ec8f-e255-4e0f-8f10-7cae5c428675}" id="{c906c8a6-a7b8-4227-97e8-5eebec1d27aa}" done="0">
    <x18tc:text xml:space="preserve">FACTURA + TRANSFERENCIA</x18tc:text>
  </x18tc:threadedComment>
  <x18tc:threadedComment ref="H113" dT="2026-03-18T15:42:43.00" personId="{0346ec8f-e255-4e0f-8f10-7cae5c428675}" id="{cf1b471c-e4e0-4528-9db9-fec4331b3c02}" done="0">
    <x18tc:text xml:space="preserve">transferencia</x18tc:text>
  </x18tc:threadedComment>
  <x18tc:threadedComment ref="H157" dT="2026-03-26T22:22:55.00" personId="{0346ec8f-e255-4e0f-8f10-7cae5c428675}" id="{ae0bafdf-da22-4474-b5c5-0b40f4f17658}" done="0">
    <x18tc:text xml:space="preserve">factura</x18tc:text>
  </x18tc:threadedComment>
  <x18tc:threadedComment ref="H165" dT="2026-03-26T22:22:22.00" personId="{0346ec8f-e255-4e0f-8f10-7cae5c428675}" id="{28a7f6bf-ed5b-42ef-81a6-3e8cef191d77}" done="0">
    <x18tc:text xml:space="preserve">transferencia</x18tc:text>
  </x18tc:threadedComment>
  <x18tc:threadedComment ref="H212" dT="2026-04-01T12:59:48.00" personId="{0346ec8f-e255-4e0f-8f10-7cae5c428675}" id="{c952d399-bc72-40a8-a47c-fde48c2cfc24}" done="0">
    <x18tc:text xml:space="preserve">transferencia</x18tc:text>
  </x18tc:threadedComment>
  <x18tc:threadedComment ref="H213" dT="2026-04-01T12:59:53.00" personId="{0346ec8f-e255-4e0f-8f10-7cae5c428675}" id="{ee7b4cc3-aed6-493d-abaf-2c6a0a6df6b2}" done="0">
    <x18tc:text xml:space="preserve">transferencia</x18tc:text>
  </x18tc:threadedComment>
  <x18tc:threadedComment ref="H38" dT="2026-03-06T16:41:40.00" personId="{0346ec8f-e255-4e0f-8f10-7cae5c428675}" id="{0070394c-3207-4795-83af-aaaea5b3acfb}" done="0">
    <x18tc:text xml:space="preserve">transferencia</x18tc:text>
  </x18tc:threadedComment>
  <x18tc:threadedComment ref="H203" dT="2026-03-31T17:00:38.00" personId="{0346ec8f-e255-4e0f-8f10-7cae5c428675}" id="{d5dc9a7c-ed11-4d9d-bb19-fcf73cea1de8}" done="0">
    <x18tc:text xml:space="preserve">TRANSFERENCIA</x18tc:text>
  </x18tc:threadedComment>
  <x18tc:threadedComment ref="H44" dT="2026-03-07T19:22:01.00" personId="{0346ec8f-e255-4e0f-8f10-7cae5c428675}" id="{4b7ee2be-4e47-4e7d-87df-d9c4fd24655b}" done="0">
    <x18tc:text xml:space="preserve">TARJETA</x18tc:text>
  </x18tc:threadedComment>
  <x18tc:threadedComment ref="H202" dT="2026-03-31T17:00:32.00" personId="{0346ec8f-e255-4e0f-8f10-7cae5c428675}" id="{2134b018-e79c-4821-a29e-a23cc28f86a8}" done="0">
    <x18tc:text xml:space="preserve">TRANSFERENCIA</x18tc:text>
  </x18tc:threadedComment>
  <x18tc:threadedComment ref="H50" dT="2026-03-07T19:14:28.00" personId="{0346ec8f-e255-4e0f-8f10-7cae5c428675}" id="{2268b88a-da9e-460f-8777-de5e8003cac1}" done="0">
    <x18tc:text xml:space="preserve">transferencia</x18tc:text>
  </x18tc:threadedComment>
  <x18tc:threadedComment ref="H205" dT="2026-03-31T16:58:29.00" personId="{0346ec8f-e255-4e0f-8f10-7cae5c428675}" id="{b7fc2e95-f510-43be-88a5-8e09fa73bbb6}" done="0">
    <x18tc:text xml:space="preserve">TARJETA</x18tc:text>
  </x18tc:threadedComment>
  <x18tc:threadedComment ref="H187" dT="2026-03-28T16:32:54.00" personId="{0346ec8f-e255-4e0f-8f10-7cae5c428675}" id="{d73e1c30-4959-422b-a129-d5279c2f9837}" done="0">
    <x18tc:text xml:space="preserve">tarjeta</x18tc:text>
  </x18tc:threadedComment>
  <x18tc:threadedComment ref="H190" dT="2026-03-28T16:14:50.00" personId="{0346ec8f-e255-4e0f-8f10-7cae5c428675}" id="{10f931f8-e1e5-4b1b-aca1-7c244919a26c}" done="0">
    <x18tc:text xml:space="preserve">tarjeta</x18tc:text>
  </x18tc:threadedComment>
  <x18tc:threadedComment ref="H156" dT="2026-03-25T16:04:48.00" personId="{0346ec8f-e255-4e0f-8f10-7cae5c428675}" id="{d23f43a9-1877-485d-92d8-dc85e7ef3a95}" done="0">
    <x18tc:text xml:space="preserve">transferencia</x18tc:text>
  </x18tc:threadedComment>
  <x18tc:threadedComment ref="H86" dT="2026-03-13T22:33:10.00" personId="{0346ec8f-e255-4e0f-8f10-7cae5c428675}" id="{b379d726-bd48-432c-9cf3-dd6aec9b5ad4}" done="0">
    <x18tc:text xml:space="preserve">Transferencia</x18tc:text>
  </x18tc:threadedComment>
  <x18tc:threadedComment ref="H182" dT="2026-03-28T14:56:47.00" personId="{0346ec8f-e255-4e0f-8f10-7cae5c428675}" id="{b54b06d4-712b-4206-86ab-fde70df8afdd}" done="0">
    <x18tc:text xml:space="preserve">transferencia</x18tc:text>
  </x18tc:threadedComment>
  <x18tc:threadedComment ref="H217" dT="2026-03-31T17:10:49.00" personId="{0346ec8f-e255-4e0f-8f10-7cae5c428675}" id="{b72d9f5f-80c4-49a0-bf07-66004880f57e}" done="0">
    <x18tc:text xml:space="preserve">TRANSFERENCIA</x18tc:text>
  </x18tc:threadedComment>
  <x18tc:threadedComment ref="H85" dT="2026-03-13T22:14:12.00" personId="{0346ec8f-e255-4e0f-8f10-7cae5c428675}" id="{27ae88cd-0a5c-4414-8db9-99b38fa94f8f}" done="0">
    <x18tc:text xml:space="preserve">Transferencia</x18tc:text>
  </x18tc:threadedComment>
  <x18tc:threadedComment ref="H175" dT="2026-03-27T19:02:03.00" personId="{0346ec8f-e255-4e0f-8f10-7cae5c428675}" id="{6c9b7c08-be15-4175-a649-df5efe2d759b}" done="0">
    <x18tc:text xml:space="preserve">tarjeta</x18tc:text>
  </x18tc:threadedComment>
  <x18tc:threadedComment ref="H15" dT="2026-03-03T16:36:33.00" personId="{0346ec8f-e255-4e0f-8f10-7cae5c428675}" id="{1da89d9d-5b52-45ac-b567-68cdfbb88c2d}" done="0">
    <x18tc:text xml:space="preserve">TRANSFERENCIA</x18tc:text>
  </x18tc:threadedComment>
  <x18tc:threadedComment ref="H154" dT="2026-03-25T14:58:12.00" personId="{0346ec8f-e255-4e0f-8f10-7cae5c428675}" id="{ff1e50fb-d460-42ee-b327-6b67ddb8d0cb}" done="0">
    <x18tc:text xml:space="preserve">TRANSFERENCIA</x18tc:text>
  </x18tc:threadedComment>
  <x18tc:threadedComment ref="H197" dT="2026-03-30T19:06:48.00" personId="{0346ec8f-e255-4e0f-8f10-7cae5c428675}" id="{9ad2df69-3993-4c4a-8652-c6fa12904bf7}" done="0">
    <x18tc:text xml:space="preserve">transferencia</x18tc:text>
  </x18tc:threadedComment>
  <x18tc:threadedComment ref="H198" dT="2026-03-30T19:06:54.00" personId="{0346ec8f-e255-4e0f-8f10-7cae5c428675}" id="{87c3827b-cbc7-46d8-9af8-72b64a0b7b5d}" done="0">
    <x18tc:text xml:space="preserve">transferencia</x18tc:text>
  </x18tc:threadedComment>
  <x18tc:threadedComment ref="H30" dT="2026-03-05T14:41:18.00" personId="{0346ec8f-e255-4e0f-8f10-7cae5c428675}" id="{2653110e-3dcb-45bb-bf62-4c7ea5997106}" done="0">
    <x18tc:text xml:space="preserve">transferencia</x18tc:text>
  </x18tc:threadedComment>
  <x18tc:threadedComment ref="H211" dT="2026-03-31T15:11:10.00" personId="{0346ec8f-e255-4e0f-8f10-7cae5c428675}" id="{85f5300d-181a-478f-af07-38c7f103a406}" done="0">
    <x18tc:text xml:space="preserve">factura + transferencia</x18tc:text>
  </x18tc:threadedComment>
  <x18tc:threadedComment ref="H192" dT="2026-03-28T22:37:42.00" personId="{0346ec8f-e255-4e0f-8f10-7cae5c428675}" id="{1c384ed6-7c78-494a-a8b6-6618b1d6737c}" done="0">
    <x18tc:text xml:space="preserve">transferencia</x18tc:text>
  </x18tc:threadedComment>
  <x18tc:threadedComment ref="H184" dT="2026-03-28T22:32:41.00" personId="{0346ec8f-e255-4e0f-8f10-7cae5c428675}" id="{63dad61c-29c3-45fc-bb1a-5d36fab8392f}" done="0">
    <x18tc:text xml:space="preserve">transferencia</x18tc:text>
  </x18tc:threadedComment>
  <x18tc:threadedComment ref="H196" dT="2026-03-30T19:06:43.00" personId="{0346ec8f-e255-4e0f-8f10-7cae5c428675}" id="{8fc4de55-c13f-4de1-bfcd-99e7b4d8c9d5}" done="0">
    <x18tc:text xml:space="preserve">transferencia</x18tc:text>
  </x18tc:threadedComment>
  <x18tc:threadedComment ref="H100" dT="2026-03-14T22:27:03.00" personId="{0346ec8f-e255-4e0f-8f10-7cae5c428675}" id="{fc7e37cc-373e-4d1a-9b6e-dc8f40143f31}" done="0">
    <x18tc:text xml:space="preserve">Transferencia</x18tc:text>
  </x18tc:threadedComment>
  <x18tc:threadedComment ref="H63" dT="2026-03-10T14:07:14.00" personId="{0346ec8f-e255-4e0f-8f10-7cae5c428675}" id="{9a4bbbce-6ada-43e0-aef8-a689cdb48159}" done="0">
    <x18tc:text xml:space="preserve">tarjeta + factura</x18tc:text>
  </x18tc:threadedComment>
  <x18tc:threadedComment ref="H88" dT="2026-03-14T22:26:46.00" personId="{0346ec8f-e255-4e0f-8f10-7cae5c428675}" id="{f17bb3e2-d3a2-44f0-bdfe-9a1f281d18b8}" done="0">
    <x18tc:text xml:space="preserve">Transferencia</x18tc:text>
  </x18tc:threadedComment>
  <x18tc:threadedComment ref="H191" dT="2026-03-28T22:44:28.00" personId="{0346ec8f-e255-4e0f-8f10-7cae5c428675}" id="{a4a0edd9-1144-4c80-a7e0-e2a6120f62dc}" done="0">
    <x18tc:text xml:space="preserve">transferencia</x18tc:text>
  </x18tc:threadedComment>
  <x18tc:threadedComment ref="H155" dT="2026-03-25T15:43:54.00" personId="{0346ec8f-e255-4e0f-8f10-7cae5c428675}" id="{33a74b38-9203-4674-a056-33c67d8a32d0}" done="0">
    <x18tc:text xml:space="preserve">transferencia</x18tc:text>
  </x18tc:threadedComment>
  <x18tc:threadedComment ref="H216" dT="2026-03-31T15:16:54.00" personId="{0346ec8f-e255-4e0f-8f10-7cae5c428675}" id="{f9fff43a-90dd-4255-8d98-a0f3850895c2}" done="0">
    <x18tc:text xml:space="preserve">transferencia</x18tc:text>
  </x18tc:threadedComment>
  <x18tc:threadedComment ref="H168" dT="2026-03-26T20:32:53.00" personId="{0346ec8f-e255-4e0f-8f10-7cae5c428675}" id="{41af5f73-6b4f-450b-bc91-42091bd412e1}" done="0">
    <x18tc:text xml:space="preserve">TRANSFERENCIA</x18tc:text>
  </x18tc:threadedComment>
  <x18tc:threadedComment ref="H29" dT="2026-03-04T23:01:33.00" personId="{0346ec8f-e255-4e0f-8f10-7cae5c428675}" id="{5a7a4890-e78e-458f-b484-33d9cce650d1}" done="0">
    <x18tc:text xml:space="preserve">Transferencia</x18tc:text>
  </x18tc:threadedComment>
  <x18tc:threadedComment ref="H193" dT="2026-03-30T20:01:55.00" personId="{0346ec8f-e255-4e0f-8f10-7cae5c428675}" id="{5c0c171e-ccb9-4ea0-bc51-e7cac1ed758b}" done="0">
    <x18tc:text xml:space="preserve">TRANSFERENCIA</x18tc:text>
  </x18tc:threadedComment>
  <x18tc:threadedComment ref="H64" dT="2026-03-10T19:02:09.00" personId="{0346ec8f-e255-4e0f-8f10-7cae5c428675}" id="{38d5e9cb-c956-465d-a3df-55e2d4b96e58}" done="0">
    <x18tc:text xml:space="preserve">transferencia</x18tc:text>
  </x18tc:threadedComment>
  <x18tc:threadedComment ref="H151" dT="2026-03-25T13:30:33.00" personId="{0346ec8f-e255-4e0f-8f10-7cae5c428675}" id="{f8947385-2695-41f2-b5e8-25e25d2e4c7a}" done="0">
    <x18tc:text xml:space="preserve">transferencia</x18tc:text>
  </x18tc:threadedComment>
  <x18tc:threadedComment ref="H45" dT="2026-03-07T19:22:06.00" personId="{0346ec8f-e255-4e0f-8f10-7cae5c428675}" id="{5aba26e8-35fd-4d11-89d3-79f903dbd4ff}" done="0">
    <x18tc:text xml:space="preserve">TARJETA</x18tc:text>
  </x18tc:threadedComment>
  <x18tc:threadedComment ref="H37" dT="2026-03-06T16:41:33.00" personId="{0346ec8f-e255-4e0f-8f10-7cae5c428675}" id="{3d046cd7-d585-4c73-ad98-f04c989fef60}" done="0">
    <x18tc:text xml:space="preserve">tarjeta</x18tc:text>
  </x18tc:threadedComment>
  <x18tc:threadedComment ref="H166" dT="2026-03-26T20:32:37.00" personId="{0346ec8f-e255-4e0f-8f10-7cae5c428675}" id="{9a33da95-aec5-46a8-8f1e-f9e398f21058}" done="0">
    <x18tc:text xml:space="preserve">TRANSFERENCIA</x18tc:text>
  </x18tc:threadedComment>
  <x18tc:threadedComment ref="H167" dT="2026-03-26T20:32:43.00" personId="{0346ec8f-e255-4e0f-8f10-7cae5c428675}" id="{0cf02c5e-1a0c-43a9-b863-0e2b989644d9}" done="0">
    <x18tc:text xml:space="preserve">TRANSFERENCIA</x18tc:text>
  </x18tc:threadedComment>
  <x18tc:threadedComment ref="H204" dT="2026-03-31T14:33:52.00" personId="{0346ec8f-e255-4e0f-8f10-7cae5c428675}" id="{05448965-4d07-4193-a12c-b6b91b119eb5}" done="0">
    <x18tc:text xml:space="preserve">TRANSFERENCIA</x18tc:text>
  </x18tc:threadedComment>
  <x18tc:threadedComment ref="H34" dT="2026-03-05T21:22:50.00" personId="{0346ec8f-e255-4e0f-8f10-7cae5c428675}" id="{4a769fde-e76e-4057-ba80-343151974112}" done="0">
    <x18tc:text xml:space="preserve">TRANSFERENCIA</x18tc:text>
  </x18tc:threadedComment>
  <x18tc:threadedComment ref="H87" dT="2026-03-14T16:42:09.00" personId="{0346ec8f-e255-4e0f-8f10-7cae5c428675}" id="{2304e2f1-51f3-441a-8aac-73b1df40a0f0}" done="0">
    <x18tc:text xml:space="preserve">Tarjeta</x18tc:text>
  </x18tc:threadedComment>
  <x18tc:threadedComment ref="H7" dT="2026-03-03T13:33:11.00" personId="{0346ec8f-e255-4e0f-8f10-7cae5c428675}" id="{705a0b3b-4f47-4e50-aa7c-e7de48b0d202}" done="0">
    <x18tc:text xml:space="preserve">TRANSFERENCIA</x18tc:text>
  </x18tc:threadedComment>
  <x18tc:threadedComment ref="H144" dT="2026-03-21T20:04:46.00" personId="{0346ec8f-e255-4e0f-8f10-7cae5c428675}" id="{1de37f1b-2ca6-4ab1-a5b9-80ea9f5bbbfd}" done="0">
    <x18tc:text xml:space="preserve">transferencia</x18tc:text>
  </x18tc:threadedComment>
  <x18tc:threadedComment ref="H146" dT="2026-03-21T22:39:41.00" personId="{0346ec8f-e255-4e0f-8f10-7cae5c428675}" id="{d96d69eb-5344-47b8-a39b-98206a046e1b}" done="0">
    <x18tc:text xml:space="preserve">tarjeta</x18tc:text>
  </x18tc:threadedComment>
  <x18tc:threadedComment ref="H16" dT="2026-03-03T17:29:03.00" personId="{0346ec8f-e255-4e0f-8f10-7cae5c428675}" id="{0dbefefa-694e-4613-8d7b-736acff1d888}" done="0">
    <x18tc:text xml:space="preserve">transferencia</x18tc:text>
  </x18tc:threadedComment>
  <x18tc:threadedComment ref="H137" dT="2026-03-24T13:29:45.00" personId="{0346ec8f-e255-4e0f-8f10-7cae5c428675}" id="{9d1d604b-60a4-4f5c-8056-ccdd426b25c2}" done="0">
    <x18tc:text xml:space="preserve">tarjeta</x18tc:text>
  </x18tc:threadedComment>
  <x18tc:threadedComment ref="H114" dT="2026-03-18T18:56:10.00" personId="{0346ec8f-e255-4e0f-8f10-7cae5c428675}" id="{63c87c0e-af0d-40cc-8973-9352dd32e4f4}" done="0">
    <x18tc:text xml:space="preserve">Tarjeta</x18tc:text>
  </x18tc:threadedComment>
  <x18tc:threadedComment ref="H107" dT="2026-03-16T22:55:48.00" personId="{0346ec8f-e255-4e0f-8f10-7cae5c428675}" id="{ceec03dd-9e58-4726-ab8e-fb2e93851d1d}" done="0">
    <x18tc:text xml:space="preserve">Transferencia</x18tc:text>
  </x18tc:threadedComment>
  <x18tc:threadedComment ref="H178" dT="2026-03-28T13:29:38.00" personId="{0346ec8f-e255-4e0f-8f10-7cae5c428675}" id="{79249bf7-f02e-4d44-9c45-39fda64ffe97}" done="0">
    <x18tc:text xml:space="preserve">tarjeta</x18tc:text>
  </x18tc:threadedComment>
  <x18tc:threadedComment ref="H28" dT="2026-03-04T21:11:46.00" personId="{0346ec8f-e255-4e0f-8f10-7cae5c428675}" id="{cbab7bd7-268e-4b40-a62f-a72da58ad4de}" done="0">
    <x18tc:text xml:space="preserve">transferencia</x18tc:text>
  </x18tc:threadedComment>
  <x18tc:threadedComment ref="H89" dT="2026-03-14T16:23:11.00" personId="{0346ec8f-e255-4e0f-8f10-7cae5c428675}" id="{87bfa0d5-e7ec-49a5-a8f5-1b3943bd3abc}" done="0">
    <x18tc:text xml:space="preserve">Tarjeta</x18tc:text>
  </x18tc:threadedComment>
  <x18tc:threadedComment ref="H90" dT="2026-03-14T16:23:55.00" personId="{0346ec8f-e255-4e0f-8f10-7cae5c428675}" id="{b5d7edfd-869a-4049-bf8d-57a645846e55}" done="0">
    <x18tc:text xml:space="preserve">Tarjeta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5" dT="2026-04-01T16:06:33.00" personId="{0346ec8f-e255-4e0f-8f10-7cae5c428675}" id="{e58c726e-a3a9-4712-acbb-3326f211192b}" done="0">
    <x18tc:text xml:space="preserve">tarjeta</x18tc:text>
  </x18tc:threadedComment>
  <x18tc:threadedComment ref="H5" dT="2026-04-01T16:40:00.00" personId="{0346ec8f-e255-4e0f-8f10-7cae5c428675}" id="{a5632f28-28ff-45f1-be21-33d3a69772e5}" done="0">
    <x18tc:text xml:space="preserve">tarjeta</x18tc:text>
  </x18tc:threadedComment>
  <x18tc:threadedComment ref="H12" dT="2026-04-01T22:15:29.00" personId="{0346ec8f-e255-4e0f-8f10-7cae5c428675}" id="{fa8713a6-7893-44ba-99e7-0731d9d6ffce}" done="0">
    <x18tc:text xml:space="preserve">TRANSFERENCIA</x18tc:text>
  </x18tc:threadedComment>
  <x18tc:threadedComment ref="H11" dT="2026-04-01T22:15:28.00" personId="{0346ec8f-e255-4e0f-8f10-7cae5c428675}" id="{fe3c7f0b-140a-4bff-94d3-b86c71b3d3bd}" done="0">
    <x18tc:text xml:space="preserve">TRANSFERENCIA</x18tc:text>
  </x18tc:threadedComment>
  <x18tc:threadedComment ref="H7" dT="2026-04-01T20:55:29.00" personId="{0346ec8f-e255-4e0f-8f10-7cae5c428675}" id="{49e2246b-593c-4a01-90bc-8ed3f1c91447}" done="0">
    <x18tc:text xml:space="preserve">transferencia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5.5"/>
    <col customWidth="1" min="4" max="4" width="30.38"/>
    <col customWidth="1" min="5" max="5" width="23.88"/>
    <col customWidth="1" min="6" max="6" width="24.75"/>
    <col customWidth="1" min="7" max="7" width="15.25"/>
    <col customWidth="1" min="10" max="10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46027.0</v>
      </c>
      <c r="B2" s="1" t="s">
        <v>10</v>
      </c>
      <c r="C2" s="1" t="s">
        <v>11</v>
      </c>
      <c r="D2" s="1" t="s">
        <v>12</v>
      </c>
      <c r="E2" s="1" t="s">
        <v>13</v>
      </c>
      <c r="F2" s="7"/>
      <c r="G2" s="1" t="s">
        <v>14</v>
      </c>
      <c r="H2" s="8">
        <v>85000.0</v>
      </c>
      <c r="I2" s="9">
        <v>5.6</v>
      </c>
      <c r="J2" s="1" t="s">
        <v>15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46027.0</v>
      </c>
      <c r="B3" s="1" t="s">
        <v>16</v>
      </c>
      <c r="C3" s="1" t="s">
        <v>17</v>
      </c>
      <c r="D3" s="1" t="s">
        <v>18</v>
      </c>
      <c r="E3" s="1" t="s">
        <v>13</v>
      </c>
      <c r="F3" s="7"/>
      <c r="G3" s="1" t="s">
        <v>14</v>
      </c>
      <c r="H3" s="8" t="s">
        <v>19</v>
      </c>
      <c r="I3" s="9">
        <v>14.0</v>
      </c>
      <c r="J3" s="1" t="s">
        <v>15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46027.0</v>
      </c>
      <c r="B4" s="1" t="s">
        <v>20</v>
      </c>
      <c r="C4" s="1" t="s">
        <v>21</v>
      </c>
      <c r="D4" s="1" t="s">
        <v>22</v>
      </c>
      <c r="E4" s="1" t="s">
        <v>23</v>
      </c>
      <c r="F4" s="7"/>
      <c r="G4" s="1" t="s">
        <v>14</v>
      </c>
      <c r="H4" s="8">
        <v>70000.0</v>
      </c>
      <c r="I4" s="1">
        <v>2.0</v>
      </c>
      <c r="J4" s="1" t="s">
        <v>24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46027.0</v>
      </c>
      <c r="B5" s="1" t="s">
        <v>25</v>
      </c>
      <c r="C5" s="1" t="s">
        <v>26</v>
      </c>
      <c r="D5" s="1" t="s">
        <v>27</v>
      </c>
      <c r="E5" s="1" t="s">
        <v>13</v>
      </c>
      <c r="F5" s="7"/>
      <c r="G5" s="1" t="s">
        <v>28</v>
      </c>
      <c r="H5" s="8">
        <v>55000.0</v>
      </c>
      <c r="I5" s="1"/>
      <c r="J5" s="1" t="s">
        <v>15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46027.0</v>
      </c>
      <c r="B6" s="1" t="s">
        <v>25</v>
      </c>
      <c r="C6" s="1" t="s">
        <v>29</v>
      </c>
      <c r="D6" s="1" t="s">
        <v>27</v>
      </c>
      <c r="E6" s="1" t="s">
        <v>13</v>
      </c>
      <c r="F6" s="7"/>
      <c r="G6" s="1" t="s">
        <v>14</v>
      </c>
      <c r="H6" s="8">
        <v>60000.0</v>
      </c>
      <c r="I6" s="9">
        <v>9.2</v>
      </c>
      <c r="J6" s="1" t="s">
        <v>15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46027.0</v>
      </c>
      <c r="B7" s="1" t="s">
        <v>30</v>
      </c>
      <c r="C7" s="1" t="s">
        <v>31</v>
      </c>
      <c r="D7" s="1" t="s">
        <v>32</v>
      </c>
      <c r="E7" s="1" t="s">
        <v>33</v>
      </c>
      <c r="F7" s="1"/>
      <c r="G7" s="1" t="s">
        <v>28</v>
      </c>
      <c r="H7" s="8">
        <v>15000.0</v>
      </c>
      <c r="I7" s="9" t="s">
        <v>19</v>
      </c>
      <c r="J7" s="1" t="s">
        <v>34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46027.0</v>
      </c>
      <c r="B8" s="1" t="s">
        <v>30</v>
      </c>
      <c r="C8" s="1" t="s">
        <v>35</v>
      </c>
      <c r="D8" s="1" t="s">
        <v>36</v>
      </c>
      <c r="E8" s="1" t="s">
        <v>33</v>
      </c>
      <c r="F8" s="7"/>
      <c r="G8" s="1" t="s">
        <v>28</v>
      </c>
      <c r="H8" s="8">
        <v>15000.0</v>
      </c>
      <c r="I8" s="9" t="s">
        <v>19</v>
      </c>
      <c r="J8" s="1" t="s">
        <v>34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46028.0</v>
      </c>
      <c r="B9" s="1" t="s">
        <v>37</v>
      </c>
      <c r="C9" s="1" t="s">
        <v>29</v>
      </c>
      <c r="D9" s="1" t="s">
        <v>22</v>
      </c>
      <c r="E9" s="1" t="s">
        <v>23</v>
      </c>
      <c r="F9" s="7"/>
      <c r="G9" s="1" t="s">
        <v>14</v>
      </c>
      <c r="H9" s="8">
        <v>75000.0</v>
      </c>
      <c r="I9" s="9">
        <v>4.6</v>
      </c>
      <c r="J9" s="1" t="s">
        <v>38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46028.0</v>
      </c>
      <c r="B10" s="1" t="s">
        <v>39</v>
      </c>
      <c r="C10" s="1" t="s">
        <v>40</v>
      </c>
      <c r="D10" s="1" t="s">
        <v>27</v>
      </c>
      <c r="E10" s="1" t="s">
        <v>13</v>
      </c>
      <c r="F10" s="7"/>
      <c r="G10" s="1" t="s">
        <v>28</v>
      </c>
      <c r="H10" s="8">
        <v>60000.0</v>
      </c>
      <c r="I10" s="9">
        <v>15.8</v>
      </c>
      <c r="J10" s="1" t="s">
        <v>15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46028.0</v>
      </c>
      <c r="B11" s="1" t="s">
        <v>41</v>
      </c>
      <c r="C11" s="1" t="s">
        <v>42</v>
      </c>
      <c r="D11" s="1" t="s">
        <v>27</v>
      </c>
      <c r="E11" s="1" t="s">
        <v>13</v>
      </c>
      <c r="F11" s="7"/>
      <c r="G11" s="1" t="s">
        <v>28</v>
      </c>
      <c r="H11" s="8">
        <v>40000.0</v>
      </c>
      <c r="I11" s="9">
        <v>6.8</v>
      </c>
      <c r="J11" s="1" t="s">
        <v>15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46028.0</v>
      </c>
      <c r="B12" s="1" t="s">
        <v>43</v>
      </c>
      <c r="C12" s="1" t="s">
        <v>44</v>
      </c>
      <c r="D12" s="1" t="s">
        <v>12</v>
      </c>
      <c r="E12" s="1" t="s">
        <v>23</v>
      </c>
      <c r="F12" s="1" t="s">
        <v>45</v>
      </c>
      <c r="G12" s="1" t="s">
        <v>14</v>
      </c>
      <c r="H12" s="8">
        <v>80000.0</v>
      </c>
      <c r="I12" s="9">
        <v>6.6</v>
      </c>
      <c r="J12" s="1" t="s">
        <v>38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46028.0</v>
      </c>
      <c r="B13" s="10" t="s">
        <v>46</v>
      </c>
      <c r="C13" s="1" t="s">
        <v>47</v>
      </c>
      <c r="D13" s="1" t="s">
        <v>48</v>
      </c>
      <c r="E13" s="1" t="s">
        <v>13</v>
      </c>
      <c r="F13" s="1"/>
      <c r="G13" s="1" t="s">
        <v>28</v>
      </c>
      <c r="H13" s="8">
        <v>75000.0</v>
      </c>
      <c r="I13" s="9">
        <v>10.9</v>
      </c>
      <c r="J13" s="1" t="s">
        <v>15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46028.0</v>
      </c>
      <c r="B14" s="1" t="s">
        <v>49</v>
      </c>
      <c r="C14" s="1" t="s">
        <v>50</v>
      </c>
      <c r="D14" s="1" t="s">
        <v>12</v>
      </c>
      <c r="E14" s="1" t="s">
        <v>23</v>
      </c>
      <c r="F14" s="7"/>
      <c r="G14" s="1" t="s">
        <v>14</v>
      </c>
      <c r="H14" s="8">
        <v>70000.0</v>
      </c>
      <c r="I14" s="9">
        <v>5.4</v>
      </c>
      <c r="J14" s="1" t="s">
        <v>15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46028.0</v>
      </c>
      <c r="B15" s="1" t="s">
        <v>30</v>
      </c>
      <c r="C15" s="1" t="s">
        <v>51</v>
      </c>
      <c r="D15" s="1" t="s">
        <v>36</v>
      </c>
      <c r="E15" s="1" t="s">
        <v>33</v>
      </c>
      <c r="F15" s="7"/>
      <c r="G15" s="1" t="s">
        <v>28</v>
      </c>
      <c r="H15" s="8">
        <v>15000.0</v>
      </c>
      <c r="I15" s="9" t="s">
        <v>19</v>
      </c>
      <c r="J15" s="1" t="s">
        <v>34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46029.0</v>
      </c>
      <c r="B16" s="1" t="s">
        <v>52</v>
      </c>
      <c r="C16" s="1" t="s">
        <v>53</v>
      </c>
      <c r="D16" s="1" t="s">
        <v>54</v>
      </c>
      <c r="E16" s="1" t="s">
        <v>13</v>
      </c>
      <c r="F16" s="7"/>
      <c r="G16" s="1" t="s">
        <v>14</v>
      </c>
      <c r="H16" s="8">
        <v>95000.0</v>
      </c>
      <c r="I16" s="9"/>
      <c r="J16" s="1" t="s">
        <v>15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46029.0</v>
      </c>
      <c r="B17" s="1" t="s">
        <v>52</v>
      </c>
      <c r="C17" s="1" t="s">
        <v>29</v>
      </c>
      <c r="D17" s="1" t="s">
        <v>54</v>
      </c>
      <c r="E17" s="1" t="s">
        <v>13</v>
      </c>
      <c r="F17" s="7"/>
      <c r="G17" s="1" t="s">
        <v>14</v>
      </c>
      <c r="H17" s="8">
        <v>85000.0</v>
      </c>
      <c r="I17" s="9"/>
      <c r="J17" s="1" t="s">
        <v>15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46029.0</v>
      </c>
      <c r="B18" s="1" t="s">
        <v>55</v>
      </c>
      <c r="C18" s="1" t="s">
        <v>56</v>
      </c>
      <c r="D18" s="1" t="s">
        <v>57</v>
      </c>
      <c r="E18" s="1" t="s">
        <v>13</v>
      </c>
      <c r="F18" s="7"/>
      <c r="G18" s="1" t="s">
        <v>28</v>
      </c>
      <c r="H18" s="8">
        <v>75000.0</v>
      </c>
      <c r="I18" s="9"/>
      <c r="J18" s="1" t="s">
        <v>15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46029.0</v>
      </c>
      <c r="B19" s="1" t="s">
        <v>55</v>
      </c>
      <c r="C19" s="1" t="s">
        <v>58</v>
      </c>
      <c r="D19" s="1" t="s">
        <v>57</v>
      </c>
      <c r="E19" s="1" t="s">
        <v>13</v>
      </c>
      <c r="F19" s="7"/>
      <c r="G19" s="1" t="s">
        <v>28</v>
      </c>
      <c r="H19" s="8">
        <v>75000.0</v>
      </c>
      <c r="I19" s="9"/>
      <c r="J19" s="1" t="s">
        <v>15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46029.0</v>
      </c>
      <c r="B20" s="1" t="s">
        <v>59</v>
      </c>
      <c r="C20" s="1" t="s">
        <v>60</v>
      </c>
      <c r="D20" s="1" t="s">
        <v>12</v>
      </c>
      <c r="E20" s="1" t="s">
        <v>23</v>
      </c>
      <c r="F20" s="7"/>
      <c r="G20" s="1" t="s">
        <v>14</v>
      </c>
      <c r="H20" s="8">
        <v>80000.0</v>
      </c>
      <c r="I20" s="9"/>
      <c r="J20" s="1" t="s">
        <v>24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46030.0</v>
      </c>
      <c r="B21" s="1" t="s">
        <v>61</v>
      </c>
      <c r="C21" s="1" t="s">
        <v>62</v>
      </c>
      <c r="D21" s="1" t="s">
        <v>63</v>
      </c>
      <c r="E21" s="1" t="s">
        <v>13</v>
      </c>
      <c r="F21" s="1"/>
      <c r="G21" s="1" t="s">
        <v>14</v>
      </c>
      <c r="H21" s="8">
        <v>65000.0</v>
      </c>
      <c r="I21" s="9">
        <v>3.5</v>
      </c>
      <c r="J21" s="1" t="s">
        <v>15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46030.0</v>
      </c>
      <c r="B22" s="1" t="s">
        <v>64</v>
      </c>
      <c r="C22" s="1" t="s">
        <v>65</v>
      </c>
      <c r="D22" s="1" t="s">
        <v>27</v>
      </c>
      <c r="E22" s="1" t="s">
        <v>13</v>
      </c>
      <c r="F22" s="7"/>
      <c r="G22" s="1" t="s">
        <v>28</v>
      </c>
      <c r="H22" s="8">
        <v>65000.0</v>
      </c>
      <c r="I22" s="9">
        <v>14.2</v>
      </c>
      <c r="J22" s="1" t="s">
        <v>15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46030.0</v>
      </c>
      <c r="B23" s="1" t="s">
        <v>66</v>
      </c>
      <c r="C23" s="1" t="s">
        <v>67</v>
      </c>
      <c r="D23" s="1" t="s">
        <v>27</v>
      </c>
      <c r="E23" s="1" t="s">
        <v>13</v>
      </c>
      <c r="F23" s="7"/>
      <c r="G23" s="1" t="s">
        <v>28</v>
      </c>
      <c r="H23" s="8">
        <v>65000.0</v>
      </c>
      <c r="I23" s="9">
        <v>9.5</v>
      </c>
      <c r="J23" s="1" t="s">
        <v>15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46030.0</v>
      </c>
      <c r="B24" s="1" t="s">
        <v>68</v>
      </c>
      <c r="C24" s="1" t="s">
        <v>69</v>
      </c>
      <c r="D24" s="1" t="s">
        <v>27</v>
      </c>
      <c r="E24" s="1" t="s">
        <v>13</v>
      </c>
      <c r="F24" s="7"/>
      <c r="G24" s="1" t="s">
        <v>28</v>
      </c>
      <c r="H24" s="8">
        <v>65000.0</v>
      </c>
      <c r="I24" s="9">
        <v>24.2</v>
      </c>
      <c r="J24" s="1" t="s">
        <v>15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46030.0</v>
      </c>
      <c r="B25" s="1" t="s">
        <v>70</v>
      </c>
      <c r="C25" s="1" t="s">
        <v>71</v>
      </c>
      <c r="D25" s="1" t="s">
        <v>72</v>
      </c>
      <c r="E25" s="1" t="s">
        <v>73</v>
      </c>
      <c r="F25" s="7"/>
      <c r="G25" s="1" t="s">
        <v>14</v>
      </c>
      <c r="H25" s="8">
        <v>120000.0</v>
      </c>
      <c r="I25" s="9">
        <v>1.74</v>
      </c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46030.0</v>
      </c>
      <c r="B26" s="1" t="s">
        <v>74</v>
      </c>
      <c r="C26" s="1" t="s">
        <v>75</v>
      </c>
      <c r="D26" s="1" t="s">
        <v>72</v>
      </c>
      <c r="E26" s="1" t="s">
        <v>13</v>
      </c>
      <c r="F26" s="7"/>
      <c r="G26" s="1" t="s">
        <v>28</v>
      </c>
      <c r="H26" s="8">
        <v>20000.0</v>
      </c>
      <c r="I26" s="9">
        <v>2.6</v>
      </c>
      <c r="J26" s="1" t="s">
        <v>15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46031.0</v>
      </c>
      <c r="B27" s="1" t="s">
        <v>76</v>
      </c>
      <c r="C27" s="1" t="s">
        <v>77</v>
      </c>
      <c r="D27" s="1" t="s">
        <v>22</v>
      </c>
      <c r="E27" s="1" t="s">
        <v>23</v>
      </c>
      <c r="F27" s="7"/>
      <c r="G27" s="1" t="s">
        <v>14</v>
      </c>
      <c r="H27" s="8">
        <v>90000.0</v>
      </c>
      <c r="I27" s="9">
        <v>8.0</v>
      </c>
      <c r="J27" s="1" t="s">
        <v>24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46031.0</v>
      </c>
      <c r="B28" s="1" t="s">
        <v>78</v>
      </c>
      <c r="C28" s="1" t="s">
        <v>79</v>
      </c>
      <c r="D28" s="1" t="s">
        <v>12</v>
      </c>
      <c r="E28" s="1" t="s">
        <v>13</v>
      </c>
      <c r="F28" s="7"/>
      <c r="G28" s="1" t="s">
        <v>14</v>
      </c>
      <c r="H28" s="8">
        <v>65000.0</v>
      </c>
      <c r="I28" s="9">
        <v>4.0</v>
      </c>
      <c r="J28" s="1" t="s">
        <v>15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46031.0</v>
      </c>
      <c r="B29" s="1" t="s">
        <v>80</v>
      </c>
      <c r="C29" s="1" t="s">
        <v>81</v>
      </c>
      <c r="D29" s="1" t="s">
        <v>82</v>
      </c>
      <c r="E29" s="1" t="s">
        <v>13</v>
      </c>
      <c r="F29" s="7"/>
      <c r="G29" s="1" t="s">
        <v>28</v>
      </c>
      <c r="H29" s="8">
        <v>60000.0</v>
      </c>
      <c r="I29" s="9">
        <v>19.7</v>
      </c>
      <c r="J29" s="1" t="s">
        <v>15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46031.0</v>
      </c>
      <c r="B30" s="1" t="s">
        <v>83</v>
      </c>
      <c r="C30" s="1" t="s">
        <v>84</v>
      </c>
      <c r="D30" s="1" t="s">
        <v>12</v>
      </c>
      <c r="E30" s="1" t="s">
        <v>23</v>
      </c>
      <c r="F30" s="1" t="s">
        <v>85</v>
      </c>
      <c r="G30" s="1" t="s">
        <v>14</v>
      </c>
      <c r="H30" s="8">
        <v>90000.0</v>
      </c>
      <c r="I30" s="9">
        <v>3.0</v>
      </c>
      <c r="J30" s="1" t="s">
        <v>15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46031.0</v>
      </c>
      <c r="B31" s="1" t="s">
        <v>86</v>
      </c>
      <c r="C31" s="1" t="s">
        <v>87</v>
      </c>
      <c r="D31" s="1" t="s">
        <v>88</v>
      </c>
      <c r="E31" s="1" t="s">
        <v>23</v>
      </c>
      <c r="F31" s="1" t="s">
        <v>89</v>
      </c>
      <c r="G31" s="1" t="s">
        <v>14</v>
      </c>
      <c r="H31" s="8">
        <v>140000.0</v>
      </c>
      <c r="I31" s="9">
        <v>2.7</v>
      </c>
      <c r="J31" s="1" t="s">
        <v>24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46032.0</v>
      </c>
      <c r="B32" s="1" t="s">
        <v>90</v>
      </c>
      <c r="C32" s="1" t="s">
        <v>91</v>
      </c>
      <c r="D32" s="1" t="s">
        <v>27</v>
      </c>
      <c r="E32" s="1" t="s">
        <v>13</v>
      </c>
      <c r="F32" s="7"/>
      <c r="G32" s="1" t="s">
        <v>28</v>
      </c>
      <c r="H32" s="8">
        <v>85000.0</v>
      </c>
      <c r="I32" s="9">
        <v>34.0</v>
      </c>
      <c r="J32" s="1" t="s">
        <v>15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46032.0</v>
      </c>
      <c r="B33" s="1" t="s">
        <v>92</v>
      </c>
      <c r="C33" s="1" t="s">
        <v>93</v>
      </c>
      <c r="D33" s="1" t="s">
        <v>27</v>
      </c>
      <c r="E33" s="1" t="s">
        <v>13</v>
      </c>
      <c r="F33" s="7"/>
      <c r="G33" s="1" t="s">
        <v>14</v>
      </c>
      <c r="H33" s="8">
        <v>70000.0</v>
      </c>
      <c r="I33" s="9">
        <v>4.1</v>
      </c>
      <c r="J33" s="1" t="s">
        <v>15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46032.0</v>
      </c>
      <c r="B34" s="1" t="s">
        <v>16</v>
      </c>
      <c r="C34" s="1" t="s">
        <v>17</v>
      </c>
      <c r="D34" s="1" t="s">
        <v>18</v>
      </c>
      <c r="E34" s="1" t="s">
        <v>23</v>
      </c>
      <c r="F34" s="1"/>
      <c r="G34" s="1" t="s">
        <v>14</v>
      </c>
      <c r="H34" s="8">
        <v>200000.0</v>
      </c>
      <c r="I34" s="9">
        <v>14.6</v>
      </c>
      <c r="J34" s="1" t="s">
        <v>15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46032.0</v>
      </c>
      <c r="B35" s="1" t="s">
        <v>94</v>
      </c>
      <c r="C35" s="1" t="s">
        <v>95</v>
      </c>
      <c r="D35" s="1" t="s">
        <v>18</v>
      </c>
      <c r="E35" s="1" t="s">
        <v>23</v>
      </c>
      <c r="F35" s="7"/>
      <c r="G35" s="1" t="s">
        <v>14</v>
      </c>
      <c r="H35" s="8">
        <v>75000.0</v>
      </c>
      <c r="I35" s="9">
        <v>18.0</v>
      </c>
      <c r="J35" s="1" t="s">
        <v>96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46032.0</v>
      </c>
      <c r="B36" s="1" t="s">
        <v>97</v>
      </c>
      <c r="C36" s="1" t="s">
        <v>98</v>
      </c>
      <c r="D36" s="1" t="s">
        <v>22</v>
      </c>
      <c r="E36" s="1" t="s">
        <v>23</v>
      </c>
      <c r="F36" s="7"/>
      <c r="G36" s="1" t="s">
        <v>14</v>
      </c>
      <c r="H36" s="8">
        <v>85000.0</v>
      </c>
      <c r="I36" s="9">
        <v>4.7</v>
      </c>
      <c r="J36" s="1" t="s">
        <v>15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46032.0</v>
      </c>
      <c r="B37" s="1"/>
      <c r="C37" s="1" t="s">
        <v>99</v>
      </c>
      <c r="D37" s="1" t="s">
        <v>36</v>
      </c>
      <c r="E37" s="1" t="s">
        <v>33</v>
      </c>
      <c r="F37" s="7"/>
      <c r="G37" s="1" t="s">
        <v>28</v>
      </c>
      <c r="H37" s="8">
        <v>15000.0</v>
      </c>
      <c r="I37" s="1"/>
      <c r="J37" s="1" t="s">
        <v>34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46035.0</v>
      </c>
      <c r="B38" s="1" t="s">
        <v>100</v>
      </c>
      <c r="C38" s="1" t="s">
        <v>101</v>
      </c>
      <c r="D38" s="1" t="s">
        <v>12</v>
      </c>
      <c r="E38" s="1" t="s">
        <v>13</v>
      </c>
      <c r="F38" s="7"/>
      <c r="G38" s="1" t="s">
        <v>14</v>
      </c>
      <c r="H38" s="8">
        <v>70000.0</v>
      </c>
      <c r="I38" s="9">
        <v>2.9</v>
      </c>
      <c r="J38" s="1" t="s">
        <v>15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46035.0</v>
      </c>
      <c r="B39" s="1" t="s">
        <v>102</v>
      </c>
      <c r="C39" s="1" t="s">
        <v>103</v>
      </c>
      <c r="D39" s="1" t="s">
        <v>22</v>
      </c>
      <c r="E39" s="1" t="s">
        <v>13</v>
      </c>
      <c r="F39" s="7"/>
      <c r="G39" s="1" t="s">
        <v>14</v>
      </c>
      <c r="H39" s="8">
        <v>80000.0</v>
      </c>
      <c r="I39" s="9"/>
      <c r="J39" s="1" t="s">
        <v>34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46035.0</v>
      </c>
      <c r="B40" s="1" t="s">
        <v>104</v>
      </c>
      <c r="C40" s="1" t="s">
        <v>105</v>
      </c>
      <c r="D40" s="1" t="s">
        <v>12</v>
      </c>
      <c r="E40" s="1" t="s">
        <v>23</v>
      </c>
      <c r="F40" s="7"/>
      <c r="G40" s="1" t="s">
        <v>14</v>
      </c>
      <c r="H40" s="8">
        <v>80000.0</v>
      </c>
      <c r="I40" s="9">
        <v>7.0</v>
      </c>
      <c r="J40" s="1" t="s">
        <v>96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46035.0</v>
      </c>
      <c r="B41" s="1" t="s">
        <v>106</v>
      </c>
      <c r="C41" s="1" t="s">
        <v>107</v>
      </c>
      <c r="D41" s="1" t="s">
        <v>12</v>
      </c>
      <c r="E41" s="1" t="s">
        <v>23</v>
      </c>
      <c r="F41" s="1" t="s">
        <v>108</v>
      </c>
      <c r="G41" s="1" t="s">
        <v>14</v>
      </c>
      <c r="H41" s="8">
        <v>100000.0</v>
      </c>
      <c r="I41" s="9">
        <v>7.4</v>
      </c>
      <c r="J41" s="1" t="s">
        <v>38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46035.0</v>
      </c>
      <c r="B42" s="1"/>
      <c r="C42" s="1"/>
      <c r="D42" s="1" t="s">
        <v>109</v>
      </c>
      <c r="E42" s="1" t="s">
        <v>33</v>
      </c>
      <c r="F42" s="7"/>
      <c r="G42" s="1" t="s">
        <v>28</v>
      </c>
      <c r="H42" s="8">
        <v>10000.0</v>
      </c>
      <c r="I42" s="9"/>
      <c r="J42" s="1" t="s">
        <v>34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46035.0</v>
      </c>
      <c r="B43" s="1"/>
      <c r="C43" s="1"/>
      <c r="D43" s="1" t="s">
        <v>109</v>
      </c>
      <c r="E43" s="1" t="s">
        <v>33</v>
      </c>
      <c r="F43" s="7"/>
      <c r="G43" s="1" t="s">
        <v>28</v>
      </c>
      <c r="H43" s="8">
        <v>10000.0</v>
      </c>
      <c r="I43" s="9"/>
      <c r="J43" s="1" t="s">
        <v>34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46035.0</v>
      </c>
      <c r="B44" s="1"/>
      <c r="C44" s="1"/>
      <c r="D44" s="1" t="s">
        <v>27</v>
      </c>
      <c r="E44" s="1" t="s">
        <v>33</v>
      </c>
      <c r="F44" s="7"/>
      <c r="G44" s="1" t="s">
        <v>28</v>
      </c>
      <c r="H44" s="8">
        <v>12000.0</v>
      </c>
      <c r="I44" s="9"/>
      <c r="J44" s="1" t="s">
        <v>34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46036.0</v>
      </c>
      <c r="B45" s="1" t="s">
        <v>110</v>
      </c>
      <c r="C45" s="1" t="s">
        <v>29</v>
      </c>
      <c r="D45" s="1" t="s">
        <v>27</v>
      </c>
      <c r="E45" s="1" t="s">
        <v>23</v>
      </c>
      <c r="F45" s="7"/>
      <c r="G45" s="1" t="s">
        <v>28</v>
      </c>
      <c r="H45" s="8">
        <v>80000.0</v>
      </c>
      <c r="I45" s="9">
        <v>11.5</v>
      </c>
      <c r="J45" s="1" t="s">
        <v>15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46036.0</v>
      </c>
      <c r="B46" s="1" t="s">
        <v>111</v>
      </c>
      <c r="C46" s="1" t="s">
        <v>112</v>
      </c>
      <c r="D46" s="1" t="s">
        <v>113</v>
      </c>
      <c r="E46" s="1" t="s">
        <v>23</v>
      </c>
      <c r="F46" s="7"/>
      <c r="G46" s="1" t="s">
        <v>14</v>
      </c>
      <c r="H46" s="8">
        <v>80000.0</v>
      </c>
      <c r="I46" s="9">
        <v>7.0</v>
      </c>
      <c r="J46" s="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46036.0</v>
      </c>
      <c r="B47" s="1" t="s">
        <v>114</v>
      </c>
      <c r="C47" s="1" t="s">
        <v>115</v>
      </c>
      <c r="D47" s="1" t="s">
        <v>12</v>
      </c>
      <c r="E47" s="1" t="s">
        <v>13</v>
      </c>
      <c r="F47" s="7"/>
      <c r="G47" s="1" t="s">
        <v>14</v>
      </c>
      <c r="H47" s="8">
        <v>75000.0</v>
      </c>
      <c r="I47" s="9">
        <v>4.4</v>
      </c>
      <c r="J47" s="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46036.0</v>
      </c>
      <c r="B48" s="1"/>
      <c r="C48" s="1"/>
      <c r="D48" s="1" t="s">
        <v>36</v>
      </c>
      <c r="E48" s="1" t="s">
        <v>33</v>
      </c>
      <c r="F48" s="1" t="s">
        <v>116</v>
      </c>
      <c r="G48" s="1"/>
      <c r="H48" s="8">
        <v>20000.0</v>
      </c>
      <c r="I48" s="9"/>
      <c r="J48" s="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46037.0</v>
      </c>
      <c r="B49" s="1" t="s">
        <v>117</v>
      </c>
      <c r="C49" s="1" t="s">
        <v>118</v>
      </c>
      <c r="D49" s="1" t="s">
        <v>18</v>
      </c>
      <c r="E49" s="1" t="s">
        <v>13</v>
      </c>
      <c r="F49" s="7"/>
      <c r="G49" s="1" t="s">
        <v>14</v>
      </c>
      <c r="H49" s="8">
        <v>80000.0</v>
      </c>
      <c r="I49" s="9">
        <v>14.3</v>
      </c>
      <c r="J49" s="1" t="s">
        <v>15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46037.0</v>
      </c>
      <c r="B50" s="1" t="s">
        <v>119</v>
      </c>
      <c r="C50" s="1" t="s">
        <v>120</v>
      </c>
      <c r="D50" s="1" t="s">
        <v>54</v>
      </c>
      <c r="E50" s="1" t="s">
        <v>13</v>
      </c>
      <c r="F50" s="7"/>
      <c r="G50" s="1" t="s">
        <v>14</v>
      </c>
      <c r="H50" s="8">
        <v>80000.0</v>
      </c>
      <c r="I50" s="9">
        <v>35.0</v>
      </c>
      <c r="J50" s="1" t="s">
        <v>15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46037.0</v>
      </c>
      <c r="B51" s="1" t="s">
        <v>121</v>
      </c>
      <c r="C51" s="1" t="s">
        <v>122</v>
      </c>
      <c r="D51" s="1" t="s">
        <v>113</v>
      </c>
      <c r="E51" s="1" t="s">
        <v>23</v>
      </c>
      <c r="F51" s="7"/>
      <c r="G51" s="1" t="s">
        <v>14</v>
      </c>
      <c r="H51" s="8">
        <v>85000.0</v>
      </c>
      <c r="I51" s="9">
        <v>7.4</v>
      </c>
      <c r="J51" s="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46037.0</v>
      </c>
      <c r="B52" s="1" t="s">
        <v>121</v>
      </c>
      <c r="C52" s="1" t="s">
        <v>123</v>
      </c>
      <c r="D52" s="1" t="s">
        <v>124</v>
      </c>
      <c r="E52" s="1" t="s">
        <v>23</v>
      </c>
      <c r="F52" s="7"/>
      <c r="G52" s="1" t="s">
        <v>14</v>
      </c>
      <c r="H52" s="8">
        <v>95000.0</v>
      </c>
      <c r="I52" s="9">
        <v>7.7</v>
      </c>
      <c r="J52" s="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46038.0</v>
      </c>
      <c r="B53" s="1" t="s">
        <v>125</v>
      </c>
      <c r="C53" s="1" t="s">
        <v>126</v>
      </c>
      <c r="D53" s="1" t="s">
        <v>12</v>
      </c>
      <c r="E53" s="1" t="s">
        <v>13</v>
      </c>
      <c r="F53" s="7"/>
      <c r="G53" s="1" t="s">
        <v>14</v>
      </c>
      <c r="H53" s="8">
        <v>75000.0</v>
      </c>
      <c r="I53" s="9"/>
      <c r="J53" s="1" t="s">
        <v>24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46038.0</v>
      </c>
      <c r="B54" s="1" t="s">
        <v>125</v>
      </c>
      <c r="C54" s="1" t="s">
        <v>126</v>
      </c>
      <c r="D54" s="1" t="s">
        <v>12</v>
      </c>
      <c r="E54" s="1" t="s">
        <v>73</v>
      </c>
      <c r="F54" s="7"/>
      <c r="G54" s="1" t="s">
        <v>14</v>
      </c>
      <c r="H54" s="8">
        <v>60000.0</v>
      </c>
      <c r="I54" s="9"/>
      <c r="J54" s="1" t="s">
        <v>34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46038.0</v>
      </c>
      <c r="B55" s="1" t="s">
        <v>127</v>
      </c>
      <c r="C55" s="1" t="s">
        <v>128</v>
      </c>
      <c r="D55" s="1" t="s">
        <v>109</v>
      </c>
      <c r="E55" s="1" t="s">
        <v>13</v>
      </c>
      <c r="F55" s="7"/>
      <c r="G55" s="1" t="s">
        <v>28</v>
      </c>
      <c r="H55" s="8">
        <v>30000.0</v>
      </c>
      <c r="I55" s="9">
        <v>2.8</v>
      </c>
      <c r="J55" s="1" t="s">
        <v>15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46038.0</v>
      </c>
      <c r="B56" s="1" t="s">
        <v>129</v>
      </c>
      <c r="C56" s="1" t="s">
        <v>130</v>
      </c>
      <c r="D56" s="1" t="s">
        <v>12</v>
      </c>
      <c r="E56" s="1" t="s">
        <v>13</v>
      </c>
      <c r="F56" s="7"/>
      <c r="G56" s="1" t="s">
        <v>14</v>
      </c>
      <c r="H56" s="8">
        <v>90000.0</v>
      </c>
      <c r="I56" s="9">
        <v>5.6</v>
      </c>
      <c r="J56" s="1" t="s">
        <v>15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46038.0</v>
      </c>
      <c r="B57" s="1" t="s">
        <v>86</v>
      </c>
      <c r="C57" s="1" t="s">
        <v>87</v>
      </c>
      <c r="D57" s="1" t="s">
        <v>88</v>
      </c>
      <c r="E57" s="1" t="s">
        <v>131</v>
      </c>
      <c r="F57" s="7"/>
      <c r="G57" s="1" t="s">
        <v>14</v>
      </c>
      <c r="H57" s="8" t="s">
        <v>19</v>
      </c>
      <c r="I57" s="9"/>
      <c r="J57" s="1" t="s">
        <v>24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46039.0</v>
      </c>
      <c r="B58" s="1" t="s">
        <v>132</v>
      </c>
      <c r="C58" s="1" t="s">
        <v>133</v>
      </c>
      <c r="D58" s="1" t="s">
        <v>18</v>
      </c>
      <c r="E58" s="1" t="s">
        <v>23</v>
      </c>
      <c r="F58" s="7"/>
      <c r="G58" s="1" t="s">
        <v>14</v>
      </c>
      <c r="H58" s="8">
        <v>150000.0</v>
      </c>
      <c r="I58" s="9">
        <v>10.8</v>
      </c>
      <c r="J58" s="1" t="s">
        <v>38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46039.0</v>
      </c>
      <c r="B59" s="1" t="s">
        <v>134</v>
      </c>
      <c r="C59" s="1" t="s">
        <v>135</v>
      </c>
      <c r="D59" s="1" t="s">
        <v>109</v>
      </c>
      <c r="E59" s="1" t="s">
        <v>13</v>
      </c>
      <c r="F59" s="7"/>
      <c r="G59" s="1" t="s">
        <v>28</v>
      </c>
      <c r="H59" s="8">
        <v>35000.0</v>
      </c>
      <c r="I59" s="9"/>
      <c r="J59" s="1" t="s">
        <v>15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46039.0</v>
      </c>
      <c r="B60" s="1" t="s">
        <v>134</v>
      </c>
      <c r="C60" s="1" t="s">
        <v>136</v>
      </c>
      <c r="D60" s="1" t="s">
        <v>109</v>
      </c>
      <c r="E60" s="1" t="s">
        <v>13</v>
      </c>
      <c r="F60" s="7"/>
      <c r="G60" s="1" t="s">
        <v>28</v>
      </c>
      <c r="H60" s="8">
        <v>35000.0</v>
      </c>
      <c r="I60" s="9"/>
      <c r="J60" s="1" t="s">
        <v>15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46039.0</v>
      </c>
      <c r="B61" s="1" t="s">
        <v>137</v>
      </c>
      <c r="C61" s="1" t="s">
        <v>17</v>
      </c>
      <c r="D61" s="1" t="s">
        <v>18</v>
      </c>
      <c r="E61" s="1" t="s">
        <v>13</v>
      </c>
      <c r="F61" s="7"/>
      <c r="G61" s="1" t="s">
        <v>14</v>
      </c>
      <c r="H61" s="8" t="s">
        <v>19</v>
      </c>
      <c r="I61" s="9"/>
      <c r="J61" s="1" t="s">
        <v>15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46039.0</v>
      </c>
      <c r="B62" s="1" t="s">
        <v>138</v>
      </c>
      <c r="C62" s="1" t="s">
        <v>139</v>
      </c>
      <c r="D62" s="1" t="s">
        <v>12</v>
      </c>
      <c r="E62" s="1" t="s">
        <v>13</v>
      </c>
      <c r="F62" s="7"/>
      <c r="G62" s="1" t="s">
        <v>14</v>
      </c>
      <c r="H62" s="8">
        <v>75000.0</v>
      </c>
      <c r="I62" s="9">
        <v>4.5</v>
      </c>
      <c r="J62" s="1" t="s">
        <v>38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46039.0</v>
      </c>
      <c r="B63" s="1" t="s">
        <v>140</v>
      </c>
      <c r="C63" s="1" t="s">
        <v>141</v>
      </c>
      <c r="D63" s="1" t="s">
        <v>109</v>
      </c>
      <c r="E63" s="1" t="s">
        <v>13</v>
      </c>
      <c r="F63" s="7"/>
      <c r="G63" s="1" t="s">
        <v>28</v>
      </c>
      <c r="H63" s="8">
        <v>30000.0</v>
      </c>
      <c r="I63" s="9"/>
      <c r="J63" s="1" t="s">
        <v>96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46039.0</v>
      </c>
      <c r="B64" s="1" t="s">
        <v>142</v>
      </c>
      <c r="C64" s="1" t="s">
        <v>143</v>
      </c>
      <c r="D64" s="1" t="s">
        <v>144</v>
      </c>
      <c r="E64" s="1" t="s">
        <v>13</v>
      </c>
      <c r="F64" s="7"/>
      <c r="G64" s="1" t="s">
        <v>14</v>
      </c>
      <c r="H64" s="8">
        <v>95000.0</v>
      </c>
      <c r="I64" s="9"/>
      <c r="J64" s="1" t="s">
        <v>15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6">
        <v>46039.0</v>
      </c>
      <c r="B65" s="1"/>
      <c r="C65" s="1"/>
      <c r="D65" s="1" t="s">
        <v>145</v>
      </c>
      <c r="E65" s="1" t="s">
        <v>33</v>
      </c>
      <c r="F65" s="7"/>
      <c r="G65" s="1" t="s">
        <v>28</v>
      </c>
      <c r="H65" s="8">
        <v>15000.0</v>
      </c>
      <c r="I65" s="1"/>
      <c r="J65" s="1" t="s">
        <v>34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6">
        <v>46041.0</v>
      </c>
      <c r="B66" s="1" t="s">
        <v>146</v>
      </c>
      <c r="C66" s="1" t="s">
        <v>147</v>
      </c>
      <c r="D66" s="1" t="s">
        <v>32</v>
      </c>
      <c r="E66" s="1" t="s">
        <v>13</v>
      </c>
      <c r="F66" s="7"/>
      <c r="G66" s="1" t="s">
        <v>28</v>
      </c>
      <c r="H66" s="8">
        <v>55000.0</v>
      </c>
      <c r="I66" s="9"/>
      <c r="J66" s="1" t="s">
        <v>15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46041.0</v>
      </c>
      <c r="B67" s="1" t="s">
        <v>148</v>
      </c>
      <c r="C67" s="1" t="s">
        <v>149</v>
      </c>
      <c r="D67" s="1" t="s">
        <v>150</v>
      </c>
      <c r="E67" s="1" t="s">
        <v>13</v>
      </c>
      <c r="F67" s="7"/>
      <c r="G67" s="1" t="s">
        <v>14</v>
      </c>
      <c r="H67" s="8">
        <v>90000.0</v>
      </c>
      <c r="I67" s="9"/>
      <c r="J67" s="1" t="s">
        <v>15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46041.0</v>
      </c>
      <c r="B68" s="1" t="s">
        <v>151</v>
      </c>
      <c r="C68" s="1" t="s">
        <v>11</v>
      </c>
      <c r="D68" s="1" t="s">
        <v>12</v>
      </c>
      <c r="E68" s="1" t="s">
        <v>13</v>
      </c>
      <c r="F68" s="7"/>
      <c r="G68" s="1" t="s">
        <v>14</v>
      </c>
      <c r="H68" s="11">
        <v>85000.0</v>
      </c>
      <c r="I68" s="9">
        <v>5.3</v>
      </c>
      <c r="J68" s="1" t="s">
        <v>15</v>
      </c>
      <c r="K68" s="12" t="s">
        <v>152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46041.0</v>
      </c>
      <c r="B69" s="1" t="s">
        <v>153</v>
      </c>
      <c r="C69" s="1" t="s">
        <v>87</v>
      </c>
      <c r="D69" s="1" t="s">
        <v>22</v>
      </c>
      <c r="E69" s="1" t="s">
        <v>13</v>
      </c>
      <c r="F69" s="7"/>
      <c r="G69" s="1" t="s">
        <v>14</v>
      </c>
      <c r="H69" s="8">
        <v>75000.0</v>
      </c>
      <c r="I69" s="9">
        <v>2.8</v>
      </c>
      <c r="J69" s="1" t="s">
        <v>24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46041.0</v>
      </c>
      <c r="B70" s="1" t="s">
        <v>154</v>
      </c>
      <c r="C70" s="1" t="s">
        <v>155</v>
      </c>
      <c r="D70" s="1" t="s">
        <v>156</v>
      </c>
      <c r="E70" s="1" t="s">
        <v>157</v>
      </c>
      <c r="F70" s="7"/>
      <c r="G70" s="1" t="s">
        <v>14</v>
      </c>
      <c r="H70" s="8">
        <v>65000.0</v>
      </c>
      <c r="I70" s="9">
        <v>1.2</v>
      </c>
      <c r="J70" s="1" t="s">
        <v>15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46041.0</v>
      </c>
      <c r="B71" s="1" t="s">
        <v>158</v>
      </c>
      <c r="C71" s="1" t="s">
        <v>159</v>
      </c>
      <c r="D71" s="1" t="s">
        <v>160</v>
      </c>
      <c r="E71" s="1" t="s">
        <v>157</v>
      </c>
      <c r="F71" s="7"/>
      <c r="G71" s="1" t="s">
        <v>14</v>
      </c>
      <c r="H71" s="8">
        <v>90000.0</v>
      </c>
      <c r="I71" s="9">
        <v>27.5</v>
      </c>
      <c r="J71" s="1" t="s">
        <v>15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46041.0</v>
      </c>
      <c r="B72" s="1"/>
      <c r="C72" s="1"/>
      <c r="D72" s="1" t="s">
        <v>22</v>
      </c>
      <c r="E72" s="1" t="s">
        <v>33</v>
      </c>
      <c r="F72" s="7"/>
      <c r="G72" s="1" t="s">
        <v>14</v>
      </c>
      <c r="H72" s="8">
        <v>15000.0</v>
      </c>
      <c r="I72" s="9" t="s">
        <v>19</v>
      </c>
      <c r="J72" s="1" t="s">
        <v>34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46042.0</v>
      </c>
      <c r="B73" s="1" t="s">
        <v>161</v>
      </c>
      <c r="C73" s="1" t="s">
        <v>162</v>
      </c>
      <c r="D73" s="1" t="s">
        <v>18</v>
      </c>
      <c r="E73" s="1" t="s">
        <v>23</v>
      </c>
      <c r="F73" s="1" t="s">
        <v>45</v>
      </c>
      <c r="G73" s="1" t="s">
        <v>14</v>
      </c>
      <c r="H73" s="8">
        <v>120000.0</v>
      </c>
      <c r="I73" s="9">
        <v>18.0</v>
      </c>
      <c r="J73" s="1" t="s">
        <v>24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46042.0</v>
      </c>
      <c r="B74" s="1" t="s">
        <v>163</v>
      </c>
      <c r="C74" s="1" t="s">
        <v>42</v>
      </c>
      <c r="D74" s="1" t="s">
        <v>27</v>
      </c>
      <c r="E74" s="1" t="s">
        <v>73</v>
      </c>
      <c r="F74" s="7"/>
      <c r="G74" s="1" t="s">
        <v>28</v>
      </c>
      <c r="H74" s="8">
        <v>130000.0</v>
      </c>
      <c r="I74" s="9"/>
      <c r="J74" s="1" t="s">
        <v>34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46042.0</v>
      </c>
      <c r="B75" s="1" t="s">
        <v>164</v>
      </c>
      <c r="C75" s="1" t="s">
        <v>165</v>
      </c>
      <c r="D75" s="1" t="s">
        <v>166</v>
      </c>
      <c r="E75" s="1" t="s">
        <v>23</v>
      </c>
      <c r="F75" s="7"/>
      <c r="G75" s="1" t="s">
        <v>14</v>
      </c>
      <c r="H75" s="8">
        <v>72000.0</v>
      </c>
      <c r="I75" s="9">
        <v>22.0</v>
      </c>
      <c r="J75" s="1" t="s">
        <v>15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46042.0</v>
      </c>
      <c r="B76" s="1" t="s">
        <v>167</v>
      </c>
      <c r="C76" s="1" t="s">
        <v>168</v>
      </c>
      <c r="D76" s="1" t="s">
        <v>82</v>
      </c>
      <c r="E76" s="1" t="s">
        <v>13</v>
      </c>
      <c r="F76" s="7"/>
      <c r="G76" s="1" t="s">
        <v>28</v>
      </c>
      <c r="H76" s="8">
        <v>60000.0</v>
      </c>
      <c r="I76" s="9">
        <v>10.7</v>
      </c>
      <c r="J76" s="1" t="s">
        <v>96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46042.0</v>
      </c>
      <c r="B77" s="1" t="s">
        <v>169</v>
      </c>
      <c r="C77" s="1" t="s">
        <v>170</v>
      </c>
      <c r="D77" s="1" t="s">
        <v>63</v>
      </c>
      <c r="E77" s="1" t="s">
        <v>23</v>
      </c>
      <c r="F77" s="7"/>
      <c r="G77" s="1" t="s">
        <v>14</v>
      </c>
      <c r="H77" s="8">
        <v>85000.0</v>
      </c>
      <c r="I77" s="9"/>
      <c r="J77" s="1" t="s">
        <v>15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46042.0</v>
      </c>
      <c r="B78" s="1" t="s">
        <v>171</v>
      </c>
      <c r="C78" s="1" t="s">
        <v>172</v>
      </c>
      <c r="D78" s="1" t="s">
        <v>173</v>
      </c>
      <c r="E78" s="1" t="s">
        <v>13</v>
      </c>
      <c r="F78" s="7"/>
      <c r="G78" s="1" t="s">
        <v>28</v>
      </c>
      <c r="H78" s="8">
        <v>60000.0</v>
      </c>
      <c r="I78" s="9">
        <v>20.0</v>
      </c>
      <c r="J78" s="1" t="s">
        <v>15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46042.0</v>
      </c>
      <c r="B79" s="1" t="s">
        <v>174</v>
      </c>
      <c r="C79" s="1" t="s">
        <v>175</v>
      </c>
      <c r="D79" s="1" t="s">
        <v>32</v>
      </c>
      <c r="E79" s="1" t="s">
        <v>73</v>
      </c>
      <c r="F79" s="7"/>
      <c r="G79" s="1" t="s">
        <v>28</v>
      </c>
      <c r="H79" s="8">
        <v>150000.0</v>
      </c>
      <c r="I79" s="1">
        <v>12.0</v>
      </c>
      <c r="J79" s="1" t="s">
        <v>34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46042.0</v>
      </c>
      <c r="B80" s="1" t="s">
        <v>176</v>
      </c>
      <c r="C80" s="1" t="s">
        <v>177</v>
      </c>
      <c r="D80" s="1" t="s">
        <v>156</v>
      </c>
      <c r="E80" s="1" t="s">
        <v>157</v>
      </c>
      <c r="F80" s="7"/>
      <c r="G80" s="1" t="s">
        <v>14</v>
      </c>
      <c r="H80" s="8">
        <v>75000.0</v>
      </c>
      <c r="I80" s="9">
        <v>2.7</v>
      </c>
      <c r="J80" s="1" t="s">
        <v>96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46043.0</v>
      </c>
      <c r="B81" s="1" t="s">
        <v>178</v>
      </c>
      <c r="C81" s="1" t="s">
        <v>179</v>
      </c>
      <c r="D81" s="1" t="s">
        <v>22</v>
      </c>
      <c r="E81" s="1" t="s">
        <v>73</v>
      </c>
      <c r="F81" s="7"/>
      <c r="G81" s="1" t="s">
        <v>14</v>
      </c>
      <c r="H81" s="8">
        <v>120000.0</v>
      </c>
      <c r="I81" s="1"/>
      <c r="J81" s="1" t="s">
        <v>34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46043.0</v>
      </c>
      <c r="B82" s="1" t="s">
        <v>180</v>
      </c>
      <c r="C82" s="1" t="s">
        <v>181</v>
      </c>
      <c r="D82" s="1" t="s">
        <v>22</v>
      </c>
      <c r="E82" s="1" t="s">
        <v>13</v>
      </c>
      <c r="F82" s="7"/>
      <c r="G82" s="1" t="s">
        <v>14</v>
      </c>
      <c r="H82" s="8">
        <v>65000.0</v>
      </c>
      <c r="I82" s="1">
        <v>5.9</v>
      </c>
      <c r="J82" s="1" t="s">
        <v>15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46043.0</v>
      </c>
      <c r="B83" s="1" t="s">
        <v>182</v>
      </c>
      <c r="C83" s="1" t="s">
        <v>183</v>
      </c>
      <c r="D83" s="1" t="s">
        <v>124</v>
      </c>
      <c r="E83" s="1" t="s">
        <v>23</v>
      </c>
      <c r="F83" s="7"/>
      <c r="G83" s="1" t="s">
        <v>14</v>
      </c>
      <c r="H83" s="8">
        <v>85000.0</v>
      </c>
      <c r="I83" s="9"/>
      <c r="J83" s="1" t="s">
        <v>96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46043.0</v>
      </c>
      <c r="B84" s="1" t="s">
        <v>184</v>
      </c>
      <c r="C84" s="1" t="s">
        <v>185</v>
      </c>
      <c r="D84" s="1" t="s">
        <v>27</v>
      </c>
      <c r="E84" s="1" t="s">
        <v>23</v>
      </c>
      <c r="F84" s="7"/>
      <c r="G84" s="1" t="s">
        <v>14</v>
      </c>
      <c r="H84" s="8">
        <v>75000.0</v>
      </c>
      <c r="I84" s="9">
        <v>5.4</v>
      </c>
      <c r="J84" s="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46043.0</v>
      </c>
      <c r="B85" s="1" t="s">
        <v>186</v>
      </c>
      <c r="C85" s="1" t="s">
        <v>187</v>
      </c>
      <c r="D85" s="1" t="s">
        <v>54</v>
      </c>
      <c r="E85" s="1" t="s">
        <v>13</v>
      </c>
      <c r="F85" s="7"/>
      <c r="G85" s="1" t="s">
        <v>14</v>
      </c>
      <c r="H85" s="8">
        <v>75000.0</v>
      </c>
      <c r="I85" s="9">
        <v>34.2</v>
      </c>
      <c r="J85" s="1" t="s">
        <v>15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46044.0</v>
      </c>
      <c r="B86" s="1" t="s">
        <v>188</v>
      </c>
      <c r="C86" s="1" t="s">
        <v>189</v>
      </c>
      <c r="D86" s="1" t="s">
        <v>124</v>
      </c>
      <c r="E86" s="1" t="s">
        <v>23</v>
      </c>
      <c r="F86" s="7"/>
      <c r="G86" s="1" t="s">
        <v>14</v>
      </c>
      <c r="H86" s="8">
        <v>85000.0</v>
      </c>
      <c r="I86" s="9">
        <v>4.5</v>
      </c>
      <c r="J86" s="1" t="s">
        <v>96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46044.0</v>
      </c>
      <c r="B87" s="1" t="s">
        <v>190</v>
      </c>
      <c r="C87" s="1" t="s">
        <v>191</v>
      </c>
      <c r="D87" s="1" t="s">
        <v>22</v>
      </c>
      <c r="E87" s="1" t="s">
        <v>23</v>
      </c>
      <c r="F87" s="7"/>
      <c r="G87" s="1" t="s">
        <v>14</v>
      </c>
      <c r="H87" s="8">
        <v>85000.0</v>
      </c>
      <c r="I87" s="9">
        <v>3.8</v>
      </c>
      <c r="J87" s="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46044.0</v>
      </c>
      <c r="B88" s="1" t="s">
        <v>192</v>
      </c>
      <c r="C88" s="1" t="s">
        <v>193</v>
      </c>
      <c r="D88" s="1" t="s">
        <v>12</v>
      </c>
      <c r="E88" s="1" t="s">
        <v>23</v>
      </c>
      <c r="F88" s="7"/>
      <c r="G88" s="1" t="s">
        <v>14</v>
      </c>
      <c r="H88" s="8">
        <v>95000.0</v>
      </c>
      <c r="I88" s="9">
        <v>7.1</v>
      </c>
      <c r="J88" s="1" t="s">
        <v>96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46044.0</v>
      </c>
      <c r="B89" s="1" t="s">
        <v>111</v>
      </c>
      <c r="C89" s="1" t="s">
        <v>194</v>
      </c>
      <c r="D89" s="1" t="s">
        <v>113</v>
      </c>
      <c r="E89" s="1" t="s">
        <v>73</v>
      </c>
      <c r="F89" s="7"/>
      <c r="G89" s="1" t="s">
        <v>14</v>
      </c>
      <c r="H89" s="8">
        <v>120000.0</v>
      </c>
      <c r="I89" s="9"/>
      <c r="J89" s="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46044.0</v>
      </c>
      <c r="B90" s="1" t="s">
        <v>195</v>
      </c>
      <c r="C90" s="1" t="s">
        <v>196</v>
      </c>
      <c r="D90" s="1" t="s">
        <v>27</v>
      </c>
      <c r="E90" s="1" t="s">
        <v>23</v>
      </c>
      <c r="F90" s="7"/>
      <c r="G90" s="1" t="s">
        <v>14</v>
      </c>
      <c r="H90" s="8">
        <v>85000.0</v>
      </c>
      <c r="I90" s="9">
        <v>6.0</v>
      </c>
      <c r="J90" s="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46045.0</v>
      </c>
      <c r="B91" s="1" t="s">
        <v>197</v>
      </c>
      <c r="C91" s="1" t="s">
        <v>198</v>
      </c>
      <c r="D91" s="1" t="s">
        <v>199</v>
      </c>
      <c r="E91" s="1" t="s">
        <v>157</v>
      </c>
      <c r="F91" s="7"/>
      <c r="G91" s="1" t="s">
        <v>14</v>
      </c>
      <c r="H91" s="8">
        <v>120000.0</v>
      </c>
      <c r="I91" s="9">
        <v>24.5</v>
      </c>
      <c r="J91" s="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46045.0</v>
      </c>
      <c r="B92" s="12" t="s">
        <v>200</v>
      </c>
      <c r="C92" s="1" t="s">
        <v>201</v>
      </c>
      <c r="D92" s="1" t="s">
        <v>54</v>
      </c>
      <c r="E92" s="1" t="s">
        <v>13</v>
      </c>
      <c r="F92" s="1"/>
      <c r="G92" s="1" t="s">
        <v>14</v>
      </c>
      <c r="H92" s="8">
        <v>90000.0</v>
      </c>
      <c r="I92" s="9">
        <v>36.4</v>
      </c>
      <c r="J92" s="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46045.0</v>
      </c>
      <c r="B93" s="1" t="s">
        <v>202</v>
      </c>
      <c r="C93" s="1" t="s">
        <v>203</v>
      </c>
      <c r="D93" s="1" t="s">
        <v>36</v>
      </c>
      <c r="E93" s="1" t="s">
        <v>13</v>
      </c>
      <c r="F93" s="7"/>
      <c r="G93" s="1" t="s">
        <v>28</v>
      </c>
      <c r="H93" s="8">
        <v>55000.0</v>
      </c>
      <c r="I93" s="9">
        <v>9.8</v>
      </c>
      <c r="J93" s="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46045.0</v>
      </c>
      <c r="B94" s="1" t="s">
        <v>204</v>
      </c>
      <c r="C94" s="1" t="s">
        <v>205</v>
      </c>
      <c r="D94" s="1" t="s">
        <v>160</v>
      </c>
      <c r="E94" s="1" t="s">
        <v>157</v>
      </c>
      <c r="F94" s="7"/>
      <c r="G94" s="1" t="s">
        <v>14</v>
      </c>
      <c r="H94" s="8">
        <v>70000.0</v>
      </c>
      <c r="I94" s="9">
        <v>18.5</v>
      </c>
      <c r="J94" s="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46045.0</v>
      </c>
      <c r="B95" s="1" t="s">
        <v>206</v>
      </c>
      <c r="C95" s="1" t="s">
        <v>29</v>
      </c>
      <c r="D95" s="1" t="s">
        <v>207</v>
      </c>
      <c r="E95" s="1" t="s">
        <v>157</v>
      </c>
      <c r="F95" s="7"/>
      <c r="G95" s="1" t="s">
        <v>14</v>
      </c>
      <c r="H95" s="8">
        <v>100000.0</v>
      </c>
      <c r="I95" s="9"/>
      <c r="J95" s="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46045.0</v>
      </c>
      <c r="B96" s="1" t="s">
        <v>208</v>
      </c>
      <c r="C96" s="1" t="s">
        <v>209</v>
      </c>
      <c r="D96" s="1" t="s">
        <v>22</v>
      </c>
      <c r="E96" s="1" t="s">
        <v>13</v>
      </c>
      <c r="F96" s="7"/>
      <c r="G96" s="1" t="s">
        <v>14</v>
      </c>
      <c r="H96" s="8">
        <v>55000.0</v>
      </c>
      <c r="I96" s="9"/>
      <c r="J96" s="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46045.0</v>
      </c>
      <c r="B97" s="1" t="s">
        <v>208</v>
      </c>
      <c r="C97" s="1" t="s">
        <v>210</v>
      </c>
      <c r="D97" s="1" t="s">
        <v>22</v>
      </c>
      <c r="E97" s="1" t="s">
        <v>13</v>
      </c>
      <c r="F97" s="7"/>
      <c r="G97" s="1" t="s">
        <v>14</v>
      </c>
      <c r="H97" s="8">
        <v>50000.0</v>
      </c>
      <c r="I97" s="9"/>
      <c r="J97" s="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46045.0</v>
      </c>
      <c r="B98" s="1" t="s">
        <v>211</v>
      </c>
      <c r="C98" s="1" t="s">
        <v>212</v>
      </c>
      <c r="D98" s="1" t="s">
        <v>88</v>
      </c>
      <c r="E98" s="1" t="s">
        <v>13</v>
      </c>
      <c r="F98" s="7"/>
      <c r="G98" s="1" t="s">
        <v>14</v>
      </c>
      <c r="H98" s="8" t="s">
        <v>19</v>
      </c>
      <c r="I98" s="9"/>
      <c r="J98" s="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46045.0</v>
      </c>
      <c r="B99" s="1" t="s">
        <v>213</v>
      </c>
      <c r="C99" s="1" t="s">
        <v>214</v>
      </c>
      <c r="D99" s="1" t="s">
        <v>36</v>
      </c>
      <c r="E99" s="1" t="s">
        <v>13</v>
      </c>
      <c r="F99" s="7"/>
      <c r="G99" s="1" t="s">
        <v>28</v>
      </c>
      <c r="H99" s="8">
        <v>60000.0</v>
      </c>
      <c r="I99" s="9">
        <v>12.8</v>
      </c>
      <c r="J99" s="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46046.0</v>
      </c>
      <c r="B100" s="1" t="s">
        <v>208</v>
      </c>
      <c r="C100" s="1" t="s">
        <v>215</v>
      </c>
      <c r="D100" s="1" t="s">
        <v>22</v>
      </c>
      <c r="E100" s="1" t="s">
        <v>13</v>
      </c>
      <c r="F100" s="7"/>
      <c r="G100" s="1" t="s">
        <v>14</v>
      </c>
      <c r="H100" s="8">
        <v>65000.0</v>
      </c>
      <c r="I100" s="9"/>
      <c r="J100" s="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46046.0</v>
      </c>
      <c r="B101" s="1" t="s">
        <v>208</v>
      </c>
      <c r="C101" s="1" t="s">
        <v>216</v>
      </c>
      <c r="D101" s="1" t="s">
        <v>22</v>
      </c>
      <c r="E101" s="1" t="s">
        <v>13</v>
      </c>
      <c r="F101" s="7"/>
      <c r="G101" s="1" t="s">
        <v>14</v>
      </c>
      <c r="H101" s="8">
        <v>50000.0</v>
      </c>
      <c r="I101" s="9"/>
      <c r="J101" s="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46046.0</v>
      </c>
      <c r="B102" s="1" t="s">
        <v>217</v>
      </c>
      <c r="C102" s="1" t="s">
        <v>218</v>
      </c>
      <c r="D102" s="1" t="s">
        <v>156</v>
      </c>
      <c r="E102" s="1" t="s">
        <v>157</v>
      </c>
      <c r="F102" s="7"/>
      <c r="G102" s="1" t="s">
        <v>14</v>
      </c>
      <c r="H102" s="8">
        <v>60000.0</v>
      </c>
      <c r="I102" s="9"/>
      <c r="J102" s="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46046.0</v>
      </c>
      <c r="B103" s="1" t="s">
        <v>217</v>
      </c>
      <c r="C103" s="1" t="s">
        <v>219</v>
      </c>
      <c r="D103" s="1" t="s">
        <v>156</v>
      </c>
      <c r="E103" s="1" t="s">
        <v>157</v>
      </c>
      <c r="F103" s="7"/>
      <c r="G103" s="1" t="s">
        <v>14</v>
      </c>
      <c r="H103" s="8">
        <v>60000.0</v>
      </c>
      <c r="I103" s="9"/>
      <c r="J103" s="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46046.0</v>
      </c>
      <c r="B104" s="1" t="s">
        <v>217</v>
      </c>
      <c r="C104" s="1" t="s">
        <v>220</v>
      </c>
      <c r="D104" s="1" t="s">
        <v>156</v>
      </c>
      <c r="E104" s="1" t="s">
        <v>157</v>
      </c>
      <c r="F104" s="7"/>
      <c r="G104" s="1" t="s">
        <v>14</v>
      </c>
      <c r="H104" s="8">
        <v>60000.0</v>
      </c>
      <c r="I104" s="9"/>
      <c r="J104" s="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46046.0</v>
      </c>
      <c r="B105" s="1" t="s">
        <v>221</v>
      </c>
      <c r="C105" s="1" t="s">
        <v>222</v>
      </c>
      <c r="D105" s="1" t="s">
        <v>27</v>
      </c>
      <c r="E105" s="1" t="s">
        <v>13</v>
      </c>
      <c r="F105" s="7"/>
      <c r="G105" s="1" t="s">
        <v>28</v>
      </c>
      <c r="H105" s="8">
        <v>60000.0</v>
      </c>
      <c r="I105" s="9"/>
      <c r="J105" s="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46046.0</v>
      </c>
      <c r="B106" s="1" t="s">
        <v>223</v>
      </c>
      <c r="C106" s="1" t="s">
        <v>224</v>
      </c>
      <c r="D106" s="1" t="s">
        <v>124</v>
      </c>
      <c r="E106" s="1" t="s">
        <v>23</v>
      </c>
      <c r="F106" s="7"/>
      <c r="G106" s="1" t="s">
        <v>14</v>
      </c>
      <c r="H106" s="8">
        <v>85000.0</v>
      </c>
      <c r="I106" s="9"/>
      <c r="J106" s="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46046.0</v>
      </c>
      <c r="B107" s="1" t="s">
        <v>225</v>
      </c>
      <c r="C107" s="1" t="s">
        <v>226</v>
      </c>
      <c r="D107" s="1" t="s">
        <v>18</v>
      </c>
      <c r="E107" s="1" t="s">
        <v>13</v>
      </c>
      <c r="F107" s="7"/>
      <c r="G107" s="1" t="s">
        <v>14</v>
      </c>
      <c r="H107" s="8">
        <v>70000.0</v>
      </c>
      <c r="I107" s="9"/>
      <c r="J107" s="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46046.0</v>
      </c>
      <c r="B108" s="1" t="s">
        <v>227</v>
      </c>
      <c r="C108" s="1" t="s">
        <v>228</v>
      </c>
      <c r="D108" s="1" t="s">
        <v>18</v>
      </c>
      <c r="E108" s="1" t="s">
        <v>13</v>
      </c>
      <c r="F108" s="7"/>
      <c r="G108" s="1" t="s">
        <v>14</v>
      </c>
      <c r="H108" s="8">
        <v>70000.0</v>
      </c>
      <c r="I108" s="13"/>
      <c r="J108" s="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46046.0</v>
      </c>
      <c r="B109" s="1" t="s">
        <v>229</v>
      </c>
      <c r="C109" s="1" t="s">
        <v>230</v>
      </c>
      <c r="D109" s="1" t="s">
        <v>22</v>
      </c>
      <c r="E109" s="1" t="s">
        <v>23</v>
      </c>
      <c r="F109" s="7"/>
      <c r="G109" s="1" t="s">
        <v>14</v>
      </c>
      <c r="H109" s="8">
        <v>85000.0</v>
      </c>
      <c r="I109" s="9"/>
      <c r="J109" s="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46046.0</v>
      </c>
      <c r="B110" s="1" t="s">
        <v>16</v>
      </c>
      <c r="C110" s="1" t="s">
        <v>231</v>
      </c>
      <c r="D110" s="1" t="s">
        <v>18</v>
      </c>
      <c r="E110" s="1" t="s">
        <v>13</v>
      </c>
      <c r="F110" s="1"/>
      <c r="G110" s="1" t="s">
        <v>14</v>
      </c>
      <c r="H110" s="8" t="s">
        <v>19</v>
      </c>
      <c r="I110" s="9"/>
      <c r="J110" s="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46046.0</v>
      </c>
      <c r="B111" s="1"/>
      <c r="C111" s="1"/>
      <c r="D111" s="1" t="s">
        <v>72</v>
      </c>
      <c r="E111" s="1" t="s">
        <v>33</v>
      </c>
      <c r="F111" s="7"/>
      <c r="G111" s="1" t="s">
        <v>28</v>
      </c>
      <c r="H111" s="8">
        <v>16000.0</v>
      </c>
      <c r="I111" s="9"/>
      <c r="J111" s="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46046.0</v>
      </c>
      <c r="B112" s="1"/>
      <c r="C112" s="1"/>
      <c r="D112" s="1" t="s">
        <v>22</v>
      </c>
      <c r="E112" s="1" t="s">
        <v>33</v>
      </c>
      <c r="F112" s="7"/>
      <c r="G112" s="1" t="s">
        <v>14</v>
      </c>
      <c r="H112" s="8">
        <v>16000.0</v>
      </c>
      <c r="I112" s="9"/>
      <c r="J112" s="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46046.0</v>
      </c>
      <c r="B113" s="1"/>
      <c r="C113" s="1"/>
      <c r="D113" s="1" t="s">
        <v>36</v>
      </c>
      <c r="E113" s="1" t="s">
        <v>33</v>
      </c>
      <c r="F113" s="7"/>
      <c r="G113" s="1" t="s">
        <v>28</v>
      </c>
      <c r="H113" s="8">
        <v>16000.0</v>
      </c>
      <c r="I113" s="9"/>
      <c r="J113" s="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46048.0</v>
      </c>
      <c r="B114" s="1" t="s">
        <v>232</v>
      </c>
      <c r="C114" s="1" t="s">
        <v>233</v>
      </c>
      <c r="D114" s="1" t="s">
        <v>27</v>
      </c>
      <c r="E114" s="1" t="s">
        <v>23</v>
      </c>
      <c r="F114" s="7"/>
      <c r="G114" s="1" t="s">
        <v>14</v>
      </c>
      <c r="H114" s="8">
        <v>76000.0</v>
      </c>
      <c r="I114" s="9"/>
      <c r="J114" s="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46048.0</v>
      </c>
      <c r="B115" s="1" t="s">
        <v>234</v>
      </c>
      <c r="C115" s="1" t="s">
        <v>235</v>
      </c>
      <c r="D115" s="1" t="s">
        <v>27</v>
      </c>
      <c r="E115" s="1" t="s">
        <v>13</v>
      </c>
      <c r="F115" s="7"/>
      <c r="G115" s="1" t="s">
        <v>28</v>
      </c>
      <c r="H115" s="8">
        <v>66000.0</v>
      </c>
      <c r="I115" s="9"/>
      <c r="J115" s="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46048.0</v>
      </c>
      <c r="B116" s="1" t="s">
        <v>236</v>
      </c>
      <c r="C116" s="1" t="s">
        <v>237</v>
      </c>
      <c r="D116" s="1" t="s">
        <v>54</v>
      </c>
      <c r="E116" s="1" t="s">
        <v>13</v>
      </c>
      <c r="F116" s="7"/>
      <c r="G116" s="1" t="s">
        <v>14</v>
      </c>
      <c r="H116" s="8">
        <v>90000.0</v>
      </c>
      <c r="I116" s="9"/>
      <c r="J116" s="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46048.0</v>
      </c>
      <c r="B117" s="1" t="s">
        <v>238</v>
      </c>
      <c r="C117" s="1" t="s">
        <v>239</v>
      </c>
      <c r="D117" s="1" t="s">
        <v>12</v>
      </c>
      <c r="E117" s="1" t="s">
        <v>13</v>
      </c>
      <c r="F117" s="7"/>
      <c r="G117" s="1" t="s">
        <v>14</v>
      </c>
      <c r="H117" s="8">
        <v>69000.0</v>
      </c>
      <c r="I117" s="9"/>
      <c r="J117" s="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46048.0</v>
      </c>
      <c r="B118" s="1" t="s">
        <v>240</v>
      </c>
      <c r="C118" s="1" t="s">
        <v>241</v>
      </c>
      <c r="D118" s="1" t="s">
        <v>18</v>
      </c>
      <c r="E118" s="1" t="s">
        <v>23</v>
      </c>
      <c r="F118" s="1"/>
      <c r="G118" s="1" t="s">
        <v>14</v>
      </c>
      <c r="H118" s="8">
        <v>89000.0</v>
      </c>
      <c r="I118" s="9"/>
      <c r="J118" s="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46048.0</v>
      </c>
      <c r="B119" s="1" t="s">
        <v>242</v>
      </c>
      <c r="C119" s="1" t="s">
        <v>243</v>
      </c>
      <c r="D119" s="1" t="s">
        <v>124</v>
      </c>
      <c r="E119" s="1" t="s">
        <v>23</v>
      </c>
      <c r="F119" s="7"/>
      <c r="G119" s="1" t="s">
        <v>14</v>
      </c>
      <c r="H119" s="8">
        <v>90000.0</v>
      </c>
      <c r="I119" s="9"/>
      <c r="J119" s="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46048.0</v>
      </c>
      <c r="B120" s="1" t="s">
        <v>244</v>
      </c>
      <c r="C120" s="1" t="s">
        <v>245</v>
      </c>
      <c r="D120" s="1" t="s">
        <v>246</v>
      </c>
      <c r="E120" s="1" t="s">
        <v>247</v>
      </c>
      <c r="F120" s="7"/>
      <c r="G120" s="1" t="s">
        <v>14</v>
      </c>
      <c r="H120" s="8">
        <v>85000.0</v>
      </c>
      <c r="I120" s="9"/>
      <c r="J120" s="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46048.0</v>
      </c>
      <c r="B121" s="1" t="s">
        <v>248</v>
      </c>
      <c r="C121" s="1" t="s">
        <v>249</v>
      </c>
      <c r="D121" s="1" t="s">
        <v>32</v>
      </c>
      <c r="E121" s="1" t="s">
        <v>13</v>
      </c>
      <c r="F121" s="7"/>
      <c r="G121" s="1" t="s">
        <v>28</v>
      </c>
      <c r="H121" s="8">
        <v>56000.0</v>
      </c>
      <c r="I121" s="9"/>
      <c r="J121" s="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46049.0</v>
      </c>
      <c r="B122" s="1" t="s">
        <v>250</v>
      </c>
      <c r="C122" s="1" t="s">
        <v>62</v>
      </c>
      <c r="D122" s="1" t="s">
        <v>22</v>
      </c>
      <c r="E122" s="1" t="s">
        <v>23</v>
      </c>
      <c r="F122" s="1" t="s">
        <v>251</v>
      </c>
      <c r="G122" s="1" t="s">
        <v>14</v>
      </c>
      <c r="H122" s="8">
        <v>96000.0</v>
      </c>
      <c r="I122" s="9"/>
      <c r="J122" s="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46049.0</v>
      </c>
      <c r="B123" s="1" t="s">
        <v>252</v>
      </c>
      <c r="C123" s="1" t="s">
        <v>87</v>
      </c>
      <c r="D123" s="1" t="s">
        <v>253</v>
      </c>
      <c r="E123" s="1" t="s">
        <v>23</v>
      </c>
      <c r="F123" s="7"/>
      <c r="G123" s="1" t="s">
        <v>14</v>
      </c>
      <c r="H123" s="8">
        <v>85000.0</v>
      </c>
      <c r="I123" s="9"/>
      <c r="J123" s="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46049.0</v>
      </c>
      <c r="B124" s="1" t="s">
        <v>254</v>
      </c>
      <c r="C124" s="1" t="s">
        <v>62</v>
      </c>
      <c r="D124" s="1" t="s">
        <v>12</v>
      </c>
      <c r="E124" s="1" t="s">
        <v>13</v>
      </c>
      <c r="F124" s="7"/>
      <c r="G124" s="1" t="s">
        <v>14</v>
      </c>
      <c r="H124" s="8">
        <v>75000.0</v>
      </c>
      <c r="I124" s="9"/>
      <c r="J124" s="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46049.0</v>
      </c>
      <c r="B125" s="1" t="s">
        <v>255</v>
      </c>
      <c r="C125" s="1" t="s">
        <v>256</v>
      </c>
      <c r="D125" s="1" t="s">
        <v>257</v>
      </c>
      <c r="E125" s="1" t="s">
        <v>247</v>
      </c>
      <c r="F125" s="7"/>
      <c r="G125" s="1" t="s">
        <v>14</v>
      </c>
      <c r="H125" s="8">
        <v>90000.0</v>
      </c>
      <c r="I125" s="9"/>
      <c r="J125" s="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46049.0</v>
      </c>
      <c r="B126" s="1" t="s">
        <v>258</v>
      </c>
      <c r="C126" s="1" t="s">
        <v>50</v>
      </c>
      <c r="D126" s="1" t="s">
        <v>124</v>
      </c>
      <c r="E126" s="1" t="s">
        <v>23</v>
      </c>
      <c r="F126" s="7"/>
      <c r="G126" s="1" t="s">
        <v>14</v>
      </c>
      <c r="H126" s="8">
        <v>89000.0</v>
      </c>
      <c r="I126" s="9"/>
      <c r="J126" s="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46049.0</v>
      </c>
      <c r="B127" s="1" t="s">
        <v>258</v>
      </c>
      <c r="C127" s="1" t="s">
        <v>259</v>
      </c>
      <c r="D127" s="1" t="s">
        <v>124</v>
      </c>
      <c r="E127" s="1" t="s">
        <v>23</v>
      </c>
      <c r="F127" s="7"/>
      <c r="G127" s="1" t="s">
        <v>14</v>
      </c>
      <c r="H127" s="8">
        <v>89000.0</v>
      </c>
      <c r="I127" s="9"/>
      <c r="J127" s="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46049.0</v>
      </c>
      <c r="B128" s="1" t="s">
        <v>260</v>
      </c>
      <c r="C128" s="1" t="s">
        <v>261</v>
      </c>
      <c r="D128" s="1" t="s">
        <v>262</v>
      </c>
      <c r="E128" s="1" t="s">
        <v>23</v>
      </c>
      <c r="F128" s="7"/>
      <c r="G128" s="1" t="s">
        <v>14</v>
      </c>
      <c r="H128" s="8">
        <v>85000.0</v>
      </c>
      <c r="I128" s="9"/>
      <c r="J128" s="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46049.0</v>
      </c>
      <c r="B129" s="1"/>
      <c r="C129" s="1"/>
      <c r="D129" s="1"/>
      <c r="E129" s="1" t="s">
        <v>33</v>
      </c>
      <c r="F129" s="7"/>
      <c r="G129" s="1"/>
      <c r="H129" s="8">
        <v>16000.0</v>
      </c>
      <c r="I129" s="9"/>
      <c r="J129" s="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46049.0</v>
      </c>
      <c r="B130" s="1" t="s">
        <v>263</v>
      </c>
      <c r="C130" s="1" t="s">
        <v>123</v>
      </c>
      <c r="D130" s="1" t="s">
        <v>156</v>
      </c>
      <c r="E130" s="1" t="s">
        <v>157</v>
      </c>
      <c r="F130" s="7"/>
      <c r="G130" s="1" t="s">
        <v>14</v>
      </c>
      <c r="H130" s="8">
        <v>85000.0</v>
      </c>
      <c r="I130" s="9"/>
      <c r="J130" s="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>
        <v>46050.0</v>
      </c>
      <c r="B131" s="1" t="s">
        <v>264</v>
      </c>
      <c r="C131" s="1" t="s">
        <v>265</v>
      </c>
      <c r="D131" s="1" t="s">
        <v>257</v>
      </c>
      <c r="E131" s="1" t="s">
        <v>266</v>
      </c>
      <c r="F131" s="7"/>
      <c r="G131" s="1" t="s">
        <v>14</v>
      </c>
      <c r="H131" s="8">
        <v>70000.0</v>
      </c>
      <c r="I131" s="9"/>
      <c r="J131" s="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46050.0</v>
      </c>
      <c r="B132" s="1" t="s">
        <v>267</v>
      </c>
      <c r="C132" s="1" t="s">
        <v>268</v>
      </c>
      <c r="D132" s="1" t="s">
        <v>156</v>
      </c>
      <c r="E132" s="1" t="s">
        <v>157</v>
      </c>
      <c r="F132" s="7"/>
      <c r="G132" s="1" t="s">
        <v>14</v>
      </c>
      <c r="H132" s="8">
        <v>80000.0</v>
      </c>
      <c r="I132" s="9"/>
      <c r="J132" s="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46050.0</v>
      </c>
      <c r="B133" s="1" t="s">
        <v>269</v>
      </c>
      <c r="C133" s="1" t="s">
        <v>270</v>
      </c>
      <c r="D133" s="1" t="s">
        <v>156</v>
      </c>
      <c r="E133" s="1" t="s">
        <v>157</v>
      </c>
      <c r="F133" s="7"/>
      <c r="G133" s="1" t="s">
        <v>14</v>
      </c>
      <c r="H133" s="8">
        <v>65000.0</v>
      </c>
      <c r="I133" s="9"/>
      <c r="J133" s="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46050.0</v>
      </c>
      <c r="B134" s="1" t="s">
        <v>271</v>
      </c>
      <c r="C134" s="1" t="s">
        <v>272</v>
      </c>
      <c r="D134" s="1" t="s">
        <v>12</v>
      </c>
      <c r="E134" s="1" t="s">
        <v>13</v>
      </c>
      <c r="F134" s="7"/>
      <c r="G134" s="1" t="s">
        <v>14</v>
      </c>
      <c r="H134" s="8">
        <v>76000.0</v>
      </c>
      <c r="I134" s="9"/>
      <c r="J134" s="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46050.0</v>
      </c>
      <c r="B135" s="1" t="s">
        <v>273</v>
      </c>
      <c r="C135" s="1" t="s">
        <v>274</v>
      </c>
      <c r="D135" s="1" t="s">
        <v>12</v>
      </c>
      <c r="E135" s="1" t="s">
        <v>23</v>
      </c>
      <c r="F135" s="7"/>
      <c r="G135" s="1" t="s">
        <v>14</v>
      </c>
      <c r="H135" s="8">
        <v>89000.0</v>
      </c>
      <c r="I135" s="9"/>
      <c r="J135" s="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46050.0</v>
      </c>
      <c r="B136" s="1" t="s">
        <v>39</v>
      </c>
      <c r="C136" s="1" t="s">
        <v>40</v>
      </c>
      <c r="D136" s="1" t="s">
        <v>27</v>
      </c>
      <c r="E136" s="1" t="s">
        <v>13</v>
      </c>
      <c r="F136" s="7"/>
      <c r="G136" s="1" t="s">
        <v>28</v>
      </c>
      <c r="H136" s="8">
        <v>66000.0</v>
      </c>
      <c r="I136" s="9"/>
      <c r="J136" s="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46050.0</v>
      </c>
      <c r="B137" s="1"/>
      <c r="C137" s="1"/>
      <c r="D137" s="1"/>
      <c r="E137" s="1" t="s">
        <v>33</v>
      </c>
      <c r="F137" s="7"/>
      <c r="G137" s="1" t="s">
        <v>28</v>
      </c>
      <c r="H137" s="8">
        <v>16000.0</v>
      </c>
      <c r="I137" s="9"/>
      <c r="J137" s="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46050.0</v>
      </c>
      <c r="B138" s="1"/>
      <c r="C138" s="1"/>
      <c r="D138" s="1"/>
      <c r="E138" s="1" t="s">
        <v>33</v>
      </c>
      <c r="F138" s="1" t="s">
        <v>275</v>
      </c>
      <c r="G138" s="1" t="s">
        <v>28</v>
      </c>
      <c r="H138" s="8">
        <v>25000.0</v>
      </c>
      <c r="I138" s="9"/>
      <c r="J138" s="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>
        <v>46050.0</v>
      </c>
      <c r="B139" s="1" t="s">
        <v>276</v>
      </c>
      <c r="C139" s="1" t="s">
        <v>277</v>
      </c>
      <c r="D139" s="1" t="s">
        <v>36</v>
      </c>
      <c r="E139" s="1" t="s">
        <v>13</v>
      </c>
      <c r="F139" s="7"/>
      <c r="G139" s="1" t="s">
        <v>28</v>
      </c>
      <c r="H139" s="8">
        <v>56000.0</v>
      </c>
      <c r="I139" s="9"/>
      <c r="J139" s="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46051.0</v>
      </c>
      <c r="B140" s="1" t="s">
        <v>278</v>
      </c>
      <c r="C140" s="1" t="s">
        <v>279</v>
      </c>
      <c r="D140" s="1" t="s">
        <v>109</v>
      </c>
      <c r="E140" s="1" t="s">
        <v>13</v>
      </c>
      <c r="F140" s="7"/>
      <c r="G140" s="1" t="s">
        <v>28</v>
      </c>
      <c r="H140" s="8">
        <v>20000.0</v>
      </c>
      <c r="I140" s="9"/>
      <c r="J140" s="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>
        <v>46051.0</v>
      </c>
      <c r="B141" s="1" t="s">
        <v>43</v>
      </c>
      <c r="C141" s="1" t="s">
        <v>280</v>
      </c>
      <c r="D141" s="1" t="s">
        <v>12</v>
      </c>
      <c r="E141" s="1" t="s">
        <v>13</v>
      </c>
      <c r="F141" s="7"/>
      <c r="G141" s="1" t="s">
        <v>14</v>
      </c>
      <c r="H141" s="8">
        <v>69000.0</v>
      </c>
      <c r="I141" s="9"/>
      <c r="J141" s="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46051.0</v>
      </c>
      <c r="B142" s="1" t="s">
        <v>281</v>
      </c>
      <c r="C142" s="1" t="s">
        <v>282</v>
      </c>
      <c r="D142" s="1" t="s">
        <v>113</v>
      </c>
      <c r="E142" s="1" t="s">
        <v>23</v>
      </c>
      <c r="F142" s="7"/>
      <c r="G142" s="1" t="s">
        <v>14</v>
      </c>
      <c r="H142" s="8">
        <v>89000.0</v>
      </c>
      <c r="I142" s="9"/>
      <c r="J142" s="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>
        <v>46051.0</v>
      </c>
      <c r="B143" s="1" t="s">
        <v>281</v>
      </c>
      <c r="C143" s="1" t="s">
        <v>283</v>
      </c>
      <c r="D143" s="1" t="s">
        <v>113</v>
      </c>
      <c r="E143" s="1" t="s">
        <v>23</v>
      </c>
      <c r="F143" s="7"/>
      <c r="G143" s="1" t="s">
        <v>14</v>
      </c>
      <c r="H143" s="8">
        <v>89000.0</v>
      </c>
      <c r="I143" s="9"/>
      <c r="J143" s="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>
        <v>46051.0</v>
      </c>
      <c r="B144" s="1"/>
      <c r="C144" s="1"/>
      <c r="D144" s="1"/>
      <c r="E144" s="1" t="s">
        <v>33</v>
      </c>
      <c r="F144" s="7"/>
      <c r="G144" s="1"/>
      <c r="H144" s="8">
        <v>12000.0</v>
      </c>
      <c r="I144" s="9"/>
      <c r="J144" s="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>
        <v>46051.0</v>
      </c>
      <c r="B145" s="1"/>
      <c r="C145" s="1"/>
      <c r="D145" s="1"/>
      <c r="E145" s="1" t="s">
        <v>33</v>
      </c>
      <c r="F145" s="7"/>
      <c r="G145" s="1"/>
      <c r="H145" s="8">
        <v>12000.0</v>
      </c>
      <c r="I145" s="9"/>
      <c r="J145" s="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>
        <v>46051.0</v>
      </c>
      <c r="B146" s="1"/>
      <c r="C146" s="1"/>
      <c r="D146" s="1"/>
      <c r="E146" s="1" t="s">
        <v>33</v>
      </c>
      <c r="F146" s="7"/>
      <c r="G146" s="1"/>
      <c r="H146" s="8">
        <v>15000.0</v>
      </c>
      <c r="I146" s="9"/>
      <c r="J146" s="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>
        <v>46052.0</v>
      </c>
      <c r="B147" s="1" t="s">
        <v>284</v>
      </c>
      <c r="C147" s="1" t="s">
        <v>118</v>
      </c>
      <c r="D147" s="1" t="s">
        <v>156</v>
      </c>
      <c r="E147" s="1" t="s">
        <v>23</v>
      </c>
      <c r="F147" s="7"/>
      <c r="G147" s="1" t="s">
        <v>14</v>
      </c>
      <c r="H147" s="8">
        <v>89000.0</v>
      </c>
      <c r="I147" s="9"/>
      <c r="J147" s="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>
        <v>46052.0</v>
      </c>
      <c r="B148" s="1" t="s">
        <v>285</v>
      </c>
      <c r="C148" s="1" t="s">
        <v>228</v>
      </c>
      <c r="D148" s="1" t="s">
        <v>27</v>
      </c>
      <c r="E148" s="1" t="s">
        <v>13</v>
      </c>
      <c r="F148" s="7"/>
      <c r="G148" s="1" t="s">
        <v>28</v>
      </c>
      <c r="H148" s="8">
        <v>79000.0</v>
      </c>
      <c r="I148" s="9"/>
      <c r="J148" s="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>
        <v>46052.0</v>
      </c>
      <c r="B149" s="1" t="s">
        <v>211</v>
      </c>
      <c r="C149" s="1" t="s">
        <v>212</v>
      </c>
      <c r="D149" s="1" t="s">
        <v>88</v>
      </c>
      <c r="E149" s="1" t="s">
        <v>131</v>
      </c>
      <c r="F149" s="7"/>
      <c r="G149" s="1" t="s">
        <v>14</v>
      </c>
      <c r="H149" s="8" t="s">
        <v>19</v>
      </c>
      <c r="I149" s="9"/>
      <c r="J149" s="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46052.0</v>
      </c>
      <c r="B150" s="1" t="s">
        <v>286</v>
      </c>
      <c r="C150" s="1" t="s">
        <v>287</v>
      </c>
      <c r="D150" s="1" t="s">
        <v>22</v>
      </c>
      <c r="E150" s="1" t="s">
        <v>13</v>
      </c>
      <c r="F150" s="7"/>
      <c r="G150" s="1" t="s">
        <v>14</v>
      </c>
      <c r="H150" s="8">
        <v>79000.0</v>
      </c>
      <c r="I150" s="9"/>
      <c r="J150" s="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>
        <v>46052.0</v>
      </c>
      <c r="B151" s="1" t="s">
        <v>288</v>
      </c>
      <c r="C151" s="1" t="s">
        <v>118</v>
      </c>
      <c r="D151" s="1" t="s">
        <v>18</v>
      </c>
      <c r="E151" s="1" t="s">
        <v>13</v>
      </c>
      <c r="F151" s="7"/>
      <c r="G151" s="1" t="s">
        <v>14</v>
      </c>
      <c r="H151" s="8">
        <v>79000.0</v>
      </c>
      <c r="I151" s="9"/>
      <c r="J151" s="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>
        <v>46053.0</v>
      </c>
      <c r="B152" s="1" t="s">
        <v>289</v>
      </c>
      <c r="C152" s="1" t="s">
        <v>290</v>
      </c>
      <c r="D152" s="1" t="s">
        <v>27</v>
      </c>
      <c r="E152" s="1" t="s">
        <v>23</v>
      </c>
      <c r="F152" s="1"/>
      <c r="G152" s="1"/>
      <c r="H152" s="8">
        <v>95000.0</v>
      </c>
      <c r="I152" s="9"/>
      <c r="J152" s="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>
        <v>46053.0</v>
      </c>
      <c r="B153" s="1" t="s">
        <v>291</v>
      </c>
      <c r="C153" s="1" t="s">
        <v>292</v>
      </c>
      <c r="D153" s="1" t="s">
        <v>160</v>
      </c>
      <c r="E153" s="1" t="s">
        <v>157</v>
      </c>
      <c r="F153" s="7"/>
      <c r="G153" s="1" t="s">
        <v>14</v>
      </c>
      <c r="H153" s="8">
        <v>96000.0</v>
      </c>
      <c r="I153" s="9"/>
      <c r="J153" s="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>
        <v>46053.0</v>
      </c>
      <c r="B154" s="1" t="s">
        <v>293</v>
      </c>
      <c r="C154" s="1" t="s">
        <v>294</v>
      </c>
      <c r="D154" s="1" t="s">
        <v>54</v>
      </c>
      <c r="E154" s="1" t="s">
        <v>13</v>
      </c>
      <c r="F154" s="7"/>
      <c r="G154" s="1" t="s">
        <v>14</v>
      </c>
      <c r="H154" s="8">
        <v>70000.0</v>
      </c>
      <c r="I154" s="9"/>
      <c r="J154" s="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>
        <v>46053.0</v>
      </c>
      <c r="B155" s="1" t="s">
        <v>16</v>
      </c>
      <c r="C155" s="1" t="s">
        <v>231</v>
      </c>
      <c r="D155" s="1" t="s">
        <v>18</v>
      </c>
      <c r="E155" s="1" t="s">
        <v>13</v>
      </c>
      <c r="F155" s="7"/>
      <c r="G155" s="1" t="s">
        <v>14</v>
      </c>
      <c r="H155" s="8" t="s">
        <v>19</v>
      </c>
      <c r="I155" s="9"/>
      <c r="J155" s="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>
        <v>46053.0</v>
      </c>
      <c r="B156" s="1" t="s">
        <v>295</v>
      </c>
      <c r="C156" s="1" t="s">
        <v>71</v>
      </c>
      <c r="D156" s="1" t="s">
        <v>72</v>
      </c>
      <c r="E156" s="1" t="s">
        <v>13</v>
      </c>
      <c r="F156" s="7"/>
      <c r="G156" s="1" t="s">
        <v>28</v>
      </c>
      <c r="H156" s="8">
        <v>39000.0</v>
      </c>
      <c r="I156" s="9"/>
      <c r="J156" s="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>
        <v>46053.0</v>
      </c>
      <c r="B157" s="1" t="s">
        <v>295</v>
      </c>
      <c r="C157" s="1" t="s">
        <v>296</v>
      </c>
      <c r="D157" s="1" t="s">
        <v>27</v>
      </c>
      <c r="E157" s="1" t="s">
        <v>23</v>
      </c>
      <c r="F157" s="7"/>
      <c r="G157" s="1" t="s">
        <v>14</v>
      </c>
      <c r="H157" s="8">
        <v>65000.0</v>
      </c>
      <c r="I157" s="9"/>
      <c r="J157" s="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>
        <v>46053.0</v>
      </c>
      <c r="B158" s="1" t="s">
        <v>297</v>
      </c>
      <c r="C158" s="1" t="s">
        <v>298</v>
      </c>
      <c r="D158" s="1" t="s">
        <v>27</v>
      </c>
      <c r="E158" s="1" t="s">
        <v>23</v>
      </c>
      <c r="F158" s="7"/>
      <c r="G158" s="1" t="s">
        <v>28</v>
      </c>
      <c r="H158" s="8">
        <v>69000.0</v>
      </c>
      <c r="I158" s="9"/>
      <c r="J158" s="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>
        <v>46053.0</v>
      </c>
      <c r="B159" s="1" t="s">
        <v>299</v>
      </c>
      <c r="C159" s="1" t="s">
        <v>300</v>
      </c>
      <c r="D159" s="1" t="s">
        <v>156</v>
      </c>
      <c r="E159" s="1" t="s">
        <v>23</v>
      </c>
      <c r="F159" s="7"/>
      <c r="G159" s="1" t="s">
        <v>14</v>
      </c>
      <c r="H159" s="8">
        <v>89000.0</v>
      </c>
      <c r="I159" s="9"/>
      <c r="J159" s="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>
        <v>46053.0</v>
      </c>
      <c r="B160" s="1" t="s">
        <v>10</v>
      </c>
      <c r="C160" s="1" t="s">
        <v>11</v>
      </c>
      <c r="D160" s="1" t="s">
        <v>12</v>
      </c>
      <c r="E160" s="1" t="s">
        <v>13</v>
      </c>
      <c r="F160" s="7"/>
      <c r="G160" s="1" t="s">
        <v>14</v>
      </c>
      <c r="H160" s="8">
        <v>85000.0</v>
      </c>
      <c r="I160" s="9"/>
      <c r="J160" s="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>
        <v>46053.0</v>
      </c>
      <c r="B161" s="1" t="s">
        <v>301</v>
      </c>
      <c r="C161" s="1" t="s">
        <v>302</v>
      </c>
      <c r="D161" s="1" t="s">
        <v>36</v>
      </c>
      <c r="E161" s="1" t="s">
        <v>13</v>
      </c>
      <c r="F161" s="7"/>
      <c r="G161" s="1" t="s">
        <v>28</v>
      </c>
      <c r="H161" s="8">
        <v>66000.0</v>
      </c>
      <c r="I161" s="9"/>
      <c r="J161" s="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>
        <v>46053.0</v>
      </c>
      <c r="B162" s="1"/>
      <c r="C162" s="1"/>
      <c r="D162" s="1"/>
      <c r="E162" s="1" t="s">
        <v>33</v>
      </c>
      <c r="F162" s="7"/>
      <c r="G162" s="1"/>
      <c r="H162" s="8">
        <v>15000.0</v>
      </c>
      <c r="I162" s="9"/>
      <c r="J162" s="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>
        <v>46053.0</v>
      </c>
      <c r="B163" s="1"/>
      <c r="C163" s="1"/>
      <c r="D163" s="1"/>
      <c r="E163" s="1" t="s">
        <v>33</v>
      </c>
      <c r="F163" s="1"/>
      <c r="G163" s="1"/>
      <c r="H163" s="8">
        <v>16000.0</v>
      </c>
      <c r="I163" s="9"/>
      <c r="J163" s="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1"/>
      <c r="C164" s="1"/>
      <c r="D164" s="1"/>
      <c r="E164" s="1"/>
      <c r="F164" s="7"/>
      <c r="G164" s="1"/>
      <c r="H164" s="8"/>
      <c r="I164" s="9"/>
      <c r="J164" s="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1"/>
      <c r="C165" s="1"/>
      <c r="D165" s="1"/>
      <c r="E165" s="1"/>
      <c r="F165" s="7"/>
      <c r="G165" s="1"/>
      <c r="H165" s="8"/>
      <c r="I165" s="9"/>
      <c r="J165" s="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1"/>
      <c r="C166" s="1"/>
      <c r="D166" s="1"/>
      <c r="E166" s="1"/>
      <c r="F166" s="7"/>
      <c r="G166" s="1"/>
      <c r="H166" s="8"/>
      <c r="I166" s="9"/>
      <c r="J166" s="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1"/>
      <c r="C167" s="1"/>
      <c r="D167" s="1"/>
      <c r="E167" s="1"/>
      <c r="F167" s="7"/>
      <c r="G167" s="1"/>
      <c r="H167" s="8"/>
      <c r="I167" s="9"/>
      <c r="J167" s="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1"/>
      <c r="C168" s="1"/>
      <c r="D168" s="1"/>
      <c r="E168" s="1"/>
      <c r="F168" s="7"/>
      <c r="G168" s="1"/>
      <c r="H168" s="8"/>
      <c r="I168" s="9"/>
      <c r="J168" s="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1"/>
      <c r="C169" s="1"/>
      <c r="D169" s="1"/>
      <c r="E169" s="1"/>
      <c r="F169" s="7"/>
      <c r="G169" s="1"/>
      <c r="H169" s="8"/>
      <c r="I169" s="9"/>
      <c r="J169" s="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1"/>
      <c r="C170" s="1"/>
      <c r="D170" s="1"/>
      <c r="E170" s="1"/>
      <c r="F170" s="7"/>
      <c r="G170" s="1"/>
      <c r="H170" s="8"/>
      <c r="I170" s="9"/>
      <c r="J170" s="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1"/>
      <c r="C171" s="1"/>
      <c r="D171" s="1"/>
      <c r="E171" s="1"/>
      <c r="F171" s="7"/>
      <c r="G171" s="1"/>
      <c r="H171" s="8"/>
      <c r="I171" s="9"/>
      <c r="J171" s="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1"/>
      <c r="C172" s="1"/>
      <c r="D172" s="1"/>
      <c r="E172" s="1"/>
      <c r="F172" s="7"/>
      <c r="G172" s="1"/>
      <c r="H172" s="8"/>
      <c r="I172" s="9"/>
      <c r="J172" s="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/>
      <c r="B173" s="1"/>
      <c r="C173" s="1"/>
      <c r="D173" s="1"/>
      <c r="E173" s="1"/>
      <c r="F173" s="7"/>
      <c r="G173" s="1"/>
      <c r="H173" s="8"/>
      <c r="I173" s="9"/>
      <c r="J173" s="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1"/>
      <c r="C174" s="1"/>
      <c r="D174" s="1"/>
      <c r="E174" s="1"/>
      <c r="F174" s="7"/>
      <c r="G174" s="1"/>
      <c r="H174" s="8"/>
      <c r="I174" s="9"/>
      <c r="J174" s="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1"/>
      <c r="C175" s="1"/>
      <c r="D175" s="1"/>
      <c r="E175" s="1"/>
      <c r="F175" s="7"/>
      <c r="G175" s="1"/>
      <c r="H175" s="8"/>
      <c r="I175" s="9"/>
      <c r="J175" s="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1"/>
      <c r="C176" s="1"/>
      <c r="D176" s="1"/>
      <c r="E176" s="1"/>
      <c r="F176" s="7"/>
      <c r="G176" s="1"/>
      <c r="H176" s="8"/>
      <c r="I176" s="9"/>
      <c r="J176" s="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1"/>
      <c r="C177" s="1"/>
      <c r="D177" s="1"/>
      <c r="E177" s="1"/>
      <c r="F177" s="7"/>
      <c r="G177" s="1"/>
      <c r="H177" s="8"/>
      <c r="I177" s="9"/>
      <c r="J177" s="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1"/>
      <c r="C178" s="1"/>
      <c r="D178" s="1"/>
      <c r="E178" s="1"/>
      <c r="F178" s="7"/>
      <c r="G178" s="1"/>
      <c r="H178" s="8"/>
      <c r="I178" s="9"/>
      <c r="J178" s="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1"/>
      <c r="C179" s="1"/>
      <c r="D179" s="1"/>
      <c r="E179" s="1"/>
      <c r="F179" s="7"/>
      <c r="G179" s="1"/>
      <c r="H179" s="8"/>
      <c r="I179" s="9"/>
      <c r="J179" s="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1"/>
      <c r="C180" s="1"/>
      <c r="D180" s="1"/>
      <c r="E180" s="1"/>
      <c r="F180" s="7"/>
      <c r="G180" s="1"/>
      <c r="H180" s="8"/>
      <c r="I180" s="9"/>
      <c r="J180" s="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1"/>
      <c r="C181" s="1"/>
      <c r="D181" s="1"/>
      <c r="E181" s="1"/>
      <c r="F181" s="7"/>
      <c r="G181" s="1"/>
      <c r="H181" s="8"/>
      <c r="I181" s="9"/>
      <c r="J181" s="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1"/>
      <c r="C182" s="1"/>
      <c r="D182" s="1"/>
      <c r="E182" s="1"/>
      <c r="F182" s="7"/>
      <c r="G182" s="1"/>
      <c r="H182" s="8"/>
      <c r="I182" s="9"/>
      <c r="J182" s="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1"/>
      <c r="C183" s="1"/>
      <c r="D183" s="1"/>
      <c r="E183" s="1"/>
      <c r="F183" s="7"/>
      <c r="G183" s="1"/>
      <c r="H183" s="8"/>
      <c r="I183" s="9"/>
      <c r="J183" s="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1"/>
      <c r="C184" s="1"/>
      <c r="D184" s="1"/>
      <c r="E184" s="1"/>
      <c r="F184" s="7"/>
      <c r="G184" s="1"/>
      <c r="H184" s="8"/>
      <c r="I184" s="9"/>
      <c r="J184" s="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1"/>
      <c r="C185" s="1"/>
      <c r="D185" s="1"/>
      <c r="E185" s="1"/>
      <c r="F185" s="7"/>
      <c r="G185" s="1"/>
      <c r="H185" s="8"/>
      <c r="I185" s="9"/>
      <c r="J185" s="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1"/>
      <c r="C186" s="1"/>
      <c r="D186" s="1"/>
      <c r="E186" s="1"/>
      <c r="F186" s="7"/>
      <c r="G186" s="1"/>
      <c r="H186" s="8"/>
      <c r="I186" s="14"/>
      <c r="J186" s="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1"/>
      <c r="C187" s="1"/>
      <c r="D187" s="1"/>
      <c r="E187" s="1"/>
      <c r="F187" s="7"/>
      <c r="G187" s="1"/>
      <c r="H187" s="8"/>
      <c r="I187" s="9"/>
      <c r="J187" s="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1"/>
      <c r="C188" s="1"/>
      <c r="D188" s="1"/>
      <c r="E188" s="1"/>
      <c r="F188" s="7"/>
      <c r="G188" s="1"/>
      <c r="H188" s="8"/>
      <c r="I188" s="9"/>
      <c r="J188" s="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1"/>
      <c r="C189" s="1"/>
      <c r="D189" s="1"/>
      <c r="E189" s="1"/>
      <c r="F189" s="7"/>
      <c r="G189" s="1"/>
      <c r="H189" s="8"/>
      <c r="I189" s="9"/>
      <c r="J189" s="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1"/>
      <c r="C190" s="1"/>
      <c r="D190" s="1"/>
      <c r="E190" s="1"/>
      <c r="F190" s="7"/>
      <c r="G190" s="1"/>
      <c r="H190" s="8"/>
      <c r="I190" s="9"/>
      <c r="J190" s="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1"/>
      <c r="C191" s="1"/>
      <c r="D191" s="1"/>
      <c r="E191" s="1"/>
      <c r="F191" s="7"/>
      <c r="G191" s="1"/>
      <c r="H191" s="8"/>
      <c r="I191" s="9"/>
      <c r="J191" s="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1"/>
      <c r="C192" s="1"/>
      <c r="D192" s="1"/>
      <c r="E192" s="1"/>
      <c r="F192" s="7"/>
      <c r="G192" s="1"/>
      <c r="H192" s="8"/>
      <c r="I192" s="9"/>
      <c r="J192" s="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1"/>
      <c r="C193" s="1"/>
      <c r="D193" s="1"/>
      <c r="E193" s="1"/>
      <c r="F193" s="7"/>
      <c r="G193" s="1"/>
      <c r="H193" s="8"/>
      <c r="I193" s="9"/>
      <c r="J193" s="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1"/>
      <c r="C194" s="1"/>
      <c r="D194" s="1"/>
      <c r="E194" s="1"/>
      <c r="F194" s="7"/>
      <c r="G194" s="1"/>
      <c r="H194" s="8"/>
      <c r="I194" s="9"/>
      <c r="J194" s="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1"/>
      <c r="C195" s="1"/>
      <c r="D195" s="1"/>
      <c r="E195" s="1"/>
      <c r="F195" s="7"/>
      <c r="G195" s="1"/>
      <c r="H195" s="8"/>
      <c r="I195" s="9"/>
      <c r="J195" s="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1"/>
      <c r="C196" s="1"/>
      <c r="D196" s="1"/>
      <c r="E196" s="1"/>
      <c r="F196" s="7"/>
      <c r="G196" s="1"/>
      <c r="H196" s="8"/>
      <c r="I196" s="14"/>
      <c r="J196" s="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1"/>
      <c r="C197" s="1"/>
      <c r="D197" s="1"/>
      <c r="E197" s="1"/>
      <c r="F197" s="7"/>
      <c r="G197" s="1"/>
      <c r="H197" s="8"/>
      <c r="I197" s="9"/>
      <c r="J197" s="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1"/>
      <c r="C198" s="1"/>
      <c r="D198" s="1"/>
      <c r="E198" s="1"/>
      <c r="F198" s="7"/>
      <c r="G198" s="1"/>
      <c r="H198" s="8"/>
      <c r="I198" s="9"/>
      <c r="J198" s="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1"/>
      <c r="C199" s="1"/>
      <c r="D199" s="1"/>
      <c r="E199" s="1"/>
      <c r="F199" s="7"/>
      <c r="G199" s="1"/>
      <c r="H199" s="8"/>
      <c r="I199" s="9"/>
      <c r="J199" s="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1"/>
      <c r="C200" s="1"/>
      <c r="D200" s="1"/>
      <c r="E200" s="1"/>
      <c r="F200" s="7"/>
      <c r="G200" s="1"/>
      <c r="H200" s="8"/>
      <c r="I200" s="9"/>
      <c r="J200" s="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1"/>
      <c r="C201" s="1"/>
      <c r="D201" s="1"/>
      <c r="E201" s="1"/>
      <c r="F201" s="7"/>
      <c r="G201" s="1"/>
      <c r="H201" s="8"/>
      <c r="I201" s="9"/>
      <c r="J201" s="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1"/>
      <c r="C202" s="1"/>
      <c r="D202" s="1"/>
      <c r="E202" s="1"/>
      <c r="F202" s="7"/>
      <c r="G202" s="1"/>
      <c r="H202" s="8"/>
      <c r="I202" s="14"/>
      <c r="J202" s="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1"/>
      <c r="C203" s="1"/>
      <c r="D203" s="1"/>
      <c r="E203" s="1"/>
      <c r="F203" s="7"/>
      <c r="G203" s="1"/>
      <c r="H203" s="8"/>
      <c r="I203" s="9"/>
      <c r="J203" s="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1"/>
      <c r="C204" s="1"/>
      <c r="D204" s="1"/>
      <c r="E204" s="1"/>
      <c r="F204" s="7"/>
      <c r="G204" s="1"/>
      <c r="H204" s="8"/>
      <c r="I204" s="9"/>
      <c r="J204" s="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1"/>
      <c r="C205" s="1"/>
      <c r="D205" s="1"/>
      <c r="E205" s="1"/>
      <c r="F205" s="7"/>
      <c r="G205" s="1"/>
      <c r="H205" s="8"/>
      <c r="I205" s="9"/>
      <c r="J205" s="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1"/>
      <c r="C206" s="1"/>
      <c r="D206" s="1"/>
      <c r="E206" s="1"/>
      <c r="F206" s="7"/>
      <c r="G206" s="1"/>
      <c r="H206" s="8"/>
      <c r="I206" s="9"/>
      <c r="J206" s="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1"/>
      <c r="C207" s="1"/>
      <c r="D207" s="1"/>
      <c r="E207" s="1"/>
      <c r="F207" s="7"/>
      <c r="G207" s="1"/>
      <c r="H207" s="8"/>
      <c r="I207" s="9"/>
      <c r="J207" s="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1"/>
      <c r="C208" s="1"/>
      <c r="D208" s="1"/>
      <c r="E208" s="1"/>
      <c r="F208" s="7"/>
      <c r="G208" s="1"/>
      <c r="H208" s="8"/>
      <c r="I208" s="13"/>
      <c r="J208" s="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1"/>
      <c r="C209" s="1"/>
      <c r="D209" s="1"/>
      <c r="E209" s="1"/>
      <c r="F209" s="7"/>
      <c r="G209" s="1"/>
      <c r="H209" s="8"/>
      <c r="I209" s="13"/>
      <c r="J209" s="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1"/>
      <c r="C210" s="1"/>
      <c r="D210" s="1"/>
      <c r="E210" s="1"/>
      <c r="F210" s="1"/>
      <c r="G210" s="1"/>
      <c r="H210" s="8"/>
      <c r="I210" s="9"/>
      <c r="J210" s="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1"/>
      <c r="C211" s="1"/>
      <c r="D211" s="1"/>
      <c r="E211" s="1"/>
      <c r="F211" s="1"/>
      <c r="G211" s="1"/>
      <c r="H211" s="8"/>
      <c r="I211" s="9"/>
      <c r="J211" s="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1"/>
      <c r="C212" s="1"/>
      <c r="D212" s="1"/>
      <c r="E212" s="1"/>
      <c r="F212" s="1"/>
      <c r="G212" s="1"/>
      <c r="H212" s="8"/>
      <c r="I212" s="9"/>
      <c r="J212" s="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1"/>
      <c r="C213" s="1"/>
      <c r="D213" s="1"/>
      <c r="E213" s="1"/>
      <c r="F213" s="7"/>
      <c r="G213" s="1"/>
      <c r="H213" s="8"/>
      <c r="I213" s="9"/>
      <c r="J213" s="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1"/>
      <c r="C214" s="1"/>
      <c r="D214" s="1"/>
      <c r="E214" s="1"/>
      <c r="F214" s="7"/>
      <c r="G214" s="1"/>
      <c r="H214" s="8"/>
      <c r="I214" s="9"/>
      <c r="J214" s="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1"/>
      <c r="C215" s="1"/>
      <c r="D215" s="1"/>
      <c r="E215" s="1"/>
      <c r="F215" s="7"/>
      <c r="G215" s="1"/>
      <c r="H215" s="8"/>
      <c r="I215" s="9"/>
      <c r="J215" s="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1"/>
      <c r="C216" s="1"/>
      <c r="D216" s="1"/>
      <c r="E216" s="1"/>
      <c r="F216" s="1"/>
      <c r="G216" s="1"/>
      <c r="H216" s="8"/>
      <c r="I216" s="13"/>
      <c r="J216" s="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1"/>
      <c r="C217" s="1"/>
      <c r="D217" s="1"/>
      <c r="E217" s="1"/>
      <c r="F217" s="7"/>
      <c r="G217" s="1"/>
      <c r="H217" s="8"/>
      <c r="I217" s="9"/>
      <c r="J217" s="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1"/>
      <c r="C218" s="1"/>
      <c r="D218" s="1"/>
      <c r="E218" s="1"/>
      <c r="F218" s="7"/>
      <c r="G218" s="1"/>
      <c r="H218" s="8"/>
      <c r="I218" s="9"/>
      <c r="J218" s="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1"/>
      <c r="C219" s="1"/>
      <c r="D219" s="1"/>
      <c r="E219" s="1"/>
      <c r="F219" s="7"/>
      <c r="G219" s="1"/>
      <c r="H219" s="8"/>
      <c r="I219" s="9"/>
      <c r="J219" s="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1"/>
      <c r="C220" s="1"/>
      <c r="D220" s="1"/>
      <c r="E220" s="1"/>
      <c r="F220" s="7"/>
      <c r="G220" s="1"/>
      <c r="H220" s="8"/>
      <c r="I220" s="9"/>
      <c r="J220" s="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7"/>
      <c r="C221" s="7"/>
      <c r="D221" s="7"/>
      <c r="E221" s="7"/>
      <c r="F221" s="7"/>
      <c r="G221" s="7"/>
      <c r="H221" s="15"/>
      <c r="I221" s="13"/>
      <c r="J221" s="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/>
      <c r="B222" s="7"/>
      <c r="C222" s="7"/>
      <c r="D222" s="7"/>
      <c r="E222" s="7"/>
      <c r="F222" s="7"/>
      <c r="G222" s="7"/>
      <c r="H222" s="15"/>
      <c r="I222" s="13"/>
      <c r="J222" s="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7"/>
      <c r="C223" s="7"/>
      <c r="D223" s="7"/>
      <c r="E223" s="7"/>
      <c r="F223" s="7"/>
      <c r="G223" s="7"/>
      <c r="H223" s="15"/>
      <c r="I223" s="13"/>
      <c r="J223" s="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7"/>
      <c r="C224" s="7"/>
      <c r="D224" s="7"/>
      <c r="E224" s="7"/>
      <c r="F224" s="7"/>
      <c r="G224" s="7"/>
      <c r="H224" s="15"/>
      <c r="I224" s="13"/>
      <c r="J224" s="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7"/>
      <c r="C225" s="7"/>
      <c r="D225" s="7"/>
      <c r="E225" s="7"/>
      <c r="F225" s="7"/>
      <c r="G225" s="7"/>
      <c r="H225" s="15"/>
      <c r="I225" s="13"/>
      <c r="J225" s="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7"/>
      <c r="C226" s="7"/>
      <c r="D226" s="7"/>
      <c r="E226" s="7"/>
      <c r="F226" s="7"/>
      <c r="G226" s="7"/>
      <c r="H226" s="15"/>
      <c r="I226" s="13"/>
      <c r="J226" s="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7"/>
      <c r="C227" s="7"/>
      <c r="D227" s="7"/>
      <c r="E227" s="7"/>
      <c r="F227" s="7"/>
      <c r="G227" s="7"/>
      <c r="H227" s="15"/>
      <c r="I227" s="13"/>
      <c r="J227" s="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7"/>
      <c r="C228" s="7"/>
      <c r="D228" s="7"/>
      <c r="E228" s="7"/>
      <c r="F228" s="7"/>
      <c r="G228" s="7"/>
      <c r="H228" s="15"/>
      <c r="I228" s="13"/>
      <c r="J228" s="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7"/>
      <c r="C229" s="7"/>
      <c r="D229" s="7"/>
      <c r="E229" s="7"/>
      <c r="F229" s="7"/>
      <c r="G229" s="7"/>
      <c r="H229" s="15"/>
      <c r="I229" s="13"/>
      <c r="J229" s="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7"/>
      <c r="C230" s="7"/>
      <c r="D230" s="7"/>
      <c r="E230" s="7"/>
      <c r="F230" s="7"/>
      <c r="G230" s="7"/>
      <c r="H230" s="15"/>
      <c r="I230" s="13"/>
      <c r="J230" s="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7"/>
      <c r="C231" s="7"/>
      <c r="D231" s="7"/>
      <c r="E231" s="7"/>
      <c r="F231" s="7"/>
      <c r="G231" s="7"/>
      <c r="H231" s="15"/>
      <c r="I231" s="13"/>
      <c r="J231" s="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16"/>
      <c r="I232" s="1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16"/>
      <c r="I233" s="1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16"/>
      <c r="I234" s="1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16"/>
      <c r="I235" s="1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16"/>
      <c r="I236" s="1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16"/>
      <c r="I237" s="1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16"/>
      <c r="I238" s="1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16"/>
      <c r="I239" s="1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16"/>
      <c r="I240" s="1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16"/>
      <c r="I241" s="1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12"/>
      <c r="D242" s="12"/>
      <c r="E242" s="12"/>
      <c r="F242" s="12"/>
      <c r="G242" s="12"/>
      <c r="H242" s="18"/>
      <c r="I242" s="1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12"/>
      <c r="C243" s="12"/>
      <c r="D243" s="12"/>
      <c r="E243" s="12"/>
      <c r="F243" s="12"/>
      <c r="G243" s="12"/>
      <c r="H243" s="18"/>
      <c r="I243" s="1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12"/>
      <c r="C244" s="5"/>
      <c r="D244" s="5"/>
      <c r="E244" s="5"/>
      <c r="F244" s="5"/>
      <c r="G244" s="5"/>
      <c r="H244" s="16"/>
      <c r="I244" s="1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12"/>
      <c r="C245" s="5"/>
      <c r="D245" s="5"/>
      <c r="E245" s="5"/>
      <c r="F245" s="5"/>
      <c r="G245" s="5"/>
      <c r="H245" s="16"/>
      <c r="I245" s="1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12"/>
      <c r="C246" s="5"/>
      <c r="D246" s="5"/>
      <c r="E246" s="5"/>
      <c r="F246" s="5"/>
      <c r="G246" s="5"/>
      <c r="H246" s="16"/>
      <c r="I246" s="1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12"/>
      <c r="C247" s="5"/>
      <c r="D247" s="5"/>
      <c r="E247" s="5"/>
      <c r="F247" s="5"/>
      <c r="G247" s="5"/>
      <c r="H247" s="16"/>
      <c r="I247" s="1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12"/>
      <c r="C248" s="5"/>
      <c r="D248" s="5"/>
      <c r="E248" s="5"/>
      <c r="F248" s="5"/>
      <c r="G248" s="5"/>
      <c r="H248" s="16"/>
      <c r="I248" s="1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12"/>
      <c r="C249" s="5"/>
      <c r="D249" s="5"/>
      <c r="E249" s="5"/>
      <c r="F249" s="5"/>
      <c r="G249" s="5"/>
      <c r="H249" s="16"/>
      <c r="I249" s="1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12"/>
      <c r="C250" s="5"/>
      <c r="D250" s="5"/>
      <c r="E250" s="5"/>
      <c r="F250" s="5"/>
      <c r="G250" s="5"/>
      <c r="H250" s="16"/>
      <c r="I250" s="1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12"/>
      <c r="C251" s="5"/>
      <c r="D251" s="5"/>
      <c r="E251" s="5"/>
      <c r="F251" s="5"/>
      <c r="G251" s="5"/>
      <c r="H251" s="16"/>
      <c r="I251" s="1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12"/>
      <c r="C252" s="5"/>
      <c r="D252" s="5"/>
      <c r="E252" s="5"/>
      <c r="F252" s="5"/>
      <c r="G252" s="5"/>
      <c r="H252" s="16"/>
      <c r="I252" s="1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12"/>
      <c r="C253" s="5"/>
      <c r="D253" s="5"/>
      <c r="E253" s="5"/>
      <c r="F253" s="5"/>
      <c r="G253" s="5"/>
      <c r="H253" s="16"/>
      <c r="I253" s="1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12"/>
      <c r="C254" s="5"/>
      <c r="D254" s="5"/>
      <c r="E254" s="5"/>
      <c r="F254" s="5"/>
      <c r="G254" s="5"/>
      <c r="H254" s="16"/>
      <c r="I254" s="1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16"/>
      <c r="I255" s="1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16"/>
      <c r="I256" s="1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16"/>
      <c r="I257" s="1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16"/>
      <c r="I258" s="1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16"/>
      <c r="I259" s="1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16"/>
      <c r="I260" s="1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16"/>
      <c r="I261" s="1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16"/>
      <c r="I262" s="1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16"/>
      <c r="I263" s="1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16"/>
      <c r="I264" s="1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16"/>
      <c r="I265" s="1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16"/>
      <c r="I266" s="1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16"/>
      <c r="I267" s="1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16"/>
      <c r="I268" s="1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16"/>
      <c r="I269" s="1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16"/>
      <c r="I270" s="1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16"/>
      <c r="I271" s="1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16"/>
      <c r="I272" s="1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16"/>
      <c r="I273" s="1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16"/>
      <c r="I274" s="1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16"/>
      <c r="I275" s="1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16"/>
      <c r="I276" s="1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16"/>
      <c r="I277" s="1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16"/>
      <c r="I278" s="1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16"/>
      <c r="I279" s="1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16"/>
      <c r="I280" s="1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16"/>
      <c r="I281" s="1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16"/>
      <c r="I282" s="1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16"/>
      <c r="I283" s="1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16"/>
      <c r="I284" s="1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16"/>
      <c r="I285" s="1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16"/>
      <c r="I286" s="1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16"/>
      <c r="I287" s="1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16"/>
      <c r="I288" s="1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16"/>
      <c r="I289" s="1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16"/>
      <c r="I290" s="1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16"/>
      <c r="I291" s="1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16"/>
      <c r="I292" s="1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16"/>
      <c r="I293" s="1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16"/>
      <c r="I294" s="1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16"/>
      <c r="I295" s="1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16"/>
      <c r="I296" s="1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16"/>
      <c r="I297" s="1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16"/>
      <c r="I298" s="1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16"/>
      <c r="I299" s="1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16"/>
      <c r="I300" s="1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16"/>
      <c r="I301" s="1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16"/>
      <c r="I302" s="1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16"/>
      <c r="I303" s="1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16"/>
      <c r="I304" s="1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16"/>
      <c r="I305" s="1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16"/>
      <c r="I306" s="1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16"/>
      <c r="I307" s="1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16"/>
      <c r="I308" s="1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16"/>
      <c r="I309" s="1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16"/>
      <c r="I310" s="1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16"/>
      <c r="I311" s="1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16"/>
      <c r="I312" s="1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16"/>
      <c r="I313" s="1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16"/>
      <c r="I314" s="1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16"/>
      <c r="I315" s="1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16"/>
      <c r="I316" s="1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16"/>
      <c r="I317" s="1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16"/>
      <c r="I318" s="1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16"/>
      <c r="I319" s="1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16"/>
      <c r="I320" s="1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16"/>
      <c r="I321" s="1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16"/>
      <c r="I322" s="1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16"/>
      <c r="I323" s="1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16"/>
      <c r="I324" s="1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16"/>
      <c r="I325" s="1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16"/>
      <c r="I326" s="1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16"/>
      <c r="I327" s="1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16"/>
      <c r="I328" s="1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16"/>
      <c r="I329" s="1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16"/>
      <c r="I330" s="1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16"/>
      <c r="I331" s="1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16"/>
      <c r="I332" s="1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16"/>
      <c r="I333" s="1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16"/>
      <c r="I334" s="1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16"/>
      <c r="I335" s="1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16"/>
      <c r="I336" s="1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16"/>
      <c r="I337" s="1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16"/>
      <c r="I338" s="1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16"/>
      <c r="I339" s="1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16"/>
      <c r="I340" s="1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16"/>
      <c r="I341" s="1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16"/>
      <c r="I342" s="1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16"/>
      <c r="I343" s="1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16"/>
      <c r="I344" s="1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16"/>
      <c r="I345" s="1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16"/>
      <c r="I346" s="1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16"/>
      <c r="I347" s="1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16"/>
      <c r="I348" s="1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16"/>
      <c r="I349" s="1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16"/>
      <c r="I350" s="1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16"/>
      <c r="I351" s="1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16"/>
      <c r="I352" s="1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16"/>
      <c r="I353" s="1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16"/>
      <c r="I354" s="1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16"/>
      <c r="I355" s="1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16"/>
      <c r="I356" s="1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16"/>
      <c r="I357" s="1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16"/>
      <c r="I358" s="1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16"/>
      <c r="I359" s="1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16"/>
      <c r="I360" s="1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16"/>
      <c r="I361" s="1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16"/>
      <c r="I362" s="1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16"/>
      <c r="I363" s="1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16"/>
      <c r="I364" s="1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16"/>
      <c r="I365" s="1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16"/>
      <c r="I366" s="1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16"/>
      <c r="I367" s="1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16"/>
      <c r="I368" s="1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16"/>
      <c r="I369" s="1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16"/>
      <c r="I370" s="1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16"/>
      <c r="I371" s="1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16"/>
      <c r="I372" s="1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16"/>
      <c r="I373" s="1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16"/>
      <c r="I374" s="1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16"/>
      <c r="I375" s="1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16"/>
      <c r="I376" s="1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16"/>
      <c r="I377" s="1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16"/>
      <c r="I378" s="1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16"/>
      <c r="I379" s="1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16"/>
      <c r="I380" s="1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16"/>
      <c r="I381" s="1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16"/>
      <c r="I382" s="1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16"/>
      <c r="I383" s="1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16"/>
      <c r="I384" s="1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16"/>
      <c r="I385" s="1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16"/>
      <c r="I386" s="1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16"/>
      <c r="I387" s="1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16"/>
      <c r="I388" s="1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16"/>
      <c r="I389" s="1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16"/>
      <c r="I390" s="1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16"/>
      <c r="I391" s="1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16"/>
      <c r="I392" s="1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16"/>
      <c r="I393" s="1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16"/>
      <c r="I394" s="1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16"/>
      <c r="I395" s="1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16"/>
      <c r="I396" s="1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16"/>
      <c r="I397" s="1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16"/>
      <c r="I398" s="1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16"/>
      <c r="I399" s="1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16"/>
      <c r="I400" s="1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16"/>
      <c r="I401" s="1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16"/>
      <c r="I402" s="1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16"/>
      <c r="I403" s="1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16"/>
      <c r="I404" s="1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16"/>
      <c r="I405" s="1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16"/>
      <c r="I406" s="1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16"/>
      <c r="I407" s="1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16"/>
      <c r="I408" s="1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16"/>
      <c r="I409" s="1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16"/>
      <c r="I410" s="1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16"/>
      <c r="I411" s="1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16"/>
      <c r="I412" s="1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16"/>
      <c r="I413" s="1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16"/>
      <c r="I414" s="1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16"/>
      <c r="I415" s="1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16"/>
      <c r="I416" s="1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16"/>
      <c r="I417" s="1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16"/>
      <c r="I418" s="1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16"/>
      <c r="I419" s="1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16"/>
      <c r="I420" s="1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16"/>
      <c r="I421" s="1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16"/>
      <c r="I422" s="1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16"/>
      <c r="I423" s="1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16"/>
      <c r="I424" s="1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16"/>
      <c r="I425" s="1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16"/>
      <c r="I426" s="1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16"/>
      <c r="I427" s="1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16"/>
      <c r="I428" s="1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16"/>
      <c r="I429" s="1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16"/>
      <c r="I430" s="1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16"/>
      <c r="I431" s="1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16"/>
      <c r="I432" s="1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16"/>
      <c r="I433" s="1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16"/>
      <c r="I434" s="1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16"/>
      <c r="I435" s="1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16"/>
      <c r="I436" s="1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16"/>
      <c r="I437" s="1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16"/>
      <c r="I438" s="1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16"/>
      <c r="I439" s="1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16"/>
      <c r="I440" s="1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16"/>
      <c r="I441" s="1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16"/>
      <c r="I442" s="1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16"/>
      <c r="I443" s="1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16"/>
      <c r="I444" s="1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16"/>
      <c r="I445" s="1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16"/>
      <c r="I446" s="1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16"/>
      <c r="I447" s="1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16"/>
      <c r="I448" s="1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16"/>
      <c r="I449" s="1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16"/>
      <c r="I450" s="1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16"/>
      <c r="I451" s="1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16"/>
      <c r="I452" s="1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16"/>
      <c r="I453" s="1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16"/>
      <c r="I454" s="1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16"/>
      <c r="I455" s="1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16"/>
      <c r="I456" s="1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16"/>
      <c r="I457" s="1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16"/>
      <c r="I458" s="1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16"/>
      <c r="I459" s="1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16"/>
      <c r="I460" s="1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16"/>
      <c r="I461" s="1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16"/>
      <c r="I462" s="1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16"/>
      <c r="I463" s="1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16"/>
      <c r="I464" s="1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16"/>
      <c r="I465" s="1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16"/>
      <c r="I466" s="1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16"/>
      <c r="I467" s="1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16"/>
      <c r="I468" s="1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16"/>
      <c r="I469" s="1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16"/>
      <c r="I470" s="1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16"/>
      <c r="I471" s="1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16"/>
      <c r="I472" s="1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16"/>
      <c r="I473" s="1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16"/>
      <c r="I474" s="1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16"/>
      <c r="I475" s="1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16"/>
      <c r="I476" s="1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16"/>
      <c r="I477" s="1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16"/>
      <c r="I478" s="1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16"/>
      <c r="I479" s="1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16"/>
      <c r="I480" s="1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16"/>
      <c r="I481" s="1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16"/>
      <c r="I482" s="1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16"/>
      <c r="I483" s="1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16"/>
      <c r="I484" s="1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16"/>
      <c r="I485" s="1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16"/>
      <c r="I486" s="1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16"/>
      <c r="I487" s="1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16"/>
      <c r="I488" s="1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16"/>
      <c r="I489" s="1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16"/>
      <c r="I490" s="1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16"/>
      <c r="I491" s="1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16"/>
      <c r="I492" s="1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16"/>
      <c r="I493" s="1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16"/>
      <c r="I494" s="1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16"/>
      <c r="I495" s="1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16"/>
      <c r="I496" s="1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16"/>
      <c r="I497" s="1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16"/>
      <c r="I498" s="1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16"/>
      <c r="I499" s="1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16"/>
      <c r="I500" s="1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16"/>
      <c r="I501" s="1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16"/>
      <c r="I502" s="1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16"/>
      <c r="I503" s="1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16"/>
      <c r="I504" s="1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16"/>
      <c r="I505" s="1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16"/>
      <c r="I506" s="1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16"/>
      <c r="I507" s="1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16"/>
      <c r="I508" s="1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16"/>
      <c r="I509" s="1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16"/>
      <c r="I510" s="1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16"/>
      <c r="I511" s="1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16"/>
      <c r="I512" s="1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16"/>
      <c r="I513" s="1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16"/>
      <c r="I514" s="1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16"/>
      <c r="I515" s="1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16"/>
      <c r="I516" s="1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16"/>
      <c r="I517" s="1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16"/>
      <c r="I518" s="1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16"/>
      <c r="I519" s="1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16"/>
      <c r="I520" s="1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16"/>
      <c r="I521" s="1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16"/>
      <c r="I522" s="1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16"/>
      <c r="I523" s="1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16"/>
      <c r="I524" s="1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16"/>
      <c r="I525" s="1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16"/>
      <c r="I526" s="1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16"/>
      <c r="I527" s="1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16"/>
      <c r="I528" s="1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16"/>
      <c r="I529" s="1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16"/>
      <c r="I530" s="1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16"/>
      <c r="I531" s="1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16"/>
      <c r="I532" s="1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16"/>
      <c r="I533" s="1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16"/>
      <c r="I534" s="1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16"/>
      <c r="I535" s="1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16"/>
      <c r="I536" s="1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16"/>
      <c r="I537" s="1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16"/>
      <c r="I538" s="1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16"/>
      <c r="I539" s="1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16"/>
      <c r="I540" s="1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16"/>
      <c r="I541" s="1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16"/>
      <c r="I542" s="1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16"/>
      <c r="I543" s="1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16"/>
      <c r="I544" s="1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16"/>
      <c r="I545" s="1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16"/>
      <c r="I546" s="1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16"/>
      <c r="I547" s="1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16"/>
      <c r="I548" s="1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16"/>
      <c r="I549" s="1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16"/>
      <c r="I550" s="1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16"/>
      <c r="I551" s="1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16"/>
      <c r="I552" s="1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16"/>
      <c r="I553" s="1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16"/>
      <c r="I554" s="1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16"/>
      <c r="I555" s="1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16"/>
      <c r="I556" s="1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16"/>
      <c r="I557" s="1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16"/>
      <c r="I558" s="1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16"/>
      <c r="I559" s="1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16"/>
      <c r="I560" s="1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16"/>
      <c r="I561" s="1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16"/>
      <c r="I562" s="1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16"/>
      <c r="I563" s="1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16"/>
      <c r="I564" s="1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16"/>
      <c r="I565" s="1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16"/>
      <c r="I566" s="1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16"/>
      <c r="I567" s="1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16"/>
      <c r="I568" s="1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16"/>
      <c r="I569" s="1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16"/>
      <c r="I570" s="1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16"/>
      <c r="I571" s="1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16"/>
      <c r="I572" s="1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16"/>
      <c r="I573" s="1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16"/>
      <c r="I574" s="1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16"/>
      <c r="I575" s="1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16"/>
      <c r="I576" s="1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16"/>
      <c r="I577" s="1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16"/>
      <c r="I578" s="1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16"/>
      <c r="I579" s="1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16"/>
      <c r="I580" s="1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16"/>
      <c r="I581" s="1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16"/>
      <c r="I582" s="1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16"/>
      <c r="I583" s="1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16"/>
      <c r="I584" s="1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16"/>
      <c r="I585" s="1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16"/>
      <c r="I586" s="1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16"/>
      <c r="I587" s="1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16"/>
      <c r="I588" s="1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16"/>
      <c r="I589" s="1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16"/>
      <c r="I590" s="1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16"/>
      <c r="I591" s="1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16"/>
      <c r="I592" s="1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16"/>
      <c r="I593" s="1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16"/>
      <c r="I594" s="1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16"/>
      <c r="I595" s="1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16"/>
      <c r="I596" s="1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16"/>
      <c r="I597" s="1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16"/>
      <c r="I598" s="1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16"/>
      <c r="I599" s="1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16"/>
      <c r="I600" s="1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16"/>
      <c r="I601" s="1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16"/>
      <c r="I602" s="1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16"/>
      <c r="I603" s="1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16"/>
      <c r="I604" s="1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16"/>
      <c r="I605" s="1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16"/>
      <c r="I606" s="1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16"/>
      <c r="I607" s="1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16"/>
      <c r="I608" s="1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16"/>
      <c r="I609" s="1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16"/>
      <c r="I610" s="1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16"/>
      <c r="I611" s="1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16"/>
      <c r="I612" s="1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16"/>
      <c r="I613" s="1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16"/>
      <c r="I614" s="1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16"/>
      <c r="I615" s="1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16"/>
      <c r="I616" s="1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16"/>
      <c r="I617" s="1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16"/>
      <c r="I618" s="1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16"/>
      <c r="I619" s="1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16"/>
      <c r="I620" s="1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16"/>
      <c r="I621" s="1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16"/>
      <c r="I622" s="1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16"/>
      <c r="I623" s="1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16"/>
      <c r="I624" s="1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16"/>
      <c r="I625" s="1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16"/>
      <c r="I626" s="1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16"/>
      <c r="I627" s="1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16"/>
      <c r="I628" s="1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16"/>
      <c r="I629" s="1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16"/>
      <c r="I630" s="1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16"/>
      <c r="I631" s="1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16"/>
      <c r="I632" s="1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16"/>
      <c r="I633" s="1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16"/>
      <c r="I634" s="1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16"/>
      <c r="I635" s="1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16"/>
      <c r="I636" s="1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16"/>
      <c r="I637" s="1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16"/>
      <c r="I638" s="1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16"/>
      <c r="I639" s="1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16"/>
      <c r="I640" s="1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16"/>
      <c r="I641" s="1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16"/>
      <c r="I642" s="1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16"/>
      <c r="I643" s="1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16"/>
      <c r="I644" s="1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16"/>
      <c r="I645" s="1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16"/>
      <c r="I646" s="1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16"/>
      <c r="I647" s="1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16"/>
      <c r="I648" s="1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16"/>
      <c r="I649" s="1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16"/>
      <c r="I650" s="1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16"/>
      <c r="I651" s="1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16"/>
      <c r="I652" s="1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16"/>
      <c r="I653" s="1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16"/>
      <c r="I654" s="1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16"/>
      <c r="I655" s="1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16"/>
      <c r="I656" s="1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16"/>
      <c r="I657" s="1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16"/>
      <c r="I658" s="1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16"/>
      <c r="I659" s="1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16"/>
      <c r="I660" s="1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16"/>
      <c r="I661" s="1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16"/>
      <c r="I662" s="1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16"/>
      <c r="I663" s="1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16"/>
      <c r="I664" s="1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16"/>
      <c r="I665" s="1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16"/>
      <c r="I666" s="1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16"/>
      <c r="I667" s="1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16"/>
      <c r="I668" s="1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16"/>
      <c r="I669" s="1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16"/>
      <c r="I670" s="1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16"/>
      <c r="I671" s="1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16"/>
      <c r="I672" s="1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16"/>
      <c r="I673" s="1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16"/>
      <c r="I674" s="1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16"/>
      <c r="I675" s="1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16"/>
      <c r="I676" s="1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16"/>
      <c r="I677" s="1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16"/>
      <c r="I678" s="1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16"/>
      <c r="I679" s="1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16"/>
      <c r="I680" s="1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16"/>
      <c r="I681" s="1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16"/>
      <c r="I682" s="1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16"/>
      <c r="I683" s="1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16"/>
      <c r="I684" s="1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16"/>
      <c r="I685" s="1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16"/>
      <c r="I686" s="1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16"/>
      <c r="I687" s="1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16"/>
      <c r="I688" s="1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16"/>
      <c r="I689" s="1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16"/>
      <c r="I690" s="1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16"/>
      <c r="I691" s="1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16"/>
      <c r="I692" s="1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16"/>
      <c r="I693" s="1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16"/>
      <c r="I694" s="1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16"/>
      <c r="I695" s="1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16"/>
      <c r="I696" s="1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16"/>
      <c r="I697" s="1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16"/>
      <c r="I698" s="1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16"/>
      <c r="I699" s="1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16"/>
      <c r="I700" s="1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16"/>
      <c r="I701" s="1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16"/>
      <c r="I702" s="1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16"/>
      <c r="I703" s="1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16"/>
      <c r="I704" s="1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16"/>
      <c r="I705" s="1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16"/>
      <c r="I706" s="1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16"/>
      <c r="I707" s="1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16"/>
      <c r="I708" s="1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16"/>
      <c r="I709" s="1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16"/>
      <c r="I710" s="1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16"/>
      <c r="I711" s="1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16"/>
      <c r="I712" s="1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16"/>
      <c r="I713" s="1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16"/>
      <c r="I714" s="1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16"/>
      <c r="I715" s="1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16"/>
      <c r="I716" s="1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16"/>
      <c r="I717" s="1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16"/>
      <c r="I718" s="1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16"/>
      <c r="I719" s="1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16"/>
      <c r="I720" s="1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16"/>
      <c r="I721" s="1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16"/>
      <c r="I722" s="1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16"/>
      <c r="I723" s="1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16"/>
      <c r="I724" s="1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16"/>
      <c r="I725" s="1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16"/>
      <c r="I726" s="1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16"/>
      <c r="I727" s="1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16"/>
      <c r="I728" s="1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16"/>
      <c r="I729" s="1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16"/>
      <c r="I730" s="1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16"/>
      <c r="I731" s="1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16"/>
      <c r="I732" s="1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16"/>
      <c r="I733" s="1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16"/>
      <c r="I734" s="1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16"/>
      <c r="I735" s="1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16"/>
      <c r="I736" s="1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16"/>
      <c r="I737" s="1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16"/>
      <c r="I738" s="1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16"/>
      <c r="I739" s="1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16"/>
      <c r="I740" s="1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16"/>
      <c r="I741" s="1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16"/>
      <c r="I742" s="1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16"/>
      <c r="I743" s="1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16"/>
      <c r="I744" s="1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16"/>
      <c r="I745" s="1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16"/>
      <c r="I746" s="1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16"/>
      <c r="I747" s="1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16"/>
      <c r="I748" s="1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16"/>
      <c r="I749" s="1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16"/>
      <c r="I750" s="1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16"/>
      <c r="I751" s="1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16"/>
      <c r="I752" s="1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16"/>
      <c r="I753" s="1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16"/>
      <c r="I754" s="1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16"/>
      <c r="I755" s="1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16"/>
      <c r="I756" s="1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16"/>
      <c r="I757" s="1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16"/>
      <c r="I758" s="1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16"/>
      <c r="I759" s="1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16"/>
      <c r="I760" s="1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16"/>
      <c r="I761" s="1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16"/>
      <c r="I762" s="1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16"/>
      <c r="I763" s="1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16"/>
      <c r="I764" s="1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16"/>
      <c r="I765" s="1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16"/>
      <c r="I766" s="1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16"/>
      <c r="I767" s="1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16"/>
      <c r="I768" s="1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16"/>
      <c r="I769" s="1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16"/>
      <c r="I770" s="1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16"/>
      <c r="I771" s="1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16"/>
      <c r="I772" s="1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16"/>
      <c r="I773" s="1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16"/>
      <c r="I774" s="1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16"/>
      <c r="I775" s="1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16"/>
      <c r="I776" s="1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16"/>
      <c r="I777" s="1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16"/>
      <c r="I778" s="1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16"/>
      <c r="I779" s="1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16"/>
      <c r="I780" s="1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16"/>
      <c r="I781" s="1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16"/>
      <c r="I782" s="1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16"/>
      <c r="I783" s="1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16"/>
      <c r="I784" s="1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16"/>
      <c r="I785" s="1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16"/>
      <c r="I786" s="1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16"/>
      <c r="I787" s="1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16"/>
      <c r="I788" s="1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16"/>
      <c r="I789" s="1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16"/>
      <c r="I790" s="1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16"/>
      <c r="I791" s="1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16"/>
      <c r="I792" s="1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16"/>
      <c r="I793" s="1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16"/>
      <c r="I794" s="1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16"/>
      <c r="I795" s="1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16"/>
      <c r="I796" s="1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16"/>
      <c r="I797" s="1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16"/>
      <c r="I798" s="1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16"/>
      <c r="I799" s="1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16"/>
      <c r="I800" s="1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16"/>
      <c r="I801" s="1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16"/>
      <c r="I802" s="1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16"/>
      <c r="I803" s="1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16"/>
      <c r="I804" s="1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16"/>
      <c r="I805" s="1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16"/>
      <c r="I806" s="1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16"/>
      <c r="I807" s="1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16"/>
      <c r="I808" s="1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16"/>
      <c r="I809" s="1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16"/>
      <c r="I810" s="1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16"/>
      <c r="I811" s="1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16"/>
      <c r="I812" s="1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16"/>
      <c r="I813" s="1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16"/>
      <c r="I814" s="1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16"/>
      <c r="I815" s="1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16"/>
      <c r="I816" s="1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16"/>
      <c r="I817" s="1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16"/>
      <c r="I818" s="1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16"/>
      <c r="I819" s="1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16"/>
      <c r="I820" s="1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16"/>
      <c r="I821" s="1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16"/>
      <c r="I822" s="1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16"/>
      <c r="I823" s="1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16"/>
      <c r="I824" s="1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16"/>
      <c r="I825" s="1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16"/>
      <c r="I826" s="1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16"/>
      <c r="I827" s="1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16"/>
      <c r="I828" s="1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16"/>
      <c r="I829" s="1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16"/>
      <c r="I830" s="1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16"/>
      <c r="I831" s="1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16"/>
      <c r="I832" s="1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16"/>
      <c r="I833" s="1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16"/>
      <c r="I834" s="1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16"/>
      <c r="I835" s="1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16"/>
      <c r="I836" s="1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16"/>
      <c r="I837" s="1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16"/>
      <c r="I838" s="1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16"/>
      <c r="I839" s="1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16"/>
      <c r="I840" s="1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16"/>
      <c r="I841" s="1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16"/>
      <c r="I842" s="1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16"/>
      <c r="I843" s="1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16"/>
      <c r="I844" s="1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16"/>
      <c r="I845" s="1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16"/>
      <c r="I846" s="1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16"/>
      <c r="I847" s="1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16"/>
      <c r="I848" s="1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16"/>
      <c r="I849" s="1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16"/>
      <c r="I850" s="1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16"/>
      <c r="I851" s="1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16"/>
      <c r="I852" s="1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16"/>
      <c r="I853" s="1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16"/>
      <c r="I854" s="1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16"/>
      <c r="I855" s="1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16"/>
      <c r="I856" s="1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16"/>
      <c r="I857" s="1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16"/>
      <c r="I858" s="1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16"/>
      <c r="I859" s="1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16"/>
      <c r="I860" s="1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16"/>
      <c r="I861" s="1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16"/>
      <c r="I862" s="1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16"/>
      <c r="I863" s="1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16"/>
      <c r="I864" s="1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16"/>
      <c r="I865" s="1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16"/>
      <c r="I866" s="1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16"/>
      <c r="I867" s="1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16"/>
      <c r="I868" s="1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16"/>
      <c r="I869" s="1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16"/>
      <c r="I870" s="1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16"/>
      <c r="I871" s="1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16"/>
      <c r="I872" s="1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16"/>
      <c r="I873" s="1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16"/>
      <c r="I874" s="1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16"/>
      <c r="I875" s="1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16"/>
      <c r="I876" s="1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16"/>
      <c r="I877" s="1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16"/>
      <c r="I878" s="1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16"/>
      <c r="I879" s="1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16"/>
      <c r="I880" s="1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16"/>
      <c r="I881" s="1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16"/>
      <c r="I882" s="1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16"/>
      <c r="I883" s="1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16"/>
      <c r="I884" s="1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16"/>
      <c r="I885" s="1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16"/>
      <c r="I886" s="1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16"/>
      <c r="I887" s="1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16"/>
      <c r="I888" s="1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16"/>
      <c r="I889" s="1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16"/>
      <c r="I890" s="1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16"/>
      <c r="I891" s="1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16"/>
      <c r="I892" s="1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16"/>
      <c r="I893" s="1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16"/>
      <c r="I894" s="1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16"/>
      <c r="I895" s="1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16"/>
      <c r="I896" s="1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16"/>
      <c r="I897" s="1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16"/>
      <c r="I898" s="1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16"/>
      <c r="I899" s="1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16"/>
      <c r="I900" s="1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16"/>
      <c r="I901" s="1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16"/>
      <c r="I902" s="1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16"/>
      <c r="I903" s="1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16"/>
      <c r="I904" s="1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16"/>
      <c r="I905" s="1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16"/>
      <c r="I906" s="1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16"/>
      <c r="I907" s="1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16"/>
      <c r="I908" s="1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16"/>
      <c r="I909" s="1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16"/>
      <c r="I910" s="1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16"/>
      <c r="I911" s="1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16"/>
      <c r="I912" s="1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16"/>
      <c r="I913" s="1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16"/>
      <c r="I914" s="1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16"/>
      <c r="I915" s="1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16"/>
      <c r="I916" s="1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16"/>
      <c r="I917" s="1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16"/>
      <c r="I918" s="1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16"/>
      <c r="I919" s="1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16"/>
      <c r="I920" s="1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16"/>
      <c r="I921" s="1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16"/>
      <c r="I922" s="1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16"/>
      <c r="I923" s="1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16"/>
      <c r="I924" s="1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16"/>
      <c r="I925" s="1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16"/>
      <c r="I926" s="1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16"/>
      <c r="I927" s="1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16"/>
      <c r="I928" s="1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16"/>
      <c r="I929" s="1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16"/>
      <c r="I930" s="1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16"/>
      <c r="I931" s="1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16"/>
      <c r="I932" s="1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16"/>
      <c r="I933" s="1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16"/>
      <c r="I934" s="1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16"/>
      <c r="I935" s="1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16"/>
      <c r="I936" s="1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16"/>
      <c r="I937" s="1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16"/>
      <c r="I938" s="1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16"/>
      <c r="I939" s="1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16"/>
      <c r="I940" s="1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16"/>
      <c r="I941" s="1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16"/>
      <c r="I942" s="1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16"/>
      <c r="I943" s="1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16"/>
      <c r="I944" s="1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16"/>
      <c r="I945" s="1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16"/>
      <c r="I946" s="1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16"/>
      <c r="I947" s="1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16"/>
      <c r="I948" s="1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16"/>
      <c r="I949" s="1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16"/>
      <c r="I950" s="1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16"/>
      <c r="I951" s="1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16"/>
      <c r="I952" s="1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16"/>
      <c r="I953" s="1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16"/>
      <c r="I954" s="1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16"/>
      <c r="I955" s="1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16"/>
      <c r="I956" s="1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16"/>
      <c r="I957" s="1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16"/>
      <c r="I958" s="1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16"/>
      <c r="I959" s="1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16"/>
      <c r="I960" s="1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16"/>
      <c r="I961" s="1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</sheetData>
  <autoFilter ref="$A$1:$J$203"/>
  <dataValidations>
    <dataValidation type="list" allowBlank="1" showErrorMessage="1" sqref="D75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BERNA,SPRINGER SPANIEL"</formula1>
    </dataValidation>
    <dataValidation type="list" allowBlank="1" showErrorMessage="1" sqref="D2:D74 D76:D231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"</formula1>
    </dataValidation>
    <dataValidation type="list" allowBlank="1" showErrorMessage="1" sqref="G2:G231">
      <formula1>"LARGO,CORTO"</formula1>
    </dataValidation>
    <dataValidation type="list" allowBlank="1" showErrorMessage="1" sqref="J2:J231">
      <formula1>"MOÑO,MOÑOS,CORBATÍN,PAÑOLETA,NO"</formula1>
    </dataValidation>
    <dataValidation type="list" allowBlank="1" showErrorMessage="1" sqref="E2:E231">
      <formula1>"BAÑO EVA,FLASH BATH,CAT LOVER,EVA PRIMITIVO,EVA ALTERNATIVO,EVA'S GROOMING,STRIPPING,CORTE DE UÑAS,PEINADO,EVA LISO PERFECTO,SESIÓN DESENREDO,LIMPIEZA DENTAL PROFUNDA"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5.5"/>
    <col customWidth="1" min="4" max="4" width="30.38"/>
    <col customWidth="1" min="5" max="5" width="23.88"/>
    <col customWidth="1" min="6" max="6" width="24.75"/>
    <col customWidth="1" min="7" max="7" width="15.25"/>
    <col customWidth="1" min="10" max="10" width="16.63"/>
  </cols>
  <sheetData>
    <row r="1">
      <c r="A1" s="1" t="s">
        <v>303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46055.0</v>
      </c>
      <c r="B2" s="1" t="s">
        <v>304</v>
      </c>
      <c r="C2" s="1" t="s">
        <v>185</v>
      </c>
      <c r="D2" s="1" t="s">
        <v>150</v>
      </c>
      <c r="E2" s="1" t="s">
        <v>13</v>
      </c>
      <c r="F2" s="7"/>
      <c r="G2" s="1" t="s">
        <v>14</v>
      </c>
      <c r="H2" s="8">
        <v>90000.0</v>
      </c>
      <c r="I2" s="9"/>
      <c r="J2" s="1" t="s">
        <v>15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46055.0</v>
      </c>
      <c r="B3" s="1" t="s">
        <v>305</v>
      </c>
      <c r="C3" s="1" t="s">
        <v>306</v>
      </c>
      <c r="D3" s="1" t="s">
        <v>145</v>
      </c>
      <c r="E3" s="1" t="s">
        <v>13</v>
      </c>
      <c r="F3" s="7"/>
      <c r="G3" s="1" t="s">
        <v>28</v>
      </c>
      <c r="H3" s="8">
        <v>65000.0</v>
      </c>
      <c r="I3" s="9"/>
      <c r="J3" s="1" t="s">
        <v>96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46055.0</v>
      </c>
      <c r="B4" s="1" t="s">
        <v>142</v>
      </c>
      <c r="C4" s="1" t="s">
        <v>307</v>
      </c>
      <c r="D4" s="1" t="s">
        <v>156</v>
      </c>
      <c r="E4" s="1" t="s">
        <v>157</v>
      </c>
      <c r="F4" s="7"/>
      <c r="G4" s="1" t="s">
        <v>14</v>
      </c>
      <c r="H4" s="8">
        <v>68000.0</v>
      </c>
      <c r="I4" s="1"/>
      <c r="J4" s="1" t="s">
        <v>96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46055.0</v>
      </c>
      <c r="B5" s="1" t="s">
        <v>61</v>
      </c>
      <c r="C5" s="1" t="s">
        <v>62</v>
      </c>
      <c r="D5" s="1" t="s">
        <v>63</v>
      </c>
      <c r="E5" s="1" t="s">
        <v>13</v>
      </c>
      <c r="F5" s="7"/>
      <c r="G5" s="1" t="s">
        <v>14</v>
      </c>
      <c r="H5" s="8">
        <v>68000.0</v>
      </c>
      <c r="I5" s="1"/>
      <c r="J5" s="1" t="s">
        <v>96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46055.0</v>
      </c>
      <c r="B6" s="1" t="s">
        <v>308</v>
      </c>
      <c r="C6" s="1" t="s">
        <v>309</v>
      </c>
      <c r="D6" s="1" t="s">
        <v>54</v>
      </c>
      <c r="E6" s="1" t="s">
        <v>23</v>
      </c>
      <c r="F6" s="7"/>
      <c r="G6" s="1" t="s">
        <v>14</v>
      </c>
      <c r="H6" s="8">
        <v>150000.0</v>
      </c>
      <c r="I6" s="9"/>
      <c r="J6" s="1" t="s">
        <v>15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46055.0</v>
      </c>
      <c r="B7" s="1" t="s">
        <v>310</v>
      </c>
      <c r="C7" s="1" t="s">
        <v>311</v>
      </c>
      <c r="D7" s="1" t="s">
        <v>27</v>
      </c>
      <c r="E7" s="1" t="s">
        <v>13</v>
      </c>
      <c r="F7" s="1"/>
      <c r="G7" s="1" t="s">
        <v>28</v>
      </c>
      <c r="H7" s="8">
        <v>55000.0</v>
      </c>
      <c r="I7" s="9"/>
      <c r="J7" s="1" t="s">
        <v>96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46055.0</v>
      </c>
      <c r="B8" s="1" t="s">
        <v>310</v>
      </c>
      <c r="C8" s="1" t="s">
        <v>312</v>
      </c>
      <c r="D8" s="1" t="s">
        <v>27</v>
      </c>
      <c r="E8" s="1" t="s">
        <v>13</v>
      </c>
      <c r="F8" s="7"/>
      <c r="G8" s="1" t="s">
        <v>28</v>
      </c>
      <c r="H8" s="8">
        <v>55000.0</v>
      </c>
      <c r="I8" s="9"/>
      <c r="J8" s="1" t="s">
        <v>96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46055.0</v>
      </c>
      <c r="B9" s="1" t="s">
        <v>310</v>
      </c>
      <c r="C9" s="1" t="s">
        <v>87</v>
      </c>
      <c r="D9" s="1" t="s">
        <v>27</v>
      </c>
      <c r="E9" s="1" t="s">
        <v>13</v>
      </c>
      <c r="F9" s="7"/>
      <c r="G9" s="1" t="s">
        <v>28</v>
      </c>
      <c r="H9" s="8">
        <v>60000.0</v>
      </c>
      <c r="I9" s="9"/>
      <c r="J9" s="1" t="s">
        <v>96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46055.0</v>
      </c>
      <c r="B10" s="1"/>
      <c r="C10" s="1"/>
      <c r="D10" s="1" t="s">
        <v>27</v>
      </c>
      <c r="E10" s="1" t="s">
        <v>33</v>
      </c>
      <c r="F10" s="7"/>
      <c r="G10" s="1" t="s">
        <v>28</v>
      </c>
      <c r="H10" s="8">
        <v>15000.0</v>
      </c>
      <c r="I10" s="9"/>
      <c r="J10" s="1" t="s">
        <v>34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46056.0</v>
      </c>
      <c r="B11" s="1" t="s">
        <v>313</v>
      </c>
      <c r="C11" s="1" t="s">
        <v>314</v>
      </c>
      <c r="D11" s="1" t="s">
        <v>113</v>
      </c>
      <c r="E11" s="1" t="s">
        <v>23</v>
      </c>
      <c r="F11" s="7"/>
      <c r="G11" s="1" t="s">
        <v>14</v>
      </c>
      <c r="H11" s="8">
        <v>85000.0</v>
      </c>
      <c r="I11" s="1"/>
      <c r="J11" s="1" t="s">
        <v>96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46056.0</v>
      </c>
      <c r="B12" s="1" t="s">
        <v>315</v>
      </c>
      <c r="C12" s="1" t="s">
        <v>87</v>
      </c>
      <c r="D12" s="1" t="s">
        <v>27</v>
      </c>
      <c r="E12" s="1" t="s">
        <v>13</v>
      </c>
      <c r="F12" s="7"/>
      <c r="G12" s="1" t="s">
        <v>14</v>
      </c>
      <c r="H12" s="8">
        <v>76000.0</v>
      </c>
      <c r="I12" s="9"/>
      <c r="J12" s="1" t="s">
        <v>96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46056.0</v>
      </c>
      <c r="B13" s="1" t="s">
        <v>316</v>
      </c>
      <c r="C13" s="1" t="s">
        <v>187</v>
      </c>
      <c r="D13" s="1" t="s">
        <v>253</v>
      </c>
      <c r="E13" s="1" t="s">
        <v>13</v>
      </c>
      <c r="F13" s="1"/>
      <c r="G13" s="1" t="s">
        <v>14</v>
      </c>
      <c r="H13" s="8">
        <v>80000.0</v>
      </c>
      <c r="I13" s="9"/>
      <c r="J13" s="1" t="s">
        <v>96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46056.0</v>
      </c>
      <c r="B14" s="10" t="s">
        <v>317</v>
      </c>
      <c r="C14" s="1" t="s">
        <v>318</v>
      </c>
      <c r="D14" s="1" t="s">
        <v>54</v>
      </c>
      <c r="E14" s="1" t="s">
        <v>13</v>
      </c>
      <c r="F14" s="1"/>
      <c r="G14" s="1" t="s">
        <v>14</v>
      </c>
      <c r="H14" s="8">
        <v>90000.0</v>
      </c>
      <c r="I14" s="9"/>
      <c r="J14" s="1" t="s">
        <v>15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46056.0</v>
      </c>
      <c r="B15" s="1" t="s">
        <v>319</v>
      </c>
      <c r="C15" s="1" t="s">
        <v>320</v>
      </c>
      <c r="D15" s="1" t="s">
        <v>12</v>
      </c>
      <c r="E15" s="1" t="s">
        <v>13</v>
      </c>
      <c r="F15" s="7"/>
      <c r="G15" s="1" t="s">
        <v>14</v>
      </c>
      <c r="H15" s="8">
        <v>69000.0</v>
      </c>
      <c r="I15" s="9"/>
      <c r="J15" s="1" t="s">
        <v>15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46056.0</v>
      </c>
      <c r="B16" s="1" t="s">
        <v>142</v>
      </c>
      <c r="C16" s="1" t="s">
        <v>143</v>
      </c>
      <c r="D16" s="1" t="s">
        <v>144</v>
      </c>
      <c r="E16" s="1" t="s">
        <v>13</v>
      </c>
      <c r="F16" s="7"/>
      <c r="G16" s="1" t="s">
        <v>14</v>
      </c>
      <c r="H16" s="8">
        <v>95000.0</v>
      </c>
      <c r="I16" s="9"/>
      <c r="J16" s="1" t="s">
        <v>15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46056.0</v>
      </c>
      <c r="B17" s="1"/>
      <c r="C17" s="1"/>
      <c r="D17" s="1" t="s">
        <v>145</v>
      </c>
      <c r="E17" s="1" t="s">
        <v>33</v>
      </c>
      <c r="F17" s="7"/>
      <c r="G17" s="1" t="s">
        <v>28</v>
      </c>
      <c r="H17" s="8">
        <v>15000.0</v>
      </c>
      <c r="I17" s="9"/>
      <c r="J17" s="1" t="s">
        <v>34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46056.0</v>
      </c>
      <c r="B18" s="1" t="s">
        <v>321</v>
      </c>
      <c r="C18" s="1" t="s">
        <v>322</v>
      </c>
      <c r="D18" s="1" t="s">
        <v>109</v>
      </c>
      <c r="E18" s="1" t="s">
        <v>13</v>
      </c>
      <c r="F18" s="7"/>
      <c r="G18" s="1" t="s">
        <v>28</v>
      </c>
      <c r="H18" s="8">
        <v>30000.0</v>
      </c>
      <c r="I18" s="9"/>
      <c r="J18" s="1" t="s">
        <v>15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46056.0</v>
      </c>
      <c r="B19" s="1" t="s">
        <v>323</v>
      </c>
      <c r="C19" s="1" t="s">
        <v>143</v>
      </c>
      <c r="D19" s="1" t="s">
        <v>27</v>
      </c>
      <c r="E19" s="1" t="s">
        <v>13</v>
      </c>
      <c r="F19" s="7"/>
      <c r="G19" s="1" t="s">
        <v>28</v>
      </c>
      <c r="H19" s="8">
        <v>69000.0</v>
      </c>
      <c r="I19" s="9"/>
      <c r="J19" s="1" t="s">
        <v>96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46057.0</v>
      </c>
      <c r="B20" s="1" t="s">
        <v>324</v>
      </c>
      <c r="C20" s="1" t="s">
        <v>325</v>
      </c>
      <c r="D20" s="1" t="s">
        <v>326</v>
      </c>
      <c r="E20" s="1" t="s">
        <v>13</v>
      </c>
      <c r="F20" s="7"/>
      <c r="G20" s="1" t="s">
        <v>14</v>
      </c>
      <c r="H20" s="8">
        <v>60000.0</v>
      </c>
      <c r="I20" s="9"/>
      <c r="J20" s="1" t="s">
        <v>15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46057.0</v>
      </c>
      <c r="B21" s="1" t="s">
        <v>327</v>
      </c>
      <c r="C21" s="1" t="s">
        <v>328</v>
      </c>
      <c r="D21" s="1" t="s">
        <v>27</v>
      </c>
      <c r="E21" s="1" t="s">
        <v>13</v>
      </c>
      <c r="F21" s="7"/>
      <c r="G21" s="1" t="s">
        <v>28</v>
      </c>
      <c r="H21" s="8">
        <v>50000.0</v>
      </c>
      <c r="I21" s="9"/>
      <c r="J21" s="1" t="s">
        <v>96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46057.0</v>
      </c>
      <c r="B22" s="1" t="s">
        <v>329</v>
      </c>
      <c r="C22" s="1" t="s">
        <v>330</v>
      </c>
      <c r="D22" s="1" t="s">
        <v>12</v>
      </c>
      <c r="E22" s="1" t="s">
        <v>13</v>
      </c>
      <c r="F22" s="7"/>
      <c r="G22" s="1" t="s">
        <v>14</v>
      </c>
      <c r="H22" s="8">
        <v>70000.0</v>
      </c>
      <c r="I22" s="9"/>
      <c r="J22" s="1" t="s">
        <v>15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46057.0</v>
      </c>
      <c r="B23" s="1" t="s">
        <v>329</v>
      </c>
      <c r="C23" s="1" t="s">
        <v>331</v>
      </c>
      <c r="D23" s="1" t="s">
        <v>12</v>
      </c>
      <c r="E23" s="1" t="s">
        <v>13</v>
      </c>
      <c r="F23" s="7"/>
      <c r="G23" s="1" t="s">
        <v>14</v>
      </c>
      <c r="H23" s="8">
        <v>70000.0</v>
      </c>
      <c r="I23" s="9"/>
      <c r="J23" s="1" t="s">
        <v>96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46057.0</v>
      </c>
      <c r="B24" s="1" t="s">
        <v>100</v>
      </c>
      <c r="C24" s="1" t="s">
        <v>332</v>
      </c>
      <c r="D24" s="1" t="s">
        <v>12</v>
      </c>
      <c r="E24" s="1" t="s">
        <v>13</v>
      </c>
      <c r="F24" s="7"/>
      <c r="G24" s="1" t="s">
        <v>14</v>
      </c>
      <c r="H24" s="8">
        <v>70000.0</v>
      </c>
      <c r="I24" s="9"/>
      <c r="J24" s="1" t="s">
        <v>15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46057.0</v>
      </c>
      <c r="B25" s="1" t="s">
        <v>333</v>
      </c>
      <c r="C25" s="1" t="s">
        <v>334</v>
      </c>
      <c r="D25" s="1" t="s">
        <v>124</v>
      </c>
      <c r="E25" s="1" t="s">
        <v>13</v>
      </c>
      <c r="F25" s="7"/>
      <c r="G25" s="1" t="s">
        <v>14</v>
      </c>
      <c r="H25" s="8">
        <v>85000.0</v>
      </c>
      <c r="I25" s="9"/>
      <c r="J25" s="1" t="s">
        <v>15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46057.0</v>
      </c>
      <c r="B26" s="1" t="s">
        <v>78</v>
      </c>
      <c r="C26" s="1" t="s">
        <v>79</v>
      </c>
      <c r="D26" s="1" t="s">
        <v>12</v>
      </c>
      <c r="E26" s="1" t="s">
        <v>13</v>
      </c>
      <c r="F26" s="1"/>
      <c r="G26" s="1" t="s">
        <v>14</v>
      </c>
      <c r="H26" s="8">
        <v>69000.0</v>
      </c>
      <c r="I26" s="9"/>
      <c r="J26" s="1" t="s">
        <v>15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46057.0</v>
      </c>
      <c r="B27" s="1" t="s">
        <v>335</v>
      </c>
      <c r="C27" s="1" t="s">
        <v>336</v>
      </c>
      <c r="D27" s="1" t="s">
        <v>36</v>
      </c>
      <c r="E27" s="1" t="s">
        <v>13</v>
      </c>
      <c r="F27" s="7"/>
      <c r="G27" s="1" t="s">
        <v>28</v>
      </c>
      <c r="H27" s="8">
        <v>66000.0</v>
      </c>
      <c r="I27" s="9"/>
      <c r="J27" s="1" t="s">
        <v>15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46057.0</v>
      </c>
      <c r="B28" s="1" t="s">
        <v>337</v>
      </c>
      <c r="C28" s="1" t="s">
        <v>338</v>
      </c>
      <c r="D28" s="1" t="s">
        <v>36</v>
      </c>
      <c r="E28" s="1" t="s">
        <v>13</v>
      </c>
      <c r="F28" s="7"/>
      <c r="G28" s="1" t="s">
        <v>28</v>
      </c>
      <c r="H28" s="8">
        <v>59000.0</v>
      </c>
      <c r="I28" s="9"/>
      <c r="J28" s="1" t="s">
        <v>96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46058.0</v>
      </c>
      <c r="B29" s="1" t="s">
        <v>339</v>
      </c>
      <c r="C29" s="1" t="s">
        <v>340</v>
      </c>
      <c r="D29" s="1" t="s">
        <v>27</v>
      </c>
      <c r="E29" s="1" t="s">
        <v>13</v>
      </c>
      <c r="F29" s="7"/>
      <c r="G29" s="1" t="s">
        <v>14</v>
      </c>
      <c r="H29" s="8">
        <v>75000.0</v>
      </c>
      <c r="I29" s="9"/>
      <c r="J29" s="1" t="s">
        <v>15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46058.0</v>
      </c>
      <c r="B30" s="1" t="s">
        <v>341</v>
      </c>
      <c r="C30" s="1" t="s">
        <v>342</v>
      </c>
      <c r="D30" s="1" t="s">
        <v>18</v>
      </c>
      <c r="E30" s="1" t="s">
        <v>13</v>
      </c>
      <c r="F30" s="7"/>
      <c r="G30" s="1" t="s">
        <v>14</v>
      </c>
      <c r="H30" s="8">
        <v>76000.0</v>
      </c>
      <c r="I30" s="9"/>
      <c r="J30" s="1" t="s">
        <v>96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46058.0</v>
      </c>
      <c r="B31" s="1" t="s">
        <v>343</v>
      </c>
      <c r="C31" s="1" t="s">
        <v>344</v>
      </c>
      <c r="D31" s="1" t="s">
        <v>207</v>
      </c>
      <c r="E31" s="1" t="s">
        <v>157</v>
      </c>
      <c r="F31" s="7"/>
      <c r="G31" s="1" t="s">
        <v>14</v>
      </c>
      <c r="H31" s="8">
        <v>99000.0</v>
      </c>
      <c r="I31" s="9"/>
      <c r="J31" s="1" t="s">
        <v>15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46058.0</v>
      </c>
      <c r="B32" s="1" t="s">
        <v>345</v>
      </c>
      <c r="C32" s="1" t="s">
        <v>346</v>
      </c>
      <c r="D32" s="1" t="s">
        <v>156</v>
      </c>
      <c r="E32" s="1" t="s">
        <v>23</v>
      </c>
      <c r="F32" s="7"/>
      <c r="G32" s="1" t="s">
        <v>14</v>
      </c>
      <c r="H32" s="8">
        <v>66000.0</v>
      </c>
      <c r="I32" s="9"/>
      <c r="J32" s="1" t="s">
        <v>96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46058.0</v>
      </c>
      <c r="B33" s="1" t="s">
        <v>347</v>
      </c>
      <c r="C33" s="1" t="s">
        <v>348</v>
      </c>
      <c r="D33" s="1" t="s">
        <v>173</v>
      </c>
      <c r="E33" s="1" t="s">
        <v>13</v>
      </c>
      <c r="F33" s="7"/>
      <c r="G33" s="1" t="s">
        <v>28</v>
      </c>
      <c r="H33" s="8">
        <v>70000.0</v>
      </c>
      <c r="I33" s="9"/>
      <c r="J33" s="1" t="s">
        <v>15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46058.0</v>
      </c>
      <c r="B34" s="1" t="s">
        <v>349</v>
      </c>
      <c r="C34" s="1" t="s">
        <v>350</v>
      </c>
      <c r="D34" s="1" t="s">
        <v>12</v>
      </c>
      <c r="E34" s="1" t="s">
        <v>13</v>
      </c>
      <c r="F34" s="7"/>
      <c r="G34" s="1" t="s">
        <v>14</v>
      </c>
      <c r="H34" s="8">
        <v>66000.0</v>
      </c>
      <c r="I34" s="9"/>
      <c r="J34" s="1" t="s">
        <v>24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46059.0</v>
      </c>
      <c r="B35" s="1" t="s">
        <v>351</v>
      </c>
      <c r="C35" s="1" t="s">
        <v>81</v>
      </c>
      <c r="D35" s="1" t="s">
        <v>82</v>
      </c>
      <c r="E35" s="1" t="s">
        <v>13</v>
      </c>
      <c r="F35" s="7"/>
      <c r="G35" s="1" t="s">
        <v>28</v>
      </c>
      <c r="H35" s="8">
        <v>66000.0</v>
      </c>
      <c r="I35" s="9"/>
      <c r="J35" s="1" t="s">
        <v>96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46059.0</v>
      </c>
      <c r="B36" s="1" t="s">
        <v>92</v>
      </c>
      <c r="C36" s="1" t="s">
        <v>352</v>
      </c>
      <c r="D36" s="1" t="s">
        <v>27</v>
      </c>
      <c r="E36" s="1" t="s">
        <v>23</v>
      </c>
      <c r="F36" s="1"/>
      <c r="G36" s="1" t="s">
        <v>14</v>
      </c>
      <c r="H36" s="8">
        <v>96000.0</v>
      </c>
      <c r="I36" s="9"/>
      <c r="J36" s="1" t="s">
        <v>96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46059.0</v>
      </c>
      <c r="B37" s="1" t="s">
        <v>353</v>
      </c>
      <c r="C37" s="1" t="s">
        <v>354</v>
      </c>
      <c r="D37" s="1" t="s">
        <v>326</v>
      </c>
      <c r="E37" s="1" t="s">
        <v>13</v>
      </c>
      <c r="F37" s="1"/>
      <c r="G37" s="1" t="s">
        <v>14</v>
      </c>
      <c r="H37" s="8">
        <v>96000.0</v>
      </c>
      <c r="I37" s="9"/>
      <c r="J37" s="1" t="s">
        <v>15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46059.0</v>
      </c>
      <c r="B38" s="1" t="s">
        <v>355</v>
      </c>
      <c r="C38" s="1" t="s">
        <v>356</v>
      </c>
      <c r="D38" s="1" t="s">
        <v>22</v>
      </c>
      <c r="E38" s="1" t="s">
        <v>23</v>
      </c>
      <c r="F38" s="7"/>
      <c r="G38" s="1" t="s">
        <v>14</v>
      </c>
      <c r="H38" s="8">
        <v>86000.0</v>
      </c>
      <c r="I38" s="9"/>
      <c r="J38" s="1" t="s">
        <v>96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46060.0</v>
      </c>
      <c r="B39" s="1" t="s">
        <v>357</v>
      </c>
      <c r="C39" s="1" t="s">
        <v>358</v>
      </c>
      <c r="D39" s="1" t="s">
        <v>12</v>
      </c>
      <c r="E39" s="1" t="s">
        <v>23</v>
      </c>
      <c r="F39" s="7"/>
      <c r="G39" s="1" t="s">
        <v>14</v>
      </c>
      <c r="H39" s="8">
        <v>90000.0</v>
      </c>
      <c r="I39" s="9"/>
      <c r="J39" s="1" t="s">
        <v>38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46060.0</v>
      </c>
      <c r="B40" s="1" t="s">
        <v>359</v>
      </c>
      <c r="C40" s="1" t="s">
        <v>360</v>
      </c>
      <c r="D40" s="1" t="s">
        <v>124</v>
      </c>
      <c r="E40" s="1" t="s">
        <v>23</v>
      </c>
      <c r="F40" s="1"/>
      <c r="G40" s="1" t="s">
        <v>14</v>
      </c>
      <c r="H40" s="8">
        <v>89000.0</v>
      </c>
      <c r="I40" s="9"/>
      <c r="J40" s="1" t="s">
        <v>96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46060.0</v>
      </c>
      <c r="B41" s="1" t="s">
        <v>361</v>
      </c>
      <c r="C41" s="1" t="s">
        <v>187</v>
      </c>
      <c r="D41" s="1" t="s">
        <v>12</v>
      </c>
      <c r="E41" s="1" t="s">
        <v>13</v>
      </c>
      <c r="F41" s="7"/>
      <c r="G41" s="1" t="s">
        <v>14</v>
      </c>
      <c r="H41" s="8">
        <v>75000.0</v>
      </c>
      <c r="I41" s="9"/>
      <c r="J41" s="1" t="s">
        <v>15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46060.0</v>
      </c>
      <c r="B42" s="1" t="s">
        <v>137</v>
      </c>
      <c r="C42" s="1" t="s">
        <v>17</v>
      </c>
      <c r="D42" s="1" t="s">
        <v>18</v>
      </c>
      <c r="E42" s="1" t="s">
        <v>23</v>
      </c>
      <c r="F42" s="7"/>
      <c r="G42" s="1" t="s">
        <v>14</v>
      </c>
      <c r="H42" s="8">
        <v>220000.0</v>
      </c>
      <c r="I42" s="9"/>
      <c r="J42" s="1" t="s">
        <v>15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46060.0</v>
      </c>
      <c r="B43" s="1" t="s">
        <v>362</v>
      </c>
      <c r="C43" s="1" t="s">
        <v>50</v>
      </c>
      <c r="D43" s="1" t="s">
        <v>12</v>
      </c>
      <c r="E43" s="1" t="s">
        <v>23</v>
      </c>
      <c r="F43" s="7"/>
      <c r="G43" s="1" t="s">
        <v>14</v>
      </c>
      <c r="H43" s="8">
        <v>66000.0</v>
      </c>
      <c r="I43" s="9">
        <v>3.3</v>
      </c>
      <c r="J43" s="1" t="s">
        <v>15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46060.0</v>
      </c>
      <c r="B44" s="1" t="s">
        <v>151</v>
      </c>
      <c r="C44" s="1" t="s">
        <v>363</v>
      </c>
      <c r="D44" s="1" t="s">
        <v>12</v>
      </c>
      <c r="E44" s="1" t="s">
        <v>23</v>
      </c>
      <c r="F44" s="7"/>
      <c r="G44" s="1" t="s">
        <v>14</v>
      </c>
      <c r="H44" s="8">
        <v>99000.0</v>
      </c>
      <c r="I44" s="9">
        <v>5.6</v>
      </c>
      <c r="J44" s="1" t="s">
        <v>15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46060.0</v>
      </c>
      <c r="B45" s="1" t="s">
        <v>86</v>
      </c>
      <c r="C45" s="1" t="s">
        <v>87</v>
      </c>
      <c r="D45" s="1" t="s">
        <v>88</v>
      </c>
      <c r="E45" s="1" t="s">
        <v>13</v>
      </c>
      <c r="F45" s="7"/>
      <c r="G45" s="1" t="s">
        <v>14</v>
      </c>
      <c r="H45" s="8">
        <v>110000.0</v>
      </c>
      <c r="I45" s="9"/>
      <c r="J45" s="1" t="s">
        <v>38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46060.0</v>
      </c>
      <c r="B46" s="1" t="s">
        <v>74</v>
      </c>
      <c r="C46" s="1" t="s">
        <v>75</v>
      </c>
      <c r="D46" s="1" t="s">
        <v>72</v>
      </c>
      <c r="E46" s="1" t="s">
        <v>13</v>
      </c>
      <c r="F46" s="1"/>
      <c r="G46" s="1" t="s">
        <v>28</v>
      </c>
      <c r="H46" s="8">
        <v>33000.0</v>
      </c>
      <c r="I46" s="9"/>
      <c r="J46" s="1" t="s">
        <v>15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46062.0</v>
      </c>
      <c r="B47" s="1" t="s">
        <v>364</v>
      </c>
      <c r="C47" s="1" t="s">
        <v>365</v>
      </c>
      <c r="D47" s="1" t="s">
        <v>156</v>
      </c>
      <c r="E47" s="1" t="s">
        <v>13</v>
      </c>
      <c r="F47" s="7"/>
      <c r="G47" s="1" t="s">
        <v>14</v>
      </c>
      <c r="H47" s="8">
        <v>69000.0</v>
      </c>
      <c r="I47" s="9">
        <v>3.5</v>
      </c>
      <c r="J47" s="1" t="s">
        <v>15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46062.0</v>
      </c>
      <c r="B48" s="1" t="s">
        <v>366</v>
      </c>
      <c r="C48" s="1" t="s">
        <v>367</v>
      </c>
      <c r="D48" s="1" t="s">
        <v>54</v>
      </c>
      <c r="E48" s="1" t="s">
        <v>13</v>
      </c>
      <c r="F48" s="7"/>
      <c r="G48" s="1" t="s">
        <v>14</v>
      </c>
      <c r="H48" s="8">
        <v>99000.0</v>
      </c>
      <c r="I48" s="9"/>
      <c r="J48" s="1" t="s">
        <v>15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46062.0</v>
      </c>
      <c r="B49" s="1" t="s">
        <v>368</v>
      </c>
      <c r="C49" s="1" t="s">
        <v>369</v>
      </c>
      <c r="D49" s="1" t="s">
        <v>257</v>
      </c>
      <c r="E49" s="1" t="s">
        <v>247</v>
      </c>
      <c r="F49" s="7"/>
      <c r="G49" s="1" t="s">
        <v>14</v>
      </c>
      <c r="H49" s="8">
        <v>76000.0</v>
      </c>
      <c r="I49" s="9">
        <v>3.9</v>
      </c>
      <c r="J49" s="1" t="s">
        <v>15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46062.0</v>
      </c>
      <c r="B50" s="1" t="s">
        <v>153</v>
      </c>
      <c r="C50" s="1" t="s">
        <v>87</v>
      </c>
      <c r="D50" s="1" t="s">
        <v>22</v>
      </c>
      <c r="E50" s="1" t="s">
        <v>13</v>
      </c>
      <c r="F50" s="7"/>
      <c r="G50" s="1" t="s">
        <v>14</v>
      </c>
      <c r="H50" s="8">
        <v>75000.0</v>
      </c>
      <c r="I50" s="9">
        <v>2.8</v>
      </c>
      <c r="J50" s="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46062.0</v>
      </c>
      <c r="B51" s="1" t="s">
        <v>370</v>
      </c>
      <c r="C51" s="1" t="s">
        <v>330</v>
      </c>
      <c r="D51" s="1" t="s">
        <v>18</v>
      </c>
      <c r="E51" s="1" t="s">
        <v>13</v>
      </c>
      <c r="F51" s="7"/>
      <c r="G51" s="1" t="s">
        <v>14</v>
      </c>
      <c r="H51" s="8">
        <v>79000.0</v>
      </c>
      <c r="I51" s="9"/>
      <c r="J51" s="1" t="s">
        <v>24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46062.0</v>
      </c>
      <c r="B52" s="1" t="s">
        <v>371</v>
      </c>
      <c r="C52" s="1" t="s">
        <v>372</v>
      </c>
      <c r="D52" s="1" t="s">
        <v>156</v>
      </c>
      <c r="E52" s="1" t="s">
        <v>13</v>
      </c>
      <c r="F52" s="7"/>
      <c r="G52" s="1" t="s">
        <v>14</v>
      </c>
      <c r="H52" s="8">
        <v>55000.0</v>
      </c>
      <c r="I52" s="9">
        <v>1.2</v>
      </c>
      <c r="J52" s="1" t="s">
        <v>15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46063.0</v>
      </c>
      <c r="B53" s="1" t="s">
        <v>192</v>
      </c>
      <c r="C53" s="1" t="s">
        <v>373</v>
      </c>
      <c r="D53" s="1" t="s">
        <v>12</v>
      </c>
      <c r="E53" s="1" t="s">
        <v>13</v>
      </c>
      <c r="F53" s="1"/>
      <c r="G53" s="1" t="s">
        <v>14</v>
      </c>
      <c r="H53" s="8">
        <v>76000.0</v>
      </c>
      <c r="I53" s="9">
        <v>7.0</v>
      </c>
      <c r="J53" s="1" t="s">
        <v>96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46063.0</v>
      </c>
      <c r="B54" s="1" t="s">
        <v>374</v>
      </c>
      <c r="C54" s="1" t="s">
        <v>375</v>
      </c>
      <c r="D54" s="1" t="s">
        <v>54</v>
      </c>
      <c r="E54" s="1" t="s">
        <v>13</v>
      </c>
      <c r="F54" s="7"/>
      <c r="G54" s="1" t="s">
        <v>14</v>
      </c>
      <c r="H54" s="8">
        <v>86000.0</v>
      </c>
      <c r="I54" s="9">
        <v>34.0</v>
      </c>
      <c r="J54" s="1" t="s">
        <v>15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46063.0</v>
      </c>
      <c r="B55" s="1" t="s">
        <v>376</v>
      </c>
      <c r="C55" s="1" t="s">
        <v>29</v>
      </c>
      <c r="D55" s="1" t="s">
        <v>246</v>
      </c>
      <c r="E55" s="1" t="s">
        <v>266</v>
      </c>
      <c r="F55" s="7"/>
      <c r="G55" s="1" t="s">
        <v>28</v>
      </c>
      <c r="H55" s="8">
        <v>66000.0</v>
      </c>
      <c r="I55" s="9">
        <v>3.5</v>
      </c>
      <c r="J55" s="1" t="s">
        <v>96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46063.0</v>
      </c>
      <c r="B56" s="1" t="s">
        <v>377</v>
      </c>
      <c r="C56" s="1" t="s">
        <v>378</v>
      </c>
      <c r="D56" s="1" t="s">
        <v>109</v>
      </c>
      <c r="E56" s="1" t="s">
        <v>13</v>
      </c>
      <c r="F56" s="7"/>
      <c r="G56" s="1" t="s">
        <v>28</v>
      </c>
      <c r="H56" s="8">
        <v>36000.0</v>
      </c>
      <c r="I56" s="9">
        <v>4.4</v>
      </c>
      <c r="J56" s="1" t="s">
        <v>15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46063.0</v>
      </c>
      <c r="B57" s="1" t="s">
        <v>377</v>
      </c>
      <c r="C57" s="1" t="s">
        <v>379</v>
      </c>
      <c r="D57" s="1" t="s">
        <v>109</v>
      </c>
      <c r="E57" s="1" t="s">
        <v>13</v>
      </c>
      <c r="F57" s="7"/>
      <c r="G57" s="1" t="s">
        <v>28</v>
      </c>
      <c r="H57" s="8">
        <v>36000.0</v>
      </c>
      <c r="I57" s="9">
        <v>3.4</v>
      </c>
      <c r="J57" s="1" t="s">
        <v>15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46064.0</v>
      </c>
      <c r="B58" s="1" t="s">
        <v>380</v>
      </c>
      <c r="C58" s="1" t="s">
        <v>381</v>
      </c>
      <c r="D58" s="1" t="s">
        <v>156</v>
      </c>
      <c r="E58" s="1" t="s">
        <v>157</v>
      </c>
      <c r="F58" s="7"/>
      <c r="G58" s="1" t="s">
        <v>14</v>
      </c>
      <c r="H58" s="8">
        <v>60000.0</v>
      </c>
      <c r="I58" s="9">
        <v>3.8</v>
      </c>
      <c r="J58" s="1" t="s">
        <v>96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46064.0</v>
      </c>
      <c r="B59" s="1" t="s">
        <v>382</v>
      </c>
      <c r="C59" s="1" t="s">
        <v>383</v>
      </c>
      <c r="D59" s="1" t="s">
        <v>12</v>
      </c>
      <c r="E59" s="1" t="s">
        <v>23</v>
      </c>
      <c r="F59" s="7"/>
      <c r="G59" s="1" t="s">
        <v>14</v>
      </c>
      <c r="H59" s="8">
        <v>96000.0</v>
      </c>
      <c r="I59" s="9">
        <v>7.3</v>
      </c>
      <c r="J59" s="1" t="s">
        <v>96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46064.0</v>
      </c>
      <c r="B60" s="1" t="s">
        <v>119</v>
      </c>
      <c r="C60" s="1" t="s">
        <v>120</v>
      </c>
      <c r="D60" s="1" t="s">
        <v>54</v>
      </c>
      <c r="E60" s="1" t="s">
        <v>13</v>
      </c>
      <c r="F60" s="7"/>
      <c r="G60" s="1" t="s">
        <v>14</v>
      </c>
      <c r="H60" s="8">
        <v>89000.0</v>
      </c>
      <c r="I60" s="9">
        <v>35.7</v>
      </c>
      <c r="J60" s="1" t="s">
        <v>15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46065.0</v>
      </c>
      <c r="B61" s="1" t="s">
        <v>104</v>
      </c>
      <c r="C61" s="1" t="s">
        <v>384</v>
      </c>
      <c r="D61" s="1" t="s">
        <v>12</v>
      </c>
      <c r="E61" s="1" t="s">
        <v>13</v>
      </c>
      <c r="F61" s="7"/>
      <c r="G61" s="1" t="s">
        <v>14</v>
      </c>
      <c r="H61" s="8">
        <v>76000.0</v>
      </c>
      <c r="I61" s="9"/>
      <c r="J61" s="1" t="s">
        <v>15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46065.0</v>
      </c>
      <c r="B62" s="1" t="s">
        <v>76</v>
      </c>
      <c r="C62" s="1" t="s">
        <v>385</v>
      </c>
      <c r="D62" s="1" t="s">
        <v>22</v>
      </c>
      <c r="E62" s="1" t="s">
        <v>23</v>
      </c>
      <c r="F62" s="7"/>
      <c r="G62" s="1" t="s">
        <v>14</v>
      </c>
      <c r="H62" s="19">
        <v>96000.0</v>
      </c>
      <c r="I62" s="9">
        <v>8.1</v>
      </c>
      <c r="J62" s="1" t="s">
        <v>24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46065.0</v>
      </c>
      <c r="B63" s="1" t="s">
        <v>386</v>
      </c>
      <c r="C63" s="1" t="s">
        <v>115</v>
      </c>
      <c r="D63" s="1" t="s">
        <v>156</v>
      </c>
      <c r="E63" s="1" t="s">
        <v>157</v>
      </c>
      <c r="F63" s="7"/>
      <c r="G63" s="1" t="s">
        <v>14</v>
      </c>
      <c r="H63" s="8">
        <v>76000.0</v>
      </c>
      <c r="I63" s="9">
        <v>2.3</v>
      </c>
      <c r="J63" s="1" t="s">
        <v>96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46065.0</v>
      </c>
      <c r="B64" s="1" t="s">
        <v>387</v>
      </c>
      <c r="C64" s="1" t="s">
        <v>388</v>
      </c>
      <c r="D64" s="1" t="s">
        <v>27</v>
      </c>
      <c r="E64" s="1" t="s">
        <v>23</v>
      </c>
      <c r="F64" s="1" t="s">
        <v>389</v>
      </c>
      <c r="G64" s="1" t="s">
        <v>14</v>
      </c>
      <c r="H64" s="8">
        <v>96000.0</v>
      </c>
      <c r="I64" s="9">
        <v>18.7</v>
      </c>
      <c r="J64" s="1" t="s">
        <v>96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46065.0</v>
      </c>
      <c r="B65" s="1" t="s">
        <v>390</v>
      </c>
      <c r="C65" s="1" t="s">
        <v>391</v>
      </c>
      <c r="D65" s="1" t="s">
        <v>156</v>
      </c>
      <c r="E65" s="1" t="s">
        <v>157</v>
      </c>
      <c r="F65" s="7"/>
      <c r="G65" s="1" t="s">
        <v>14</v>
      </c>
      <c r="H65" s="8">
        <v>80000.0</v>
      </c>
      <c r="I65" s="9">
        <v>3.4</v>
      </c>
      <c r="J65" s="1" t="s">
        <v>96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46065.0</v>
      </c>
      <c r="B66" s="1" t="s">
        <v>390</v>
      </c>
      <c r="C66" s="1" t="s">
        <v>392</v>
      </c>
      <c r="D66" s="1" t="s">
        <v>156</v>
      </c>
      <c r="E66" s="1" t="s">
        <v>157</v>
      </c>
      <c r="F66" s="7"/>
      <c r="G66" s="1" t="s">
        <v>14</v>
      </c>
      <c r="H66" s="8">
        <v>80000.0</v>
      </c>
      <c r="I66" s="9">
        <v>6.8</v>
      </c>
      <c r="J66" s="1" t="s">
        <v>96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46065.0</v>
      </c>
      <c r="B67" s="1" t="s">
        <v>393</v>
      </c>
      <c r="C67" s="1" t="s">
        <v>212</v>
      </c>
      <c r="D67" s="1" t="s">
        <v>12</v>
      </c>
      <c r="E67" s="1" t="s">
        <v>23</v>
      </c>
      <c r="F67" s="7"/>
      <c r="G67" s="1" t="s">
        <v>14</v>
      </c>
      <c r="H67" s="8">
        <v>98000.0</v>
      </c>
      <c r="I67" s="9">
        <v>6.8</v>
      </c>
      <c r="J67" s="1" t="s">
        <v>38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46066.0</v>
      </c>
      <c r="B68" s="1" t="s">
        <v>394</v>
      </c>
      <c r="C68" s="1" t="s">
        <v>395</v>
      </c>
      <c r="D68" s="1" t="s">
        <v>27</v>
      </c>
      <c r="E68" s="1" t="s">
        <v>13</v>
      </c>
      <c r="F68" s="7"/>
      <c r="G68" s="1" t="s">
        <v>28</v>
      </c>
      <c r="H68" s="8">
        <v>76000.0</v>
      </c>
      <c r="I68" s="9">
        <v>30.0</v>
      </c>
      <c r="J68" s="1" t="s">
        <v>15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46066.0</v>
      </c>
      <c r="B69" s="1" t="s">
        <v>396</v>
      </c>
      <c r="C69" s="1" t="s">
        <v>397</v>
      </c>
      <c r="D69" s="1" t="s">
        <v>156</v>
      </c>
      <c r="E69" s="1" t="s">
        <v>23</v>
      </c>
      <c r="F69" s="7"/>
      <c r="G69" s="1" t="s">
        <v>14</v>
      </c>
      <c r="H69" s="8">
        <v>79000.0</v>
      </c>
      <c r="I69" s="9">
        <v>3.9</v>
      </c>
      <c r="J69" s="1" t="s">
        <v>15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6">
        <v>46066.0</v>
      </c>
      <c r="B70" s="1" t="s">
        <v>398</v>
      </c>
      <c r="C70" s="1" t="s">
        <v>50</v>
      </c>
      <c r="D70" s="1" t="s">
        <v>12</v>
      </c>
      <c r="E70" s="1" t="s">
        <v>23</v>
      </c>
      <c r="F70" s="7"/>
      <c r="G70" s="1" t="s">
        <v>14</v>
      </c>
      <c r="H70" s="8">
        <v>86000.0</v>
      </c>
      <c r="I70" s="1">
        <v>5.8</v>
      </c>
      <c r="J70" s="1" t="s">
        <v>96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6">
        <v>46066.0</v>
      </c>
      <c r="B71" s="1" t="s">
        <v>399</v>
      </c>
      <c r="C71" s="1" t="s">
        <v>400</v>
      </c>
      <c r="D71" s="1" t="s">
        <v>156</v>
      </c>
      <c r="E71" s="1" t="s">
        <v>13</v>
      </c>
      <c r="F71" s="7"/>
      <c r="G71" s="1" t="s">
        <v>14</v>
      </c>
      <c r="H71" s="8">
        <v>76000.0</v>
      </c>
      <c r="I71" s="9">
        <v>5.74</v>
      </c>
      <c r="J71" s="1" t="s">
        <v>15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46067.0</v>
      </c>
      <c r="B72" s="1" t="s">
        <v>401</v>
      </c>
      <c r="C72" s="1" t="s">
        <v>402</v>
      </c>
      <c r="D72" s="1" t="s">
        <v>27</v>
      </c>
      <c r="E72" s="1" t="s">
        <v>23</v>
      </c>
      <c r="F72" s="7"/>
      <c r="G72" s="1" t="s">
        <v>14</v>
      </c>
      <c r="H72" s="8">
        <v>86000.0</v>
      </c>
      <c r="I72" s="9">
        <v>8.2</v>
      </c>
      <c r="J72" s="1" t="s">
        <v>96</v>
      </c>
      <c r="K72" s="1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46067.0</v>
      </c>
      <c r="B73" s="1" t="s">
        <v>403</v>
      </c>
      <c r="C73" s="1" t="s">
        <v>404</v>
      </c>
      <c r="D73" s="1" t="s">
        <v>145</v>
      </c>
      <c r="E73" s="1" t="s">
        <v>13</v>
      </c>
      <c r="F73" s="7"/>
      <c r="G73" s="1" t="s">
        <v>28</v>
      </c>
      <c r="H73" s="8">
        <v>66000.0</v>
      </c>
      <c r="I73" s="9">
        <v>6.6</v>
      </c>
      <c r="J73" s="1" t="s">
        <v>96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46067.0</v>
      </c>
      <c r="B74" s="1" t="s">
        <v>16</v>
      </c>
      <c r="C74" s="1" t="s">
        <v>231</v>
      </c>
      <c r="D74" s="1" t="s">
        <v>18</v>
      </c>
      <c r="E74" s="1" t="s">
        <v>13</v>
      </c>
      <c r="F74" s="7"/>
      <c r="G74" s="1" t="s">
        <v>14</v>
      </c>
      <c r="H74" s="8" t="s">
        <v>19</v>
      </c>
      <c r="I74" s="9"/>
      <c r="J74" s="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46067.0</v>
      </c>
      <c r="B75" s="1" t="s">
        <v>405</v>
      </c>
      <c r="C75" s="1" t="s">
        <v>392</v>
      </c>
      <c r="D75" s="1" t="s">
        <v>36</v>
      </c>
      <c r="E75" s="1" t="s">
        <v>13</v>
      </c>
      <c r="F75" s="7"/>
      <c r="G75" s="1" t="s">
        <v>28</v>
      </c>
      <c r="H75" s="8">
        <v>56000.0</v>
      </c>
      <c r="I75" s="9">
        <v>8.7</v>
      </c>
      <c r="J75" s="1" t="s">
        <v>96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46067.0</v>
      </c>
      <c r="B76" s="1" t="s">
        <v>405</v>
      </c>
      <c r="C76" s="1" t="s">
        <v>406</v>
      </c>
      <c r="D76" s="1" t="s">
        <v>36</v>
      </c>
      <c r="E76" s="1" t="s">
        <v>13</v>
      </c>
      <c r="F76" s="7"/>
      <c r="G76" s="1" t="s">
        <v>28</v>
      </c>
      <c r="H76" s="8">
        <v>56000.0</v>
      </c>
      <c r="I76" s="9">
        <v>8.2</v>
      </c>
      <c r="J76" s="1" t="s">
        <v>96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46067.0</v>
      </c>
      <c r="B77" s="1" t="s">
        <v>211</v>
      </c>
      <c r="C77" s="1" t="s">
        <v>212</v>
      </c>
      <c r="D77" s="1" t="s">
        <v>88</v>
      </c>
      <c r="E77" s="1" t="s">
        <v>131</v>
      </c>
      <c r="F77" s="1"/>
      <c r="G77" s="1" t="s">
        <v>14</v>
      </c>
      <c r="H77" s="8" t="s">
        <v>19</v>
      </c>
      <c r="I77" s="9"/>
      <c r="J77" s="1" t="s">
        <v>24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46067.0</v>
      </c>
      <c r="B78" s="1" t="s">
        <v>94</v>
      </c>
      <c r="C78" s="1" t="s">
        <v>95</v>
      </c>
      <c r="D78" s="1" t="s">
        <v>18</v>
      </c>
      <c r="E78" s="1" t="s">
        <v>23</v>
      </c>
      <c r="F78" s="7"/>
      <c r="G78" s="1" t="s">
        <v>14</v>
      </c>
      <c r="H78" s="8">
        <v>79000.0</v>
      </c>
      <c r="I78" s="9">
        <v>18.7</v>
      </c>
      <c r="J78" s="1" t="s">
        <v>96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46067.0</v>
      </c>
      <c r="B79" s="1" t="s">
        <v>111</v>
      </c>
      <c r="C79" s="1" t="s">
        <v>194</v>
      </c>
      <c r="D79" s="1" t="s">
        <v>113</v>
      </c>
      <c r="E79" s="1" t="s">
        <v>23</v>
      </c>
      <c r="F79" s="7"/>
      <c r="G79" s="1" t="s">
        <v>14</v>
      </c>
      <c r="H79" s="8">
        <v>80000.0</v>
      </c>
      <c r="I79" s="9">
        <v>7.1</v>
      </c>
      <c r="J79" s="1" t="s">
        <v>15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46067.0</v>
      </c>
      <c r="B80" s="1" t="s">
        <v>407</v>
      </c>
      <c r="C80" s="1" t="s">
        <v>408</v>
      </c>
      <c r="D80" s="1" t="s">
        <v>109</v>
      </c>
      <c r="E80" s="1" t="s">
        <v>13</v>
      </c>
      <c r="F80" s="7"/>
      <c r="G80" s="1" t="s">
        <v>28</v>
      </c>
      <c r="H80" s="8">
        <v>36000.0</v>
      </c>
      <c r="I80" s="9">
        <v>3.3</v>
      </c>
      <c r="J80" s="1" t="s">
        <v>15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46067.0</v>
      </c>
      <c r="B81" s="1" t="s">
        <v>409</v>
      </c>
      <c r="C81" s="1" t="s">
        <v>65</v>
      </c>
      <c r="D81" s="1" t="s">
        <v>156</v>
      </c>
      <c r="E81" s="1" t="s">
        <v>23</v>
      </c>
      <c r="F81" s="7"/>
      <c r="G81" s="1" t="s">
        <v>14</v>
      </c>
      <c r="H81" s="8">
        <v>66000.0</v>
      </c>
      <c r="I81" s="9"/>
      <c r="J81" s="1" t="s">
        <v>15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46067.0</v>
      </c>
      <c r="B82" s="1" t="s">
        <v>410</v>
      </c>
      <c r="C82" s="1" t="s">
        <v>411</v>
      </c>
      <c r="D82" s="1" t="s">
        <v>109</v>
      </c>
      <c r="E82" s="1" t="s">
        <v>13</v>
      </c>
      <c r="F82" s="7"/>
      <c r="G82" s="1" t="s">
        <v>28</v>
      </c>
      <c r="H82" s="8">
        <v>36000.0</v>
      </c>
      <c r="I82" s="9">
        <v>3.2</v>
      </c>
      <c r="J82" s="1" t="s">
        <v>15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46067.0</v>
      </c>
      <c r="B83" s="1" t="s">
        <v>412</v>
      </c>
      <c r="C83" s="1" t="s">
        <v>413</v>
      </c>
      <c r="D83" s="1" t="s">
        <v>156</v>
      </c>
      <c r="E83" s="1" t="s">
        <v>23</v>
      </c>
      <c r="F83" s="7"/>
      <c r="G83" s="1" t="s">
        <v>14</v>
      </c>
      <c r="H83" s="8">
        <v>89000.0</v>
      </c>
      <c r="I83" s="1">
        <v>7.3</v>
      </c>
      <c r="J83" s="1" t="s">
        <v>96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46067.0</v>
      </c>
      <c r="B84" s="1" t="s">
        <v>414</v>
      </c>
      <c r="C84" s="1" t="s">
        <v>415</v>
      </c>
      <c r="D84" s="1" t="s">
        <v>22</v>
      </c>
      <c r="E84" s="1" t="s">
        <v>13</v>
      </c>
      <c r="F84" s="7"/>
      <c r="G84" s="1" t="s">
        <v>14</v>
      </c>
      <c r="H84" s="8">
        <v>89000.0</v>
      </c>
      <c r="I84" s="9">
        <v>2.9</v>
      </c>
      <c r="J84" s="1" t="s">
        <v>15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46067.0</v>
      </c>
      <c r="B85" s="1" t="s">
        <v>43</v>
      </c>
      <c r="C85" s="1" t="s">
        <v>416</v>
      </c>
      <c r="D85" s="1" t="s">
        <v>12</v>
      </c>
      <c r="E85" s="1" t="s">
        <v>13</v>
      </c>
      <c r="F85" s="7"/>
      <c r="G85" s="1" t="s">
        <v>14</v>
      </c>
      <c r="H85" s="8">
        <v>69000.0</v>
      </c>
      <c r="I85" s="1"/>
      <c r="J85" s="1" t="s">
        <v>38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46067.0</v>
      </c>
      <c r="B86" s="1"/>
      <c r="C86" s="1"/>
      <c r="D86" s="1"/>
      <c r="E86" s="1" t="s">
        <v>33</v>
      </c>
      <c r="F86" s="7"/>
      <c r="G86" s="1" t="s">
        <v>14</v>
      </c>
      <c r="H86" s="8">
        <v>15000.0</v>
      </c>
      <c r="I86" s="1"/>
      <c r="J86" s="1" t="s">
        <v>34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46069.0</v>
      </c>
      <c r="B87" s="1" t="s">
        <v>417</v>
      </c>
      <c r="C87" s="1" t="s">
        <v>203</v>
      </c>
      <c r="D87" s="1" t="s">
        <v>27</v>
      </c>
      <c r="E87" s="1" t="s">
        <v>13</v>
      </c>
      <c r="F87" s="7"/>
      <c r="G87" s="1" t="s">
        <v>28</v>
      </c>
      <c r="H87" s="8">
        <v>66000.0</v>
      </c>
      <c r="I87" s="9">
        <v>13.5</v>
      </c>
      <c r="J87" s="1" t="s">
        <v>96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46069.0</v>
      </c>
      <c r="B88" s="1" t="s">
        <v>417</v>
      </c>
      <c r="C88" s="1" t="s">
        <v>411</v>
      </c>
      <c r="D88" s="1" t="s">
        <v>27</v>
      </c>
      <c r="E88" s="1" t="s">
        <v>13</v>
      </c>
      <c r="F88" s="7"/>
      <c r="G88" s="1" t="s">
        <v>28</v>
      </c>
      <c r="H88" s="8">
        <v>76000.0</v>
      </c>
      <c r="I88" s="9">
        <v>11.0</v>
      </c>
      <c r="J88" s="1" t="s">
        <v>96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46069.0</v>
      </c>
      <c r="B89" s="1" t="s">
        <v>418</v>
      </c>
      <c r="C89" s="1" t="s">
        <v>419</v>
      </c>
      <c r="D89" s="1" t="s">
        <v>113</v>
      </c>
      <c r="E89" s="1" t="s">
        <v>23</v>
      </c>
      <c r="F89" s="7"/>
      <c r="G89" s="1" t="s">
        <v>14</v>
      </c>
      <c r="H89" s="8">
        <v>89000.0</v>
      </c>
      <c r="I89" s="9">
        <v>6.0</v>
      </c>
      <c r="J89" s="1" t="s">
        <v>96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46069.0</v>
      </c>
      <c r="B90" s="1" t="s">
        <v>420</v>
      </c>
      <c r="C90" s="1" t="s">
        <v>421</v>
      </c>
      <c r="D90" s="1" t="s">
        <v>36</v>
      </c>
      <c r="E90" s="1" t="s">
        <v>13</v>
      </c>
      <c r="F90" s="7"/>
      <c r="G90" s="1" t="s">
        <v>28</v>
      </c>
      <c r="H90" s="8">
        <v>66000.0</v>
      </c>
      <c r="I90" s="9">
        <v>11.9</v>
      </c>
      <c r="J90" s="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46070.0</v>
      </c>
      <c r="B91" s="1" t="s">
        <v>61</v>
      </c>
      <c r="C91" s="1" t="s">
        <v>62</v>
      </c>
      <c r="D91" s="1" t="s">
        <v>63</v>
      </c>
      <c r="E91" s="1" t="s">
        <v>13</v>
      </c>
      <c r="F91" s="7"/>
      <c r="G91" s="1" t="s">
        <v>14</v>
      </c>
      <c r="H91" s="8">
        <v>69000.0</v>
      </c>
      <c r="I91" s="9">
        <v>3.7</v>
      </c>
      <c r="J91" s="1" t="s">
        <v>96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46070.0</v>
      </c>
      <c r="B92" s="1" t="s">
        <v>158</v>
      </c>
      <c r="C92" s="1" t="s">
        <v>159</v>
      </c>
      <c r="D92" s="1" t="s">
        <v>160</v>
      </c>
      <c r="E92" s="1" t="s">
        <v>13</v>
      </c>
      <c r="F92" s="7"/>
      <c r="G92" s="1" t="s">
        <v>14</v>
      </c>
      <c r="H92" s="8">
        <v>99000.0</v>
      </c>
      <c r="I92" s="9">
        <v>29.0</v>
      </c>
      <c r="J92" s="1" t="s">
        <v>96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46070.0</v>
      </c>
      <c r="B93" s="1" t="s">
        <v>422</v>
      </c>
      <c r="C93" s="1" t="s">
        <v>423</v>
      </c>
      <c r="D93" s="1" t="s">
        <v>424</v>
      </c>
      <c r="E93" s="1" t="s">
        <v>13</v>
      </c>
      <c r="F93" s="7"/>
      <c r="G93" s="1" t="s">
        <v>14</v>
      </c>
      <c r="H93" s="8">
        <v>66000.0</v>
      </c>
      <c r="I93" s="9">
        <v>3.2</v>
      </c>
      <c r="J93" s="1" t="s">
        <v>96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46070.0</v>
      </c>
      <c r="B94" s="1" t="s">
        <v>151</v>
      </c>
      <c r="C94" s="1" t="s">
        <v>363</v>
      </c>
      <c r="D94" s="1" t="s">
        <v>12</v>
      </c>
      <c r="E94" s="1" t="s">
        <v>23</v>
      </c>
      <c r="F94" s="7"/>
      <c r="G94" s="1" t="s">
        <v>14</v>
      </c>
      <c r="H94" s="8">
        <v>65000.0</v>
      </c>
      <c r="I94" s="9">
        <v>5.5</v>
      </c>
      <c r="J94" s="1" t="s">
        <v>15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46070.0</v>
      </c>
      <c r="B95" s="1" t="s">
        <v>425</v>
      </c>
      <c r="C95" s="1" t="s">
        <v>426</v>
      </c>
      <c r="D95" s="1" t="s">
        <v>18</v>
      </c>
      <c r="E95" s="1" t="s">
        <v>23</v>
      </c>
      <c r="F95" s="7"/>
      <c r="G95" s="1" t="s">
        <v>14</v>
      </c>
      <c r="H95" s="8">
        <v>85000.0</v>
      </c>
      <c r="I95" s="9">
        <v>17.1</v>
      </c>
      <c r="J95" s="1" t="s">
        <v>38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46070.0</v>
      </c>
      <c r="B96" s="12" t="s">
        <v>427</v>
      </c>
      <c r="C96" s="1" t="s">
        <v>62</v>
      </c>
      <c r="D96" s="1" t="s">
        <v>12</v>
      </c>
      <c r="E96" s="1" t="s">
        <v>13</v>
      </c>
      <c r="F96" s="1"/>
      <c r="G96" s="1" t="s">
        <v>14</v>
      </c>
      <c r="H96" s="8">
        <v>75000.0</v>
      </c>
      <c r="I96" s="9"/>
      <c r="J96" s="1" t="s">
        <v>24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46070.0</v>
      </c>
      <c r="B97" s="1" t="s">
        <v>238</v>
      </c>
      <c r="C97" s="1" t="s">
        <v>239</v>
      </c>
      <c r="D97" s="1" t="s">
        <v>12</v>
      </c>
      <c r="E97" s="1" t="s">
        <v>23</v>
      </c>
      <c r="F97" s="7"/>
      <c r="G97" s="1" t="s">
        <v>14</v>
      </c>
      <c r="H97" s="8">
        <v>86000.0</v>
      </c>
      <c r="I97" s="9"/>
      <c r="J97" s="1" t="s">
        <v>96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46070.0</v>
      </c>
      <c r="B98" s="1" t="s">
        <v>428</v>
      </c>
      <c r="C98" s="1" t="s">
        <v>429</v>
      </c>
      <c r="D98" s="1" t="s">
        <v>109</v>
      </c>
      <c r="E98" s="1" t="s">
        <v>13</v>
      </c>
      <c r="F98" s="7"/>
      <c r="G98" s="1" t="s">
        <v>28</v>
      </c>
      <c r="H98" s="8">
        <v>36000.0</v>
      </c>
      <c r="I98" s="9">
        <v>5.2</v>
      </c>
      <c r="J98" s="1" t="s">
        <v>15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46070.0</v>
      </c>
      <c r="B99" s="1" t="s">
        <v>430</v>
      </c>
      <c r="C99" s="1" t="s">
        <v>147</v>
      </c>
      <c r="D99" s="1" t="s">
        <v>27</v>
      </c>
      <c r="E99" s="1" t="s">
        <v>13</v>
      </c>
      <c r="F99" s="7"/>
      <c r="G99" s="1" t="s">
        <v>28</v>
      </c>
      <c r="H99" s="8">
        <v>66000.0</v>
      </c>
      <c r="I99" s="9">
        <v>7.7</v>
      </c>
      <c r="J99" s="1" t="s">
        <v>96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46071.0</v>
      </c>
      <c r="B100" s="1" t="s">
        <v>431</v>
      </c>
      <c r="C100" s="1" t="s">
        <v>47</v>
      </c>
      <c r="D100" s="1" t="s">
        <v>54</v>
      </c>
      <c r="E100" s="1" t="s">
        <v>13</v>
      </c>
      <c r="F100" s="7"/>
      <c r="G100" s="1" t="s">
        <v>14</v>
      </c>
      <c r="H100" s="8">
        <v>96000.0</v>
      </c>
      <c r="I100" s="9">
        <v>36.0</v>
      </c>
      <c r="J100" s="1" t="s">
        <v>15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46071.0</v>
      </c>
      <c r="B101" s="1" t="s">
        <v>432</v>
      </c>
      <c r="C101" s="1" t="s">
        <v>170</v>
      </c>
      <c r="D101" s="1" t="s">
        <v>63</v>
      </c>
      <c r="E101" s="1" t="s">
        <v>23</v>
      </c>
      <c r="F101" s="7"/>
      <c r="G101" s="1" t="s">
        <v>14</v>
      </c>
      <c r="H101" s="8">
        <v>85000.0</v>
      </c>
      <c r="I101" s="9">
        <v>9.0</v>
      </c>
      <c r="J101" s="1" t="s">
        <v>38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46071.0</v>
      </c>
      <c r="B102" s="1" t="s">
        <v>433</v>
      </c>
      <c r="C102" s="1" t="s">
        <v>434</v>
      </c>
      <c r="D102" s="1" t="s">
        <v>435</v>
      </c>
      <c r="E102" s="1" t="s">
        <v>73</v>
      </c>
      <c r="F102" s="7"/>
      <c r="G102" s="1" t="s">
        <v>14</v>
      </c>
      <c r="H102" s="8">
        <v>149000.0</v>
      </c>
      <c r="I102" s="9">
        <v>7.2</v>
      </c>
      <c r="J102" s="1" t="s">
        <v>34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46071.0</v>
      </c>
      <c r="B103" s="1" t="s">
        <v>436</v>
      </c>
      <c r="C103" s="1" t="s">
        <v>437</v>
      </c>
      <c r="D103" s="1" t="s">
        <v>18</v>
      </c>
      <c r="E103" s="1" t="s">
        <v>13</v>
      </c>
      <c r="F103" s="7"/>
      <c r="G103" s="1" t="s">
        <v>14</v>
      </c>
      <c r="H103" s="8">
        <v>89000.0</v>
      </c>
      <c r="I103" s="9">
        <v>11.7</v>
      </c>
      <c r="J103" s="1" t="s">
        <v>96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46072.0</v>
      </c>
      <c r="B104" s="1" t="s">
        <v>438</v>
      </c>
      <c r="C104" s="1" t="s">
        <v>439</v>
      </c>
      <c r="D104" s="1" t="s">
        <v>36</v>
      </c>
      <c r="E104" s="1" t="s">
        <v>13</v>
      </c>
      <c r="F104" s="7"/>
      <c r="G104" s="1" t="s">
        <v>14</v>
      </c>
      <c r="H104" s="8">
        <v>66000.0</v>
      </c>
      <c r="I104" s="9">
        <v>9.3</v>
      </c>
      <c r="J104" s="1" t="s">
        <v>96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46072.0</v>
      </c>
      <c r="B105" s="1" t="s">
        <v>440</v>
      </c>
      <c r="C105" s="1" t="s">
        <v>177</v>
      </c>
      <c r="D105" s="1" t="s">
        <v>150</v>
      </c>
      <c r="E105" s="1" t="s">
        <v>13</v>
      </c>
      <c r="F105" s="7"/>
      <c r="G105" s="1" t="s">
        <v>14</v>
      </c>
      <c r="H105" s="8">
        <v>86000.0</v>
      </c>
      <c r="I105" s="9">
        <v>16.4</v>
      </c>
      <c r="J105" s="1" t="s">
        <v>15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46072.0</v>
      </c>
      <c r="B106" s="1" t="s">
        <v>441</v>
      </c>
      <c r="C106" s="1" t="s">
        <v>442</v>
      </c>
      <c r="D106" s="1" t="s">
        <v>124</v>
      </c>
      <c r="E106" s="1" t="s">
        <v>23</v>
      </c>
      <c r="F106" s="7"/>
      <c r="G106" s="1" t="s">
        <v>14</v>
      </c>
      <c r="H106" s="8">
        <v>96000.0</v>
      </c>
      <c r="I106" s="9">
        <v>3.3</v>
      </c>
      <c r="J106" s="1" t="s">
        <v>96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46072.0</v>
      </c>
      <c r="B107" s="1" t="s">
        <v>443</v>
      </c>
      <c r="C107" s="1" t="s">
        <v>444</v>
      </c>
      <c r="D107" s="1" t="s">
        <v>22</v>
      </c>
      <c r="E107" s="1" t="s">
        <v>23</v>
      </c>
      <c r="F107" s="7"/>
      <c r="G107" s="1" t="s">
        <v>14</v>
      </c>
      <c r="H107" s="8">
        <v>93000.0</v>
      </c>
      <c r="I107" s="9">
        <v>11.9</v>
      </c>
      <c r="J107" s="1" t="s">
        <v>15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46072.0</v>
      </c>
      <c r="B108" s="1" t="s">
        <v>445</v>
      </c>
      <c r="C108" s="1" t="s">
        <v>446</v>
      </c>
      <c r="D108" s="1" t="s">
        <v>257</v>
      </c>
      <c r="E108" s="1" t="s">
        <v>247</v>
      </c>
      <c r="F108" s="7"/>
      <c r="G108" s="1" t="s">
        <v>14</v>
      </c>
      <c r="H108" s="8">
        <v>85000.0</v>
      </c>
      <c r="I108" s="9"/>
      <c r="J108" s="1" t="s">
        <v>15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46072.0</v>
      </c>
      <c r="B109" s="1" t="s">
        <v>447</v>
      </c>
      <c r="C109" s="1" t="s">
        <v>448</v>
      </c>
      <c r="D109" s="1" t="s">
        <v>12</v>
      </c>
      <c r="E109" s="1" t="s">
        <v>23</v>
      </c>
      <c r="F109" s="1" t="s">
        <v>449</v>
      </c>
      <c r="G109" s="1" t="s">
        <v>14</v>
      </c>
      <c r="H109" s="8">
        <v>89000.0</v>
      </c>
      <c r="I109" s="9">
        <v>4.8</v>
      </c>
      <c r="J109" s="1" t="s">
        <v>96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46072.0</v>
      </c>
      <c r="B110" s="1" t="s">
        <v>450</v>
      </c>
      <c r="C110" s="1" t="s">
        <v>451</v>
      </c>
      <c r="D110" s="1" t="s">
        <v>12</v>
      </c>
      <c r="E110" s="1" t="s">
        <v>13</v>
      </c>
      <c r="F110" s="7"/>
      <c r="G110" s="1" t="s">
        <v>14</v>
      </c>
      <c r="H110" s="8">
        <v>89000.0</v>
      </c>
      <c r="I110" s="9">
        <v>3.7</v>
      </c>
      <c r="J110" s="1" t="s">
        <v>24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46073.0</v>
      </c>
      <c r="B111" s="1" t="s">
        <v>452</v>
      </c>
      <c r="C111" s="1" t="s">
        <v>147</v>
      </c>
      <c r="D111" s="1" t="s">
        <v>156</v>
      </c>
      <c r="E111" s="1" t="s">
        <v>23</v>
      </c>
      <c r="F111" s="7"/>
      <c r="G111" s="1" t="s">
        <v>14</v>
      </c>
      <c r="H111" s="8">
        <v>89000.0</v>
      </c>
      <c r="I111" s="9">
        <v>4.3</v>
      </c>
      <c r="J111" s="1" t="s">
        <v>96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46073.0</v>
      </c>
      <c r="B112" s="1" t="s">
        <v>452</v>
      </c>
      <c r="C112" s="1" t="s">
        <v>453</v>
      </c>
      <c r="D112" s="1" t="s">
        <v>156</v>
      </c>
      <c r="E112" s="1" t="s">
        <v>23</v>
      </c>
      <c r="F112" s="7"/>
      <c r="G112" s="1" t="s">
        <v>14</v>
      </c>
      <c r="H112" s="8">
        <v>89000.0</v>
      </c>
      <c r="I112" s="9">
        <v>2.5</v>
      </c>
      <c r="J112" s="1" t="s">
        <v>96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46073.0</v>
      </c>
      <c r="B113" s="1" t="s">
        <v>452</v>
      </c>
      <c r="C113" s="1" t="s">
        <v>454</v>
      </c>
      <c r="D113" s="1" t="s">
        <v>156</v>
      </c>
      <c r="E113" s="1" t="s">
        <v>23</v>
      </c>
      <c r="F113" s="1"/>
      <c r="G113" s="1" t="s">
        <v>14</v>
      </c>
      <c r="H113" s="8">
        <v>93000.0</v>
      </c>
      <c r="I113" s="9">
        <v>9.1</v>
      </c>
      <c r="J113" s="1" t="s">
        <v>96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46073.0</v>
      </c>
      <c r="B114" s="1" t="s">
        <v>455</v>
      </c>
      <c r="C114" s="1" t="s">
        <v>456</v>
      </c>
      <c r="D114" s="1" t="s">
        <v>18</v>
      </c>
      <c r="E114" s="1" t="s">
        <v>23</v>
      </c>
      <c r="F114" s="7"/>
      <c r="G114" s="1" t="s">
        <v>14</v>
      </c>
      <c r="H114" s="8">
        <v>86000.0</v>
      </c>
      <c r="I114" s="9">
        <v>14.0</v>
      </c>
      <c r="J114" s="1" t="s">
        <v>96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46073.0</v>
      </c>
      <c r="B115" s="1" t="s">
        <v>192</v>
      </c>
      <c r="C115" s="1" t="s">
        <v>373</v>
      </c>
      <c r="D115" s="1" t="s">
        <v>12</v>
      </c>
      <c r="E115" s="1" t="s">
        <v>23</v>
      </c>
      <c r="F115" s="7"/>
      <c r="G115" s="1" t="s">
        <v>14</v>
      </c>
      <c r="H115" s="8" t="s">
        <v>457</v>
      </c>
      <c r="I115" s="9">
        <v>7.4</v>
      </c>
      <c r="J115" s="1" t="s">
        <v>96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46073.0</v>
      </c>
      <c r="B116" s="1" t="s">
        <v>458</v>
      </c>
      <c r="C116" s="1" t="s">
        <v>459</v>
      </c>
      <c r="D116" s="1" t="s">
        <v>12</v>
      </c>
      <c r="E116" s="1" t="s">
        <v>13</v>
      </c>
      <c r="F116" s="7"/>
      <c r="G116" s="1" t="s">
        <v>14</v>
      </c>
      <c r="H116" s="8">
        <v>66000.0</v>
      </c>
      <c r="I116" s="9">
        <v>1.8</v>
      </c>
      <c r="J116" s="1" t="s">
        <v>96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46073.0</v>
      </c>
      <c r="B117" s="1" t="s">
        <v>240</v>
      </c>
      <c r="C117" s="1" t="s">
        <v>241</v>
      </c>
      <c r="D117" s="1" t="s">
        <v>18</v>
      </c>
      <c r="E117" s="1" t="s">
        <v>23</v>
      </c>
      <c r="F117" s="7"/>
      <c r="G117" s="1" t="s">
        <v>14</v>
      </c>
      <c r="H117" s="8">
        <v>89000.0</v>
      </c>
      <c r="I117" s="9">
        <v>17.0</v>
      </c>
      <c r="J117" s="1" t="s">
        <v>96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46073.0</v>
      </c>
      <c r="B118" s="1" t="s">
        <v>460</v>
      </c>
      <c r="C118" s="1" t="s">
        <v>172</v>
      </c>
      <c r="D118" s="1" t="s">
        <v>173</v>
      </c>
      <c r="E118" s="1" t="s">
        <v>13</v>
      </c>
      <c r="F118" s="7"/>
      <c r="G118" s="1" t="s">
        <v>28</v>
      </c>
      <c r="H118" s="8">
        <v>70000.0</v>
      </c>
      <c r="I118" s="9">
        <v>40.3</v>
      </c>
      <c r="J118" s="1" t="s">
        <v>15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46073.0</v>
      </c>
      <c r="B119" s="1" t="s">
        <v>163</v>
      </c>
      <c r="C119" s="1" t="s">
        <v>461</v>
      </c>
      <c r="D119" s="1" t="s">
        <v>27</v>
      </c>
      <c r="E119" s="1" t="s">
        <v>13</v>
      </c>
      <c r="F119" s="7"/>
      <c r="G119" s="1" t="s">
        <v>28</v>
      </c>
      <c r="H119" s="8">
        <v>40000.0</v>
      </c>
      <c r="I119" s="9">
        <v>6.5</v>
      </c>
      <c r="J119" s="1" t="s">
        <v>15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46074.0</v>
      </c>
      <c r="B120" s="1" t="s">
        <v>462</v>
      </c>
      <c r="C120" s="1" t="s">
        <v>463</v>
      </c>
      <c r="D120" s="1" t="s">
        <v>18</v>
      </c>
      <c r="E120" s="1" t="s">
        <v>23</v>
      </c>
      <c r="F120" s="1"/>
      <c r="G120" s="1" t="s">
        <v>14</v>
      </c>
      <c r="H120" s="8">
        <v>150000.0</v>
      </c>
      <c r="I120" s="9">
        <v>11.1</v>
      </c>
      <c r="J120" s="1" t="s">
        <v>38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46074.0</v>
      </c>
      <c r="B121" s="1" t="s">
        <v>464</v>
      </c>
      <c r="C121" s="1" t="s">
        <v>465</v>
      </c>
      <c r="D121" s="1" t="s">
        <v>160</v>
      </c>
      <c r="E121" s="1" t="s">
        <v>157</v>
      </c>
      <c r="F121" s="7"/>
      <c r="G121" s="1" t="s">
        <v>14</v>
      </c>
      <c r="H121" s="8">
        <v>96000.0</v>
      </c>
      <c r="I121" s="9">
        <v>36.0</v>
      </c>
      <c r="J121" s="1" t="s">
        <v>15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46074.0</v>
      </c>
      <c r="B122" s="1" t="s">
        <v>227</v>
      </c>
      <c r="C122" s="1" t="s">
        <v>228</v>
      </c>
      <c r="D122" s="1" t="s">
        <v>18</v>
      </c>
      <c r="E122" s="1" t="s">
        <v>13</v>
      </c>
      <c r="F122" s="7"/>
      <c r="G122" s="1" t="s">
        <v>14</v>
      </c>
      <c r="H122" s="8">
        <v>70000.0</v>
      </c>
      <c r="I122" s="9">
        <v>12.3</v>
      </c>
      <c r="J122" s="1" t="s">
        <v>15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46074.0</v>
      </c>
      <c r="B123" s="1" t="s">
        <v>225</v>
      </c>
      <c r="C123" s="1" t="s">
        <v>226</v>
      </c>
      <c r="D123" s="1" t="s">
        <v>18</v>
      </c>
      <c r="E123" s="1" t="s">
        <v>13</v>
      </c>
      <c r="F123" s="7"/>
      <c r="G123" s="1" t="s">
        <v>14</v>
      </c>
      <c r="H123" s="8">
        <v>70000.0</v>
      </c>
      <c r="I123" s="9"/>
      <c r="J123" s="1" t="s">
        <v>15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46074.0</v>
      </c>
      <c r="B124" s="1" t="s">
        <v>16</v>
      </c>
      <c r="C124" s="1" t="s">
        <v>17</v>
      </c>
      <c r="D124" s="1" t="s">
        <v>18</v>
      </c>
      <c r="E124" s="1" t="s">
        <v>13</v>
      </c>
      <c r="F124" s="1"/>
      <c r="G124" s="1" t="s">
        <v>14</v>
      </c>
      <c r="H124" s="8" t="s">
        <v>19</v>
      </c>
      <c r="I124" s="9"/>
      <c r="J124" s="1" t="s">
        <v>15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46074.0</v>
      </c>
      <c r="B125" s="1" t="s">
        <v>466</v>
      </c>
      <c r="C125" s="1" t="s">
        <v>467</v>
      </c>
      <c r="D125" s="1" t="s">
        <v>27</v>
      </c>
      <c r="E125" s="1" t="s">
        <v>13</v>
      </c>
      <c r="F125" s="7"/>
      <c r="G125" s="1" t="s">
        <v>28</v>
      </c>
      <c r="H125" s="8">
        <v>60000.0</v>
      </c>
      <c r="I125" s="9">
        <v>11.7</v>
      </c>
      <c r="J125" s="1" t="s">
        <v>15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46074.0</v>
      </c>
      <c r="B126" s="1" t="s">
        <v>267</v>
      </c>
      <c r="C126" s="1" t="s">
        <v>468</v>
      </c>
      <c r="D126" s="1" t="s">
        <v>156</v>
      </c>
      <c r="E126" s="1" t="s">
        <v>13</v>
      </c>
      <c r="F126" s="7"/>
      <c r="G126" s="1" t="s">
        <v>14</v>
      </c>
      <c r="H126" s="8">
        <v>70000.0</v>
      </c>
      <c r="I126" s="9"/>
      <c r="J126" s="1" t="s">
        <v>15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46074.0</v>
      </c>
      <c r="B127" s="1" t="s">
        <v>469</v>
      </c>
      <c r="C127" s="1" t="s">
        <v>375</v>
      </c>
      <c r="D127" s="1" t="s">
        <v>156</v>
      </c>
      <c r="E127" s="1" t="s">
        <v>23</v>
      </c>
      <c r="F127" s="7"/>
      <c r="G127" s="1" t="s">
        <v>14</v>
      </c>
      <c r="H127" s="8">
        <v>86000.0</v>
      </c>
      <c r="I127" s="9"/>
      <c r="J127" s="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46074.0</v>
      </c>
      <c r="B128" s="1" t="s">
        <v>469</v>
      </c>
      <c r="C128" s="1" t="s">
        <v>470</v>
      </c>
      <c r="D128" s="1" t="s">
        <v>22</v>
      </c>
      <c r="E128" s="1" t="s">
        <v>23</v>
      </c>
      <c r="F128" s="7"/>
      <c r="G128" s="1" t="s">
        <v>14</v>
      </c>
      <c r="H128" s="8">
        <v>86000.0</v>
      </c>
      <c r="I128" s="9"/>
      <c r="J128" s="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46074.0</v>
      </c>
      <c r="B129" s="1" t="s">
        <v>284</v>
      </c>
      <c r="C129" s="1" t="s">
        <v>471</v>
      </c>
      <c r="D129" s="1" t="s">
        <v>156</v>
      </c>
      <c r="E129" s="1" t="s">
        <v>23</v>
      </c>
      <c r="F129" s="7"/>
      <c r="G129" s="1" t="s">
        <v>14</v>
      </c>
      <c r="H129" s="8">
        <v>89000.0</v>
      </c>
      <c r="I129" s="9">
        <v>6.0</v>
      </c>
      <c r="J129" s="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46074.0</v>
      </c>
      <c r="B130" s="1" t="s">
        <v>472</v>
      </c>
      <c r="C130" s="1" t="s">
        <v>87</v>
      </c>
      <c r="D130" s="1" t="s">
        <v>88</v>
      </c>
      <c r="E130" s="1" t="s">
        <v>13</v>
      </c>
      <c r="F130" s="7"/>
      <c r="G130" s="1" t="s">
        <v>14</v>
      </c>
      <c r="H130" s="8" t="s">
        <v>19</v>
      </c>
      <c r="I130" s="9"/>
      <c r="J130" s="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>
        <v>46074.0</v>
      </c>
      <c r="B131" s="1" t="s">
        <v>473</v>
      </c>
      <c r="C131" s="1" t="s">
        <v>474</v>
      </c>
      <c r="D131" s="1" t="s">
        <v>22</v>
      </c>
      <c r="E131" s="1" t="s">
        <v>475</v>
      </c>
      <c r="F131" s="1" t="s">
        <v>476</v>
      </c>
      <c r="G131" s="1" t="s">
        <v>14</v>
      </c>
      <c r="H131" s="8">
        <v>69000.0</v>
      </c>
      <c r="I131" s="9">
        <v>3.4</v>
      </c>
      <c r="J131" s="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46074.0</v>
      </c>
      <c r="B132" s="1"/>
      <c r="C132" s="1"/>
      <c r="D132" s="1"/>
      <c r="E132" s="1" t="s">
        <v>33</v>
      </c>
      <c r="F132" s="7"/>
      <c r="G132" s="1" t="s">
        <v>28</v>
      </c>
      <c r="H132" s="8">
        <v>15000.0</v>
      </c>
      <c r="I132" s="9"/>
      <c r="J132" s="1" t="s">
        <v>34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46074.0</v>
      </c>
      <c r="B133" s="1" t="s">
        <v>477</v>
      </c>
      <c r="C133" s="1" t="s">
        <v>388</v>
      </c>
      <c r="D133" s="1" t="s">
        <v>22</v>
      </c>
      <c r="E133" s="1" t="s">
        <v>23</v>
      </c>
      <c r="F133" s="7"/>
      <c r="G133" s="1" t="s">
        <v>14</v>
      </c>
      <c r="H133" s="8">
        <v>69000.0</v>
      </c>
      <c r="I133" s="9"/>
      <c r="J133" s="1" t="s">
        <v>24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46076.0</v>
      </c>
      <c r="B134" s="1" t="s">
        <v>188</v>
      </c>
      <c r="C134" s="1" t="s">
        <v>478</v>
      </c>
      <c r="D134" s="1" t="s">
        <v>124</v>
      </c>
      <c r="E134" s="1" t="s">
        <v>23</v>
      </c>
      <c r="F134" s="7"/>
      <c r="G134" s="1" t="s">
        <v>14</v>
      </c>
      <c r="H134" s="8">
        <v>85000.0</v>
      </c>
      <c r="I134" s="9"/>
      <c r="J134" s="1" t="s">
        <v>15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46076.0</v>
      </c>
      <c r="B135" s="1" t="s">
        <v>479</v>
      </c>
      <c r="C135" s="1" t="s">
        <v>480</v>
      </c>
      <c r="D135" s="1" t="s">
        <v>156</v>
      </c>
      <c r="E135" s="1" t="s">
        <v>23</v>
      </c>
      <c r="F135" s="1"/>
      <c r="G135" s="1" t="s">
        <v>14</v>
      </c>
      <c r="H135" s="8">
        <v>76000.0</v>
      </c>
      <c r="I135" s="9"/>
      <c r="J135" s="1" t="s">
        <v>96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46076.0</v>
      </c>
      <c r="B136" s="1" t="s">
        <v>401</v>
      </c>
      <c r="C136" s="1" t="s">
        <v>408</v>
      </c>
      <c r="D136" s="1" t="s">
        <v>109</v>
      </c>
      <c r="E136" s="1" t="s">
        <v>13</v>
      </c>
      <c r="F136" s="7"/>
      <c r="G136" s="1" t="s">
        <v>28</v>
      </c>
      <c r="H136" s="8">
        <v>36000.0</v>
      </c>
      <c r="I136" s="9">
        <v>2.8</v>
      </c>
      <c r="J136" s="1" t="s">
        <v>15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46076.0</v>
      </c>
      <c r="B137" s="1" t="s">
        <v>481</v>
      </c>
      <c r="C137" s="1" t="s">
        <v>50</v>
      </c>
      <c r="D137" s="1" t="s">
        <v>124</v>
      </c>
      <c r="E137" s="1" t="s">
        <v>23</v>
      </c>
      <c r="F137" s="7"/>
      <c r="G137" s="1" t="s">
        <v>14</v>
      </c>
      <c r="H137" s="8">
        <v>55000.0</v>
      </c>
      <c r="I137" s="9"/>
      <c r="J137" s="1" t="s">
        <v>15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46076.0</v>
      </c>
      <c r="B138" s="1" t="s">
        <v>481</v>
      </c>
      <c r="C138" s="1" t="s">
        <v>482</v>
      </c>
      <c r="D138" s="1" t="s">
        <v>124</v>
      </c>
      <c r="E138" s="1" t="s">
        <v>23</v>
      </c>
      <c r="F138" s="7"/>
      <c r="G138" s="1" t="s">
        <v>14</v>
      </c>
      <c r="H138" s="8">
        <v>55000.0</v>
      </c>
      <c r="I138" s="9"/>
      <c r="J138" s="1" t="s">
        <v>15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>
        <v>46076.0</v>
      </c>
      <c r="B139" s="1" t="s">
        <v>39</v>
      </c>
      <c r="C139" s="1" t="s">
        <v>40</v>
      </c>
      <c r="D139" s="1" t="s">
        <v>27</v>
      </c>
      <c r="E139" s="1" t="s">
        <v>13</v>
      </c>
      <c r="F139" s="7"/>
      <c r="G139" s="1" t="s">
        <v>28</v>
      </c>
      <c r="H139" s="8">
        <v>60000.0</v>
      </c>
      <c r="I139" s="9">
        <v>15.6</v>
      </c>
      <c r="J139" s="1" t="s">
        <v>15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46076.0</v>
      </c>
      <c r="B140" s="1" t="s">
        <v>213</v>
      </c>
      <c r="C140" s="1" t="s">
        <v>483</v>
      </c>
      <c r="D140" s="1" t="s">
        <v>36</v>
      </c>
      <c r="E140" s="1" t="s">
        <v>13</v>
      </c>
      <c r="F140" s="1"/>
      <c r="G140" s="1" t="s">
        <v>28</v>
      </c>
      <c r="H140" s="8">
        <v>60000.0</v>
      </c>
      <c r="I140" s="9">
        <v>13.2</v>
      </c>
      <c r="J140" s="1" t="s">
        <v>15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>
        <v>46076.0</v>
      </c>
      <c r="B141" s="1" t="s">
        <v>484</v>
      </c>
      <c r="C141" s="1" t="s">
        <v>62</v>
      </c>
      <c r="D141" s="1" t="s">
        <v>63</v>
      </c>
      <c r="E141" s="1" t="s">
        <v>23</v>
      </c>
      <c r="F141" s="7"/>
      <c r="G141" s="1" t="s">
        <v>14</v>
      </c>
      <c r="H141" s="8">
        <v>75000.0</v>
      </c>
      <c r="I141" s="9">
        <v>2.4</v>
      </c>
      <c r="J141" s="1" t="s">
        <v>96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46077.0</v>
      </c>
      <c r="B142" s="1" t="s">
        <v>485</v>
      </c>
      <c r="C142" s="1" t="s">
        <v>486</v>
      </c>
      <c r="D142" s="1" t="s">
        <v>12</v>
      </c>
      <c r="E142" s="1" t="s">
        <v>23</v>
      </c>
      <c r="F142" s="7"/>
      <c r="G142" s="1"/>
      <c r="H142" s="8">
        <v>86000.0</v>
      </c>
      <c r="I142" s="9">
        <v>8.7</v>
      </c>
      <c r="J142" s="1" t="s">
        <v>15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>
        <v>46077.0</v>
      </c>
      <c r="B143" s="1" t="s">
        <v>487</v>
      </c>
      <c r="C143" s="1" t="s">
        <v>488</v>
      </c>
      <c r="D143" s="1" t="s">
        <v>18</v>
      </c>
      <c r="E143" s="1" t="s">
        <v>13</v>
      </c>
      <c r="F143" s="7"/>
      <c r="G143" s="1"/>
      <c r="H143" s="8">
        <v>70000.0</v>
      </c>
      <c r="I143" s="9">
        <v>9.2</v>
      </c>
      <c r="J143" s="1" t="s">
        <v>96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>
        <v>46077.0</v>
      </c>
      <c r="B144" s="1" t="s">
        <v>489</v>
      </c>
      <c r="C144" s="1" t="s">
        <v>490</v>
      </c>
      <c r="D144" s="1" t="s">
        <v>173</v>
      </c>
      <c r="E144" s="1" t="s">
        <v>13</v>
      </c>
      <c r="F144" s="7"/>
      <c r="G144" s="1" t="s">
        <v>28</v>
      </c>
      <c r="H144" s="8">
        <v>76000.0</v>
      </c>
      <c r="I144" s="9"/>
      <c r="J144" s="1" t="s">
        <v>15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>
        <v>46077.0</v>
      </c>
      <c r="B145" s="1" t="s">
        <v>491</v>
      </c>
      <c r="C145" s="1" t="s">
        <v>492</v>
      </c>
      <c r="D145" s="1" t="s">
        <v>22</v>
      </c>
      <c r="E145" s="1" t="s">
        <v>13</v>
      </c>
      <c r="F145" s="1" t="s">
        <v>73</v>
      </c>
      <c r="G145" s="1"/>
      <c r="H145" s="8">
        <f>130000+79000</f>
        <v>209000</v>
      </c>
      <c r="I145" s="9">
        <v>2.7</v>
      </c>
      <c r="J145" s="1" t="s">
        <v>24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>
        <v>46077.0</v>
      </c>
      <c r="B146" s="1" t="s">
        <v>204</v>
      </c>
      <c r="C146" s="1" t="s">
        <v>205</v>
      </c>
      <c r="D146" s="1" t="s">
        <v>160</v>
      </c>
      <c r="E146" s="1" t="s">
        <v>157</v>
      </c>
      <c r="F146" s="7"/>
      <c r="G146" s="1"/>
      <c r="H146" s="8">
        <v>70000.0</v>
      </c>
      <c r="I146" s="9">
        <v>18.9</v>
      </c>
      <c r="J146" s="1" t="s">
        <v>96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>
        <v>46077.0</v>
      </c>
      <c r="B147" s="1" t="s">
        <v>493</v>
      </c>
      <c r="C147" s="1" t="s">
        <v>147</v>
      </c>
      <c r="D147" s="1" t="s">
        <v>27</v>
      </c>
      <c r="E147" s="1" t="s">
        <v>73</v>
      </c>
      <c r="F147" s="7"/>
      <c r="G147" s="1"/>
      <c r="H147" s="8">
        <v>130000.0</v>
      </c>
      <c r="I147" s="9"/>
      <c r="J147" s="1" t="s">
        <v>34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>
        <v>46078.0</v>
      </c>
      <c r="B148" s="1" t="s">
        <v>494</v>
      </c>
      <c r="C148" s="1" t="s">
        <v>495</v>
      </c>
      <c r="D148" s="1" t="s">
        <v>160</v>
      </c>
      <c r="E148" s="1" t="s">
        <v>157</v>
      </c>
      <c r="F148" s="7"/>
      <c r="G148" s="1" t="s">
        <v>14</v>
      </c>
      <c r="H148" s="8">
        <v>90000.0</v>
      </c>
      <c r="I148" s="9">
        <v>21.0</v>
      </c>
      <c r="J148" s="1" t="s">
        <v>96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>
        <v>46078.0</v>
      </c>
      <c r="B149" s="1" t="s">
        <v>180</v>
      </c>
      <c r="C149" s="1" t="s">
        <v>181</v>
      </c>
      <c r="D149" s="1" t="s">
        <v>22</v>
      </c>
      <c r="E149" s="1" t="s">
        <v>13</v>
      </c>
      <c r="F149" s="7"/>
      <c r="G149" s="1" t="s">
        <v>14</v>
      </c>
      <c r="H149" s="8">
        <v>69000.0</v>
      </c>
      <c r="I149" s="9">
        <v>5.5</v>
      </c>
      <c r="J149" s="1" t="s">
        <v>15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46079.0</v>
      </c>
      <c r="B150" s="1" t="s">
        <v>25</v>
      </c>
      <c r="C150" s="1" t="s">
        <v>26</v>
      </c>
      <c r="D150" s="1" t="s">
        <v>27</v>
      </c>
      <c r="E150" s="1" t="s">
        <v>13</v>
      </c>
      <c r="F150" s="7"/>
      <c r="G150" s="1" t="s">
        <v>28</v>
      </c>
      <c r="H150" s="8">
        <v>55000.0</v>
      </c>
      <c r="I150" s="9">
        <v>16.8</v>
      </c>
      <c r="J150" s="1" t="s">
        <v>96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>
        <v>46079.0</v>
      </c>
      <c r="B151" s="1" t="s">
        <v>496</v>
      </c>
      <c r="C151" s="1" t="s">
        <v>497</v>
      </c>
      <c r="D151" s="1" t="s">
        <v>22</v>
      </c>
      <c r="E151" s="1" t="s">
        <v>13</v>
      </c>
      <c r="F151" s="7"/>
      <c r="G151" s="1" t="s">
        <v>14</v>
      </c>
      <c r="H151" s="8">
        <v>96000.0</v>
      </c>
      <c r="I151" s="9">
        <v>4.9</v>
      </c>
      <c r="J151" s="1" t="s">
        <v>34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>
        <v>46079.0</v>
      </c>
      <c r="B152" s="1" t="s">
        <v>498</v>
      </c>
      <c r="C152" s="1" t="s">
        <v>499</v>
      </c>
      <c r="D152" s="1" t="s">
        <v>18</v>
      </c>
      <c r="E152" s="1" t="s">
        <v>23</v>
      </c>
      <c r="F152" s="7"/>
      <c r="G152" s="1" t="s">
        <v>14</v>
      </c>
      <c r="H152" s="8">
        <v>86000.0</v>
      </c>
      <c r="I152" s="9">
        <v>15.8</v>
      </c>
      <c r="J152" s="1" t="s">
        <v>96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>
        <v>46079.0</v>
      </c>
      <c r="B153" s="1" t="s">
        <v>206</v>
      </c>
      <c r="C153" s="1" t="s">
        <v>29</v>
      </c>
      <c r="D153" s="1" t="s">
        <v>207</v>
      </c>
      <c r="E153" s="1" t="s">
        <v>157</v>
      </c>
      <c r="F153" s="7"/>
      <c r="G153" s="1" t="s">
        <v>14</v>
      </c>
      <c r="H153" s="8">
        <v>100000.0</v>
      </c>
      <c r="I153" s="9">
        <v>31.0</v>
      </c>
      <c r="J153" s="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>
        <v>46079.0</v>
      </c>
      <c r="B154" s="1"/>
      <c r="C154" s="1"/>
      <c r="D154" s="1"/>
      <c r="E154" s="1" t="s">
        <v>33</v>
      </c>
      <c r="F154" s="7"/>
      <c r="G154" s="1"/>
      <c r="H154" s="8">
        <v>16000.0</v>
      </c>
      <c r="I154" s="9"/>
      <c r="J154" s="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>
        <v>46079.0</v>
      </c>
      <c r="B155" s="1" t="s">
        <v>238</v>
      </c>
      <c r="C155" s="1" t="s">
        <v>79</v>
      </c>
      <c r="D155" s="1" t="s">
        <v>12</v>
      </c>
      <c r="E155" s="1" t="s">
        <v>13</v>
      </c>
      <c r="F155" s="7"/>
      <c r="G155" s="1" t="s">
        <v>14</v>
      </c>
      <c r="H155" s="8">
        <v>69000.0</v>
      </c>
      <c r="I155" s="9">
        <v>4.9</v>
      </c>
      <c r="J155" s="1" t="s">
        <v>15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>
        <v>46080.0</v>
      </c>
      <c r="B156" s="1" t="s">
        <v>35</v>
      </c>
      <c r="C156" s="1" t="s">
        <v>239</v>
      </c>
      <c r="D156" s="1" t="s">
        <v>109</v>
      </c>
      <c r="E156" s="1" t="s">
        <v>13</v>
      </c>
      <c r="F156" s="7"/>
      <c r="G156" s="1" t="s">
        <v>28</v>
      </c>
      <c r="H156" s="8">
        <v>32000.0</v>
      </c>
      <c r="I156" s="9">
        <v>3.2</v>
      </c>
      <c r="J156" s="1" t="s">
        <v>15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>
        <v>46080.0</v>
      </c>
      <c r="B157" s="1" t="s">
        <v>35</v>
      </c>
      <c r="C157" s="1" t="s">
        <v>212</v>
      </c>
      <c r="D157" s="1" t="s">
        <v>109</v>
      </c>
      <c r="E157" s="1" t="s">
        <v>13</v>
      </c>
      <c r="F157" s="7"/>
      <c r="G157" s="1" t="s">
        <v>28</v>
      </c>
      <c r="H157" s="8">
        <v>32000.0</v>
      </c>
      <c r="I157" s="9">
        <v>3.0</v>
      </c>
      <c r="J157" s="1" t="s">
        <v>15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>
        <v>46080.0</v>
      </c>
      <c r="B158" s="1" t="s">
        <v>500</v>
      </c>
      <c r="C158" s="1" t="s">
        <v>501</v>
      </c>
      <c r="D158" s="1" t="s">
        <v>18</v>
      </c>
      <c r="E158" s="1" t="s">
        <v>23</v>
      </c>
      <c r="F158" s="7"/>
      <c r="G158" s="1" t="s">
        <v>14</v>
      </c>
      <c r="H158" s="8">
        <v>79000.0</v>
      </c>
      <c r="I158" s="9">
        <v>13.0</v>
      </c>
      <c r="J158" s="1" t="s">
        <v>15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>
        <v>46080.0</v>
      </c>
      <c r="B159" s="1" t="s">
        <v>502</v>
      </c>
      <c r="C159" s="1" t="s">
        <v>503</v>
      </c>
      <c r="D159" s="1" t="s">
        <v>22</v>
      </c>
      <c r="E159" s="1" t="s">
        <v>33</v>
      </c>
      <c r="F159" s="7"/>
      <c r="G159" s="1"/>
      <c r="H159" s="8">
        <v>16000.0</v>
      </c>
      <c r="I159" s="9"/>
      <c r="J159" s="1" t="s">
        <v>34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>
        <v>46080.0</v>
      </c>
      <c r="B160" s="1" t="s">
        <v>504</v>
      </c>
      <c r="C160" s="1" t="s">
        <v>406</v>
      </c>
      <c r="D160" s="1" t="s">
        <v>109</v>
      </c>
      <c r="E160" s="1" t="s">
        <v>13</v>
      </c>
      <c r="F160" s="7"/>
      <c r="G160" s="1" t="s">
        <v>28</v>
      </c>
      <c r="H160" s="8">
        <v>32000.0</v>
      </c>
      <c r="I160" s="9">
        <v>1.9</v>
      </c>
      <c r="J160" s="1" t="s">
        <v>15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>
        <v>46080.0</v>
      </c>
      <c r="B161" s="1" t="s">
        <v>505</v>
      </c>
      <c r="C161" s="1" t="s">
        <v>506</v>
      </c>
      <c r="D161" s="1" t="s">
        <v>109</v>
      </c>
      <c r="E161" s="1" t="s">
        <v>13</v>
      </c>
      <c r="F161" s="7"/>
      <c r="G161" s="1" t="s">
        <v>28</v>
      </c>
      <c r="H161" s="8">
        <v>36000.0</v>
      </c>
      <c r="I161" s="9">
        <v>1.7</v>
      </c>
      <c r="J161" s="1" t="s">
        <v>15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>
        <v>46080.0</v>
      </c>
      <c r="B162" s="1" t="s">
        <v>286</v>
      </c>
      <c r="C162" s="1" t="s">
        <v>287</v>
      </c>
      <c r="D162" s="1" t="s">
        <v>22</v>
      </c>
      <c r="E162" s="1" t="s">
        <v>13</v>
      </c>
      <c r="F162" s="7"/>
      <c r="G162" s="1" t="s">
        <v>14</v>
      </c>
      <c r="H162" s="8">
        <v>79000.0</v>
      </c>
      <c r="I162" s="9">
        <v>3.2</v>
      </c>
      <c r="J162" s="1" t="s">
        <v>15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>
        <v>46080.0</v>
      </c>
      <c r="B163" s="1" t="s">
        <v>43</v>
      </c>
      <c r="C163" s="1" t="s">
        <v>280</v>
      </c>
      <c r="D163" s="1" t="s">
        <v>12</v>
      </c>
      <c r="E163" s="1" t="s">
        <v>13</v>
      </c>
      <c r="F163" s="7"/>
      <c r="G163" s="1" t="s">
        <v>14</v>
      </c>
      <c r="H163" s="8">
        <v>69000.0</v>
      </c>
      <c r="I163" s="9">
        <v>6.1</v>
      </c>
      <c r="J163" s="1" t="s">
        <v>24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>
        <v>46080.0</v>
      </c>
      <c r="B164" s="1" t="s">
        <v>273</v>
      </c>
      <c r="C164" s="1" t="s">
        <v>507</v>
      </c>
      <c r="D164" s="1" t="s">
        <v>12</v>
      </c>
      <c r="E164" s="1" t="s">
        <v>23</v>
      </c>
      <c r="F164" s="1"/>
      <c r="G164" s="1" t="s">
        <v>14</v>
      </c>
      <c r="H164" s="8">
        <v>89000.0</v>
      </c>
      <c r="I164" s="9">
        <v>10.2</v>
      </c>
      <c r="J164" s="1" t="s">
        <v>15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>
        <v>46081.0</v>
      </c>
      <c r="B165" s="1" t="s">
        <v>508</v>
      </c>
      <c r="C165" s="1" t="s">
        <v>509</v>
      </c>
      <c r="D165" s="1" t="s">
        <v>18</v>
      </c>
      <c r="E165" s="1" t="s">
        <v>23</v>
      </c>
      <c r="F165" s="7"/>
      <c r="G165" s="1" t="s">
        <v>14</v>
      </c>
      <c r="H165" s="8">
        <v>90000.0</v>
      </c>
      <c r="I165" s="9">
        <v>13.6</v>
      </c>
      <c r="J165" s="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>
        <v>46081.0</v>
      </c>
      <c r="B166" s="1" t="s">
        <v>510</v>
      </c>
      <c r="C166" s="1" t="s">
        <v>511</v>
      </c>
      <c r="D166" s="1" t="s">
        <v>160</v>
      </c>
      <c r="E166" s="1" t="s">
        <v>157</v>
      </c>
      <c r="F166" s="1"/>
      <c r="G166" s="1" t="s">
        <v>14</v>
      </c>
      <c r="H166" s="8">
        <v>99000.0</v>
      </c>
      <c r="I166" s="9"/>
      <c r="J166" s="1" t="s">
        <v>96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>
        <v>46081.0</v>
      </c>
      <c r="B167" s="1" t="s">
        <v>512</v>
      </c>
      <c r="C167" s="1" t="s">
        <v>513</v>
      </c>
      <c r="D167" s="1" t="s">
        <v>18</v>
      </c>
      <c r="E167" s="1" t="s">
        <v>23</v>
      </c>
      <c r="F167" s="7"/>
      <c r="G167" s="1" t="s">
        <v>14</v>
      </c>
      <c r="H167" s="8">
        <v>89000.0</v>
      </c>
      <c r="I167" s="9">
        <v>11.8</v>
      </c>
      <c r="J167" s="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>
        <v>46081.0</v>
      </c>
      <c r="B168" s="1" t="s">
        <v>16</v>
      </c>
      <c r="C168" s="1" t="s">
        <v>17</v>
      </c>
      <c r="D168" s="1" t="s">
        <v>18</v>
      </c>
      <c r="E168" s="1" t="s">
        <v>13</v>
      </c>
      <c r="F168" s="7"/>
      <c r="G168" s="1" t="s">
        <v>14</v>
      </c>
      <c r="H168" s="8" t="s">
        <v>19</v>
      </c>
      <c r="I168" s="9"/>
      <c r="J168" s="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>
        <v>46081.0</v>
      </c>
      <c r="B169" s="1" t="s">
        <v>514</v>
      </c>
      <c r="C169" s="1" t="s">
        <v>515</v>
      </c>
      <c r="D169" s="1" t="s">
        <v>27</v>
      </c>
      <c r="E169" s="1" t="s">
        <v>13</v>
      </c>
      <c r="F169" s="7"/>
      <c r="G169" s="1" t="s">
        <v>14</v>
      </c>
      <c r="H169" s="8">
        <v>79000.0</v>
      </c>
      <c r="I169" s="9"/>
      <c r="J169" s="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>
        <v>46081.0</v>
      </c>
      <c r="B170" s="1" t="s">
        <v>146</v>
      </c>
      <c r="C170" s="1" t="s">
        <v>147</v>
      </c>
      <c r="D170" s="1" t="s">
        <v>32</v>
      </c>
      <c r="E170" s="1" t="s">
        <v>13</v>
      </c>
      <c r="F170" s="7"/>
      <c r="G170" s="1" t="s">
        <v>28</v>
      </c>
      <c r="H170" s="8">
        <v>55000.0</v>
      </c>
      <c r="I170" s="9"/>
      <c r="J170" s="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>
        <v>46081.0</v>
      </c>
      <c r="B171" s="1" t="s">
        <v>516</v>
      </c>
      <c r="C171" s="1" t="s">
        <v>517</v>
      </c>
      <c r="D171" s="1" t="s">
        <v>124</v>
      </c>
      <c r="E171" s="1"/>
      <c r="F171" s="7"/>
      <c r="G171" s="1"/>
      <c r="H171" s="8">
        <v>69000.0</v>
      </c>
      <c r="I171" s="9"/>
      <c r="J171" s="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>
        <v>46081.0</v>
      </c>
      <c r="B172" s="1" t="s">
        <v>211</v>
      </c>
      <c r="C172" s="1" t="s">
        <v>212</v>
      </c>
      <c r="D172" s="1" t="s">
        <v>88</v>
      </c>
      <c r="E172" s="1" t="s">
        <v>131</v>
      </c>
      <c r="F172" s="7"/>
      <c r="G172" s="1" t="s">
        <v>14</v>
      </c>
      <c r="H172" s="8" t="s">
        <v>19</v>
      </c>
      <c r="I172" s="9"/>
      <c r="J172" s="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>
        <v>46081.0</v>
      </c>
      <c r="B173" s="1"/>
      <c r="C173" s="1"/>
      <c r="D173" s="1" t="s">
        <v>72</v>
      </c>
      <c r="E173" s="1" t="s">
        <v>33</v>
      </c>
      <c r="F173" s="7"/>
      <c r="G173" s="1"/>
      <c r="H173" s="8">
        <v>15000.0</v>
      </c>
      <c r="I173" s="9"/>
      <c r="J173" s="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>
        <v>46081.0</v>
      </c>
      <c r="B174" s="1"/>
      <c r="C174" s="1"/>
      <c r="D174" s="1" t="s">
        <v>72</v>
      </c>
      <c r="E174" s="1" t="s">
        <v>33</v>
      </c>
      <c r="F174" s="7"/>
      <c r="G174" s="1"/>
      <c r="H174" s="8">
        <v>15000.0</v>
      </c>
      <c r="I174" s="9"/>
      <c r="J174" s="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>
        <v>46081.0</v>
      </c>
      <c r="B175" s="1"/>
      <c r="C175" s="1"/>
      <c r="D175" s="1" t="s">
        <v>109</v>
      </c>
      <c r="E175" s="1" t="s">
        <v>33</v>
      </c>
      <c r="F175" s="7"/>
      <c r="G175" s="1"/>
      <c r="H175" s="8">
        <v>10000.0</v>
      </c>
      <c r="I175" s="9"/>
      <c r="J175" s="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>
        <v>46081.0</v>
      </c>
      <c r="B176" s="1"/>
      <c r="C176" s="1"/>
      <c r="D176" s="1" t="s">
        <v>109</v>
      </c>
      <c r="E176" s="1" t="s">
        <v>33</v>
      </c>
      <c r="F176" s="7"/>
      <c r="G176" s="1"/>
      <c r="H176" s="8">
        <v>10000.0</v>
      </c>
      <c r="I176" s="9"/>
      <c r="J176" s="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>
        <v>46081.0</v>
      </c>
      <c r="B177" s="1"/>
      <c r="C177" s="1"/>
      <c r="D177" s="1" t="s">
        <v>145</v>
      </c>
      <c r="E177" s="1" t="s">
        <v>33</v>
      </c>
      <c r="F177" s="7"/>
      <c r="G177" s="1"/>
      <c r="H177" s="8">
        <v>12000.0</v>
      </c>
      <c r="I177" s="9"/>
      <c r="J177" s="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>
        <v>46081.0</v>
      </c>
      <c r="B178" s="1"/>
      <c r="C178" s="1"/>
      <c r="D178" s="1" t="s">
        <v>145</v>
      </c>
      <c r="E178" s="1" t="s">
        <v>33</v>
      </c>
      <c r="F178" s="7"/>
      <c r="G178" s="1"/>
      <c r="H178" s="8">
        <v>12000.0</v>
      </c>
      <c r="I178" s="9"/>
      <c r="J178" s="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>
        <v>46081.0</v>
      </c>
      <c r="B179" s="1"/>
      <c r="C179" s="1"/>
      <c r="D179" s="1" t="s">
        <v>145</v>
      </c>
      <c r="E179" s="1" t="s">
        <v>33</v>
      </c>
      <c r="F179" s="7"/>
      <c r="G179" s="1"/>
      <c r="H179" s="8">
        <v>12000.0</v>
      </c>
      <c r="I179" s="9"/>
      <c r="J179" s="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1"/>
      <c r="C180" s="1"/>
      <c r="D180" s="1"/>
      <c r="E180" s="1"/>
      <c r="F180" s="7"/>
      <c r="G180" s="1"/>
      <c r="H180" s="8"/>
      <c r="I180" s="9"/>
      <c r="J180" s="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1"/>
      <c r="C181" s="1"/>
      <c r="D181" s="1"/>
      <c r="E181" s="1"/>
      <c r="F181" s="7"/>
      <c r="G181" s="1"/>
      <c r="H181" s="8"/>
      <c r="I181" s="9"/>
      <c r="J181" s="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1"/>
      <c r="C182" s="1"/>
      <c r="D182" s="1"/>
      <c r="E182" s="1"/>
      <c r="F182" s="7"/>
      <c r="G182" s="1"/>
      <c r="H182" s="8"/>
      <c r="I182" s="9"/>
      <c r="J182" s="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1"/>
      <c r="C183" s="1"/>
      <c r="D183" s="1"/>
      <c r="E183" s="1"/>
      <c r="F183" s="7"/>
      <c r="G183" s="1"/>
      <c r="H183" s="8"/>
      <c r="I183" s="9"/>
      <c r="J183" s="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1"/>
      <c r="C184" s="1"/>
      <c r="D184" s="1"/>
      <c r="E184" s="1"/>
      <c r="F184" s="7"/>
      <c r="G184" s="1"/>
      <c r="H184" s="8"/>
      <c r="J184" s="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1"/>
      <c r="C185" s="1"/>
      <c r="D185" s="1"/>
      <c r="E185" s="1"/>
      <c r="F185" s="7"/>
      <c r="G185" s="1"/>
      <c r="H185" s="8"/>
      <c r="I185" s="9"/>
      <c r="J185" s="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1"/>
      <c r="C186" s="1"/>
      <c r="D186" s="1"/>
      <c r="E186" s="1"/>
      <c r="F186" s="7"/>
      <c r="G186" s="1"/>
      <c r="H186" s="8"/>
      <c r="I186" s="9"/>
      <c r="J186" s="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1"/>
      <c r="C187" s="1"/>
      <c r="D187" s="1"/>
      <c r="E187" s="1"/>
      <c r="F187" s="7"/>
      <c r="G187" s="1"/>
      <c r="H187" s="8"/>
      <c r="I187" s="9"/>
      <c r="J187" s="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1"/>
      <c r="C188" s="1"/>
      <c r="D188" s="1"/>
      <c r="E188" s="1"/>
      <c r="F188" s="7"/>
      <c r="G188" s="1"/>
      <c r="H188" s="8"/>
      <c r="I188" s="14"/>
      <c r="J188" s="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1"/>
      <c r="C189" s="1"/>
      <c r="D189" s="1"/>
      <c r="E189" s="1"/>
      <c r="F189" s="7"/>
      <c r="G189" s="1"/>
      <c r="H189" s="8"/>
      <c r="I189" s="9"/>
      <c r="J189" s="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1"/>
      <c r="C190" s="1"/>
      <c r="D190" s="1"/>
      <c r="E190" s="1"/>
      <c r="F190" s="7"/>
      <c r="G190" s="1"/>
      <c r="H190" s="8"/>
      <c r="I190" s="9"/>
      <c r="J190" s="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1"/>
      <c r="C191" s="1"/>
      <c r="D191" s="1"/>
      <c r="E191" s="1"/>
      <c r="F191" s="7"/>
      <c r="G191" s="1"/>
      <c r="H191" s="8"/>
      <c r="I191" s="9"/>
      <c r="J191" s="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1"/>
      <c r="C192" s="1"/>
      <c r="D192" s="1"/>
      <c r="E192" s="1"/>
      <c r="F192" s="7"/>
      <c r="G192" s="1"/>
      <c r="H192" s="8"/>
      <c r="I192" s="9"/>
      <c r="J192" s="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1"/>
      <c r="C193" s="1"/>
      <c r="D193" s="1"/>
      <c r="E193" s="1"/>
      <c r="F193" s="7"/>
      <c r="G193" s="1"/>
      <c r="H193" s="8"/>
      <c r="I193" s="9"/>
      <c r="J193" s="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1"/>
      <c r="C194" s="1"/>
      <c r="D194" s="1"/>
      <c r="E194" s="1"/>
      <c r="F194" s="7"/>
      <c r="G194" s="1"/>
      <c r="H194" s="8"/>
      <c r="I194" s="9"/>
      <c r="J194" s="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1"/>
      <c r="C195" s="1"/>
      <c r="D195" s="1"/>
      <c r="E195" s="1"/>
      <c r="F195" s="7"/>
      <c r="G195" s="1"/>
      <c r="H195" s="8"/>
      <c r="I195" s="9"/>
      <c r="J195" s="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1"/>
      <c r="C196" s="1"/>
      <c r="D196" s="1"/>
      <c r="E196" s="1"/>
      <c r="F196" s="7"/>
      <c r="G196" s="1"/>
      <c r="H196" s="8"/>
      <c r="I196" s="9"/>
      <c r="J196" s="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1"/>
      <c r="C197" s="1"/>
      <c r="D197" s="1"/>
      <c r="E197" s="1"/>
      <c r="F197" s="7"/>
      <c r="G197" s="1"/>
      <c r="H197" s="8"/>
      <c r="I197" s="9"/>
      <c r="J197" s="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1"/>
      <c r="C198" s="1"/>
      <c r="D198" s="1"/>
      <c r="E198" s="1"/>
      <c r="F198" s="7"/>
      <c r="G198" s="1"/>
      <c r="H198" s="8"/>
      <c r="I198" s="14"/>
      <c r="J198" s="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1"/>
      <c r="C199" s="1"/>
      <c r="D199" s="1"/>
      <c r="E199" s="1"/>
      <c r="F199" s="7"/>
      <c r="G199" s="1"/>
      <c r="H199" s="8"/>
      <c r="I199" s="9"/>
      <c r="J199" s="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1"/>
      <c r="C200" s="1"/>
      <c r="D200" s="1"/>
      <c r="E200" s="1"/>
      <c r="F200" s="7"/>
      <c r="G200" s="1"/>
      <c r="H200" s="8"/>
      <c r="I200" s="9"/>
      <c r="J200" s="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1"/>
      <c r="C201" s="1"/>
      <c r="D201" s="1"/>
      <c r="E201" s="1"/>
      <c r="F201" s="7"/>
      <c r="G201" s="1"/>
      <c r="H201" s="8"/>
      <c r="I201" s="9"/>
      <c r="J201" s="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1"/>
      <c r="C202" s="1"/>
      <c r="D202" s="1"/>
      <c r="E202" s="1"/>
      <c r="F202" s="7"/>
      <c r="G202" s="1"/>
      <c r="H202" s="8"/>
      <c r="I202" s="9"/>
      <c r="J202" s="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1"/>
      <c r="C203" s="1"/>
      <c r="D203" s="1"/>
      <c r="E203" s="1"/>
      <c r="F203" s="7"/>
      <c r="G203" s="1"/>
      <c r="H203" s="8"/>
      <c r="I203" s="9"/>
      <c r="J203" s="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1"/>
      <c r="C204" s="1"/>
      <c r="D204" s="1"/>
      <c r="E204" s="1"/>
      <c r="F204" s="7"/>
      <c r="G204" s="1"/>
      <c r="H204" s="8"/>
      <c r="I204" s="14"/>
      <c r="J204" s="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1"/>
      <c r="C205" s="1"/>
      <c r="D205" s="1"/>
      <c r="E205" s="1"/>
      <c r="F205" s="7"/>
      <c r="G205" s="1"/>
      <c r="H205" s="8"/>
      <c r="I205" s="9"/>
      <c r="J205" s="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1"/>
      <c r="C206" s="1"/>
      <c r="D206" s="1"/>
      <c r="E206" s="1"/>
      <c r="F206" s="7"/>
      <c r="G206" s="1"/>
      <c r="H206" s="8"/>
      <c r="I206" s="9"/>
      <c r="J206" s="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1"/>
      <c r="C207" s="1"/>
      <c r="D207" s="1"/>
      <c r="E207" s="1"/>
      <c r="F207" s="7"/>
      <c r="G207" s="1"/>
      <c r="H207" s="8"/>
      <c r="I207" s="9"/>
      <c r="J207" s="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1"/>
      <c r="C208" s="1"/>
      <c r="D208" s="1"/>
      <c r="E208" s="1"/>
      <c r="F208" s="7"/>
      <c r="G208" s="1"/>
      <c r="H208" s="8"/>
      <c r="I208" s="9"/>
      <c r="J208" s="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1"/>
      <c r="C209" s="1"/>
      <c r="D209" s="1"/>
      <c r="E209" s="1"/>
      <c r="F209" s="7"/>
      <c r="G209" s="1"/>
      <c r="H209" s="8"/>
      <c r="I209" s="9"/>
      <c r="J209" s="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1"/>
      <c r="C210" s="1"/>
      <c r="D210" s="1"/>
      <c r="E210" s="1"/>
      <c r="F210" s="7"/>
      <c r="G210" s="1"/>
      <c r="H210" s="8"/>
      <c r="I210" s="13"/>
      <c r="J210" s="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1"/>
      <c r="C211" s="1"/>
      <c r="D211" s="1"/>
      <c r="E211" s="1"/>
      <c r="F211" s="7"/>
      <c r="G211" s="1"/>
      <c r="H211" s="8"/>
      <c r="I211" s="13"/>
      <c r="J211" s="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1"/>
      <c r="C212" s="1"/>
      <c r="D212" s="1"/>
      <c r="E212" s="1"/>
      <c r="F212" s="1"/>
      <c r="G212" s="1"/>
      <c r="H212" s="8"/>
      <c r="I212" s="9"/>
      <c r="J212" s="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1"/>
      <c r="C213" s="1"/>
      <c r="D213" s="1"/>
      <c r="E213" s="1"/>
      <c r="F213" s="1"/>
      <c r="G213" s="1"/>
      <c r="H213" s="8"/>
      <c r="I213" s="9"/>
      <c r="J213" s="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1"/>
      <c r="C214" s="1"/>
      <c r="D214" s="1"/>
      <c r="E214" s="1"/>
      <c r="F214" s="1"/>
      <c r="G214" s="1"/>
      <c r="H214" s="8"/>
      <c r="I214" s="9"/>
      <c r="J214" s="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1"/>
      <c r="C215" s="1"/>
      <c r="D215" s="1"/>
      <c r="E215" s="1"/>
      <c r="F215" s="7"/>
      <c r="G215" s="1"/>
      <c r="H215" s="8"/>
      <c r="I215" s="9"/>
      <c r="J215" s="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1"/>
      <c r="C216" s="1"/>
      <c r="D216" s="1"/>
      <c r="E216" s="1"/>
      <c r="F216" s="7"/>
      <c r="G216" s="1"/>
      <c r="H216" s="8"/>
      <c r="I216" s="9"/>
      <c r="J216" s="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1"/>
      <c r="C217" s="1"/>
      <c r="D217" s="1"/>
      <c r="E217" s="1"/>
      <c r="F217" s="7"/>
      <c r="G217" s="1"/>
      <c r="H217" s="8"/>
      <c r="I217" s="9"/>
      <c r="J217" s="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1"/>
      <c r="C218" s="1"/>
      <c r="D218" s="1"/>
      <c r="E218" s="1"/>
      <c r="F218" s="1"/>
      <c r="G218" s="1"/>
      <c r="H218" s="8"/>
      <c r="I218" s="13"/>
      <c r="J218" s="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1"/>
      <c r="C219" s="1"/>
      <c r="D219" s="1"/>
      <c r="E219" s="1"/>
      <c r="F219" s="7"/>
      <c r="G219" s="1"/>
      <c r="H219" s="8"/>
      <c r="I219" s="9"/>
      <c r="J219" s="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1"/>
      <c r="C220" s="1"/>
      <c r="D220" s="1"/>
      <c r="E220" s="1"/>
      <c r="F220" s="7"/>
      <c r="G220" s="1"/>
      <c r="H220" s="8"/>
      <c r="I220" s="9"/>
      <c r="J220" s="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1"/>
      <c r="C221" s="1"/>
      <c r="D221" s="1"/>
      <c r="E221" s="1"/>
      <c r="F221" s="7"/>
      <c r="G221" s="1"/>
      <c r="H221" s="8"/>
      <c r="I221" s="9"/>
      <c r="J221" s="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/>
      <c r="B222" s="1"/>
      <c r="C222" s="1"/>
      <c r="D222" s="1"/>
      <c r="E222" s="1"/>
      <c r="F222" s="7"/>
      <c r="G222" s="1"/>
      <c r="H222" s="8"/>
      <c r="I222" s="9"/>
      <c r="J222" s="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/>
      <c r="B223" s="7"/>
      <c r="C223" s="7"/>
      <c r="D223" s="7"/>
      <c r="E223" s="7"/>
      <c r="F223" s="7"/>
      <c r="G223" s="7"/>
      <c r="H223" s="15"/>
      <c r="I223" s="13"/>
      <c r="J223" s="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7"/>
      <c r="C224" s="7"/>
      <c r="D224" s="7"/>
      <c r="E224" s="7"/>
      <c r="F224" s="7"/>
      <c r="G224" s="7"/>
      <c r="H224" s="15"/>
      <c r="I224" s="13"/>
      <c r="J224" s="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7"/>
      <c r="C225" s="7"/>
      <c r="D225" s="7"/>
      <c r="E225" s="7"/>
      <c r="F225" s="7"/>
      <c r="G225" s="7"/>
      <c r="H225" s="15"/>
      <c r="I225" s="13"/>
      <c r="J225" s="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7"/>
      <c r="C226" s="7"/>
      <c r="D226" s="7"/>
      <c r="E226" s="7"/>
      <c r="F226" s="7"/>
      <c r="G226" s="7"/>
      <c r="H226" s="15"/>
      <c r="I226" s="13"/>
      <c r="J226" s="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7"/>
      <c r="C227" s="7"/>
      <c r="D227" s="7"/>
      <c r="E227" s="7"/>
      <c r="F227" s="7"/>
      <c r="G227" s="7"/>
      <c r="H227" s="15"/>
      <c r="I227" s="13"/>
      <c r="J227" s="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7"/>
      <c r="C228" s="7"/>
      <c r="D228" s="7"/>
      <c r="E228" s="7"/>
      <c r="F228" s="7"/>
      <c r="G228" s="7"/>
      <c r="H228" s="15"/>
      <c r="I228" s="13"/>
      <c r="J228" s="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7"/>
      <c r="C229" s="7"/>
      <c r="D229" s="7"/>
      <c r="E229" s="7"/>
      <c r="F229" s="7"/>
      <c r="G229" s="7"/>
      <c r="H229" s="15"/>
      <c r="I229" s="13"/>
      <c r="J229" s="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7"/>
      <c r="C230" s="7"/>
      <c r="D230" s="7"/>
      <c r="E230" s="7"/>
      <c r="F230" s="7"/>
      <c r="G230" s="7"/>
      <c r="H230" s="15"/>
      <c r="I230" s="13"/>
      <c r="J230" s="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7"/>
      <c r="C231" s="7"/>
      <c r="D231" s="7"/>
      <c r="E231" s="7"/>
      <c r="F231" s="7"/>
      <c r="G231" s="7"/>
      <c r="H231" s="15"/>
      <c r="I231" s="13"/>
      <c r="J231" s="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7"/>
      <c r="C232" s="7"/>
      <c r="D232" s="7"/>
      <c r="E232" s="7"/>
      <c r="F232" s="7"/>
      <c r="G232" s="7"/>
      <c r="H232" s="15"/>
      <c r="I232" s="13"/>
      <c r="J232" s="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7"/>
      <c r="C233" s="7"/>
      <c r="D233" s="7"/>
      <c r="E233" s="7"/>
      <c r="F233" s="7"/>
      <c r="G233" s="7"/>
      <c r="H233" s="15"/>
      <c r="I233" s="13"/>
      <c r="J233" s="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16"/>
      <c r="I234" s="1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16"/>
      <c r="I235" s="1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16"/>
      <c r="I236" s="1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16"/>
      <c r="I237" s="1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16"/>
      <c r="I238" s="1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16"/>
      <c r="I239" s="1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16"/>
      <c r="I240" s="1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16"/>
      <c r="I241" s="1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16"/>
      <c r="I242" s="1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16"/>
      <c r="I243" s="1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12"/>
      <c r="D244" s="12"/>
      <c r="E244" s="12"/>
      <c r="F244" s="12"/>
      <c r="G244" s="12"/>
      <c r="H244" s="18"/>
      <c r="I244" s="1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12"/>
      <c r="C245" s="12"/>
      <c r="D245" s="12"/>
      <c r="E245" s="12"/>
      <c r="F245" s="12"/>
      <c r="G245" s="12"/>
      <c r="H245" s="18"/>
      <c r="I245" s="1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12"/>
      <c r="C246" s="5"/>
      <c r="D246" s="5"/>
      <c r="E246" s="5"/>
      <c r="F246" s="5"/>
      <c r="G246" s="5"/>
      <c r="H246" s="16"/>
      <c r="I246" s="1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12"/>
      <c r="C247" s="5"/>
      <c r="D247" s="5"/>
      <c r="E247" s="5"/>
      <c r="F247" s="5"/>
      <c r="G247" s="5"/>
      <c r="H247" s="16"/>
      <c r="I247" s="1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12"/>
      <c r="C248" s="5"/>
      <c r="D248" s="5"/>
      <c r="E248" s="5"/>
      <c r="F248" s="5"/>
      <c r="G248" s="5"/>
      <c r="H248" s="16"/>
      <c r="I248" s="1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12"/>
      <c r="C249" s="5"/>
      <c r="D249" s="5"/>
      <c r="E249" s="5"/>
      <c r="F249" s="5"/>
      <c r="G249" s="5"/>
      <c r="H249" s="16"/>
      <c r="I249" s="1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12"/>
      <c r="C250" s="5"/>
      <c r="D250" s="5"/>
      <c r="E250" s="5"/>
      <c r="F250" s="5"/>
      <c r="G250" s="5"/>
      <c r="H250" s="16"/>
      <c r="I250" s="1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12"/>
      <c r="C251" s="5"/>
      <c r="D251" s="5"/>
      <c r="E251" s="5"/>
      <c r="F251" s="5"/>
      <c r="G251" s="5"/>
      <c r="H251" s="16"/>
      <c r="I251" s="1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12"/>
      <c r="C252" s="5"/>
      <c r="D252" s="5"/>
      <c r="E252" s="5"/>
      <c r="F252" s="5"/>
      <c r="G252" s="5"/>
      <c r="H252" s="16"/>
      <c r="I252" s="1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12"/>
      <c r="C253" s="5"/>
      <c r="D253" s="5"/>
      <c r="E253" s="5"/>
      <c r="F253" s="5"/>
      <c r="G253" s="5"/>
      <c r="H253" s="16"/>
      <c r="I253" s="1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12"/>
      <c r="C254" s="5"/>
      <c r="D254" s="5"/>
      <c r="E254" s="5"/>
      <c r="F254" s="5"/>
      <c r="G254" s="5"/>
      <c r="H254" s="16"/>
      <c r="I254" s="1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12"/>
      <c r="C255" s="5"/>
      <c r="D255" s="5"/>
      <c r="E255" s="5"/>
      <c r="F255" s="5"/>
      <c r="G255" s="5"/>
      <c r="H255" s="16"/>
      <c r="I255" s="1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12"/>
      <c r="C256" s="5"/>
      <c r="D256" s="5"/>
      <c r="E256" s="5"/>
      <c r="F256" s="5"/>
      <c r="G256" s="5"/>
      <c r="H256" s="16"/>
      <c r="I256" s="1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16"/>
      <c r="I257" s="1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16"/>
      <c r="I258" s="1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16"/>
      <c r="I259" s="1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16"/>
      <c r="I260" s="1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16"/>
      <c r="I261" s="1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16"/>
      <c r="I262" s="1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16"/>
      <c r="I263" s="1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16"/>
      <c r="I264" s="1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16"/>
      <c r="I265" s="1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16"/>
      <c r="I266" s="1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16"/>
      <c r="I267" s="1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16"/>
      <c r="I268" s="1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16"/>
      <c r="I269" s="1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16"/>
      <c r="I270" s="1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16"/>
      <c r="I271" s="1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16"/>
      <c r="I272" s="1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16"/>
      <c r="I273" s="1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16"/>
      <c r="I274" s="1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16"/>
      <c r="I275" s="1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16"/>
      <c r="I276" s="1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16"/>
      <c r="I277" s="1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16"/>
      <c r="I278" s="1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16"/>
      <c r="I279" s="1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16"/>
      <c r="I280" s="1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16"/>
      <c r="I281" s="1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16"/>
      <c r="I282" s="1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16"/>
      <c r="I283" s="1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16"/>
      <c r="I284" s="1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16"/>
      <c r="I285" s="1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16"/>
      <c r="I286" s="1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16"/>
      <c r="I287" s="1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16"/>
      <c r="I288" s="1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16"/>
      <c r="I289" s="1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16"/>
      <c r="I290" s="1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16"/>
      <c r="I291" s="1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16"/>
      <c r="I292" s="1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16"/>
      <c r="I293" s="1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16"/>
      <c r="I294" s="1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16"/>
      <c r="I295" s="1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16"/>
      <c r="I296" s="1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16"/>
      <c r="I297" s="1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16"/>
      <c r="I298" s="1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16"/>
      <c r="I299" s="1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16"/>
      <c r="I300" s="1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16"/>
      <c r="I301" s="1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16"/>
      <c r="I302" s="1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16"/>
      <c r="I303" s="1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16"/>
      <c r="I304" s="1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16"/>
      <c r="I305" s="1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16"/>
      <c r="I306" s="1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16"/>
      <c r="I307" s="1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16"/>
      <c r="I308" s="1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16"/>
      <c r="I309" s="1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16"/>
      <c r="I310" s="1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16"/>
      <c r="I311" s="1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16"/>
      <c r="I312" s="1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16"/>
      <c r="I313" s="1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16"/>
      <c r="I314" s="1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16"/>
      <c r="I315" s="1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16"/>
      <c r="I316" s="1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16"/>
      <c r="I317" s="1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16"/>
      <c r="I318" s="1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16"/>
      <c r="I319" s="1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16"/>
      <c r="I320" s="1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16"/>
      <c r="I321" s="1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16"/>
      <c r="I322" s="1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16"/>
      <c r="I323" s="1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16"/>
      <c r="I324" s="1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16"/>
      <c r="I325" s="1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16"/>
      <c r="I326" s="1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16"/>
      <c r="I327" s="1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16"/>
      <c r="I328" s="1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16"/>
      <c r="I329" s="1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16"/>
      <c r="I330" s="1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16"/>
      <c r="I331" s="1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16"/>
      <c r="I332" s="1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16"/>
      <c r="I333" s="1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16"/>
      <c r="I334" s="1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16"/>
      <c r="I335" s="1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16"/>
      <c r="I336" s="1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16"/>
      <c r="I337" s="1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16"/>
      <c r="I338" s="1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16"/>
      <c r="I339" s="1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16"/>
      <c r="I340" s="1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16"/>
      <c r="I341" s="1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16"/>
      <c r="I342" s="1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16"/>
      <c r="I343" s="1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16"/>
      <c r="I344" s="1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16"/>
      <c r="I345" s="1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16"/>
      <c r="I346" s="1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16"/>
      <c r="I347" s="1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16"/>
      <c r="I348" s="1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16"/>
      <c r="I349" s="1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16"/>
      <c r="I350" s="1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16"/>
      <c r="I351" s="1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16"/>
      <c r="I352" s="1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16"/>
      <c r="I353" s="1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16"/>
      <c r="I354" s="1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16"/>
      <c r="I355" s="1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16"/>
      <c r="I356" s="1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16"/>
      <c r="I357" s="1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16"/>
      <c r="I358" s="1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16"/>
      <c r="I359" s="1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16"/>
      <c r="I360" s="1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16"/>
      <c r="I361" s="1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16"/>
      <c r="I362" s="1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16"/>
      <c r="I363" s="1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16"/>
      <c r="I364" s="1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16"/>
      <c r="I365" s="1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16"/>
      <c r="I366" s="1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16"/>
      <c r="I367" s="1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16"/>
      <c r="I368" s="1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16"/>
      <c r="I369" s="1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16"/>
      <c r="I370" s="1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16"/>
      <c r="I371" s="1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16"/>
      <c r="I372" s="1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16"/>
      <c r="I373" s="1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16"/>
      <c r="I374" s="1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16"/>
      <c r="I375" s="1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16"/>
      <c r="I376" s="1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16"/>
      <c r="I377" s="1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16"/>
      <c r="I378" s="1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16"/>
      <c r="I379" s="1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16"/>
      <c r="I380" s="1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16"/>
      <c r="I381" s="1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16"/>
      <c r="I382" s="1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16"/>
      <c r="I383" s="1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16"/>
      <c r="I384" s="1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16"/>
      <c r="I385" s="1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16"/>
      <c r="I386" s="1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16"/>
      <c r="I387" s="1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16"/>
      <c r="I388" s="1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16"/>
      <c r="I389" s="1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16"/>
      <c r="I390" s="1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16"/>
      <c r="I391" s="1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16"/>
      <c r="I392" s="1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16"/>
      <c r="I393" s="1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16"/>
      <c r="I394" s="1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16"/>
      <c r="I395" s="1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16"/>
      <c r="I396" s="1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16"/>
      <c r="I397" s="1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16"/>
      <c r="I398" s="1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16"/>
      <c r="I399" s="1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16"/>
      <c r="I400" s="1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16"/>
      <c r="I401" s="1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16"/>
      <c r="I402" s="1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16"/>
      <c r="I403" s="1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16"/>
      <c r="I404" s="1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16"/>
      <c r="I405" s="1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16"/>
      <c r="I406" s="1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16"/>
      <c r="I407" s="1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16"/>
      <c r="I408" s="1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16"/>
      <c r="I409" s="1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16"/>
      <c r="I410" s="1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16"/>
      <c r="I411" s="1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16"/>
      <c r="I412" s="1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16"/>
      <c r="I413" s="1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16"/>
      <c r="I414" s="1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16"/>
      <c r="I415" s="1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16"/>
      <c r="I416" s="1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16"/>
      <c r="I417" s="1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16"/>
      <c r="I418" s="1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16"/>
      <c r="I419" s="1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16"/>
      <c r="I420" s="1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16"/>
      <c r="I421" s="1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16"/>
      <c r="I422" s="1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16"/>
      <c r="I423" s="1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16"/>
      <c r="I424" s="1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16"/>
      <c r="I425" s="1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16"/>
      <c r="I426" s="1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16"/>
      <c r="I427" s="1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16"/>
      <c r="I428" s="1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16"/>
      <c r="I429" s="1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16"/>
      <c r="I430" s="1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16"/>
      <c r="I431" s="1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16"/>
      <c r="I432" s="1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16"/>
      <c r="I433" s="1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16"/>
      <c r="I434" s="1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16"/>
      <c r="I435" s="1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16"/>
      <c r="I436" s="1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16"/>
      <c r="I437" s="1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16"/>
      <c r="I438" s="1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16"/>
      <c r="I439" s="1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16"/>
      <c r="I440" s="1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16"/>
      <c r="I441" s="1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16"/>
      <c r="I442" s="1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16"/>
      <c r="I443" s="1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16"/>
      <c r="I444" s="1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16"/>
      <c r="I445" s="1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16"/>
      <c r="I446" s="1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16"/>
      <c r="I447" s="1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16"/>
      <c r="I448" s="1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16"/>
      <c r="I449" s="1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16"/>
      <c r="I450" s="1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16"/>
      <c r="I451" s="1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16"/>
      <c r="I452" s="1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16"/>
      <c r="I453" s="1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16"/>
      <c r="I454" s="1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16"/>
      <c r="I455" s="1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16"/>
      <c r="I456" s="1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16"/>
      <c r="I457" s="1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16"/>
      <c r="I458" s="1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16"/>
      <c r="I459" s="1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16"/>
      <c r="I460" s="1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16"/>
      <c r="I461" s="1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16"/>
      <c r="I462" s="1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16"/>
      <c r="I463" s="1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16"/>
      <c r="I464" s="1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16"/>
      <c r="I465" s="1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16"/>
      <c r="I466" s="1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16"/>
      <c r="I467" s="1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16"/>
      <c r="I468" s="1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16"/>
      <c r="I469" s="1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16"/>
      <c r="I470" s="1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16"/>
      <c r="I471" s="1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16"/>
      <c r="I472" s="1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16"/>
      <c r="I473" s="1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16"/>
      <c r="I474" s="1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16"/>
      <c r="I475" s="1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16"/>
      <c r="I476" s="1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16"/>
      <c r="I477" s="1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16"/>
      <c r="I478" s="1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16"/>
      <c r="I479" s="1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16"/>
      <c r="I480" s="1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16"/>
      <c r="I481" s="1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16"/>
      <c r="I482" s="1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16"/>
      <c r="I483" s="1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16"/>
      <c r="I484" s="1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16"/>
      <c r="I485" s="1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16"/>
      <c r="I486" s="1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16"/>
      <c r="I487" s="1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16"/>
      <c r="I488" s="1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16"/>
      <c r="I489" s="1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16"/>
      <c r="I490" s="1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16"/>
      <c r="I491" s="1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16"/>
      <c r="I492" s="1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16"/>
      <c r="I493" s="1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16"/>
      <c r="I494" s="1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16"/>
      <c r="I495" s="1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16"/>
      <c r="I496" s="1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16"/>
      <c r="I497" s="1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16"/>
      <c r="I498" s="1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16"/>
      <c r="I499" s="1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16"/>
      <c r="I500" s="1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16"/>
      <c r="I501" s="1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16"/>
      <c r="I502" s="1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16"/>
      <c r="I503" s="1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16"/>
      <c r="I504" s="1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16"/>
      <c r="I505" s="1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16"/>
      <c r="I506" s="1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16"/>
      <c r="I507" s="1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16"/>
      <c r="I508" s="1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16"/>
      <c r="I509" s="1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16"/>
      <c r="I510" s="1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16"/>
      <c r="I511" s="1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16"/>
      <c r="I512" s="1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16"/>
      <c r="I513" s="1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16"/>
      <c r="I514" s="1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16"/>
      <c r="I515" s="1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16"/>
      <c r="I516" s="1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16"/>
      <c r="I517" s="1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16"/>
      <c r="I518" s="1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16"/>
      <c r="I519" s="1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16"/>
      <c r="I520" s="1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16"/>
      <c r="I521" s="1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16"/>
      <c r="I522" s="1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16"/>
      <c r="I523" s="1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16"/>
      <c r="I524" s="1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16"/>
      <c r="I525" s="1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16"/>
      <c r="I526" s="1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16"/>
      <c r="I527" s="1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16"/>
      <c r="I528" s="1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16"/>
      <c r="I529" s="1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16"/>
      <c r="I530" s="1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16"/>
      <c r="I531" s="1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16"/>
      <c r="I532" s="1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16"/>
      <c r="I533" s="1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16"/>
      <c r="I534" s="1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16"/>
      <c r="I535" s="1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16"/>
      <c r="I536" s="1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16"/>
      <c r="I537" s="1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16"/>
      <c r="I538" s="1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16"/>
      <c r="I539" s="1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16"/>
      <c r="I540" s="1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16"/>
      <c r="I541" s="1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16"/>
      <c r="I542" s="1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16"/>
      <c r="I543" s="1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16"/>
      <c r="I544" s="1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16"/>
      <c r="I545" s="1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16"/>
      <c r="I546" s="1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16"/>
      <c r="I547" s="1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16"/>
      <c r="I548" s="1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16"/>
      <c r="I549" s="1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16"/>
      <c r="I550" s="1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16"/>
      <c r="I551" s="1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16"/>
      <c r="I552" s="1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16"/>
      <c r="I553" s="1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16"/>
      <c r="I554" s="1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16"/>
      <c r="I555" s="1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16"/>
      <c r="I556" s="1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16"/>
      <c r="I557" s="1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16"/>
      <c r="I558" s="1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16"/>
      <c r="I559" s="1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16"/>
      <c r="I560" s="1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16"/>
      <c r="I561" s="1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16"/>
      <c r="I562" s="1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16"/>
      <c r="I563" s="1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16"/>
      <c r="I564" s="1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16"/>
      <c r="I565" s="1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16"/>
      <c r="I566" s="1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16"/>
      <c r="I567" s="1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16"/>
      <c r="I568" s="1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16"/>
      <c r="I569" s="1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16"/>
      <c r="I570" s="1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16"/>
      <c r="I571" s="1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16"/>
      <c r="I572" s="1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16"/>
      <c r="I573" s="1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16"/>
      <c r="I574" s="1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16"/>
      <c r="I575" s="1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16"/>
      <c r="I576" s="1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16"/>
      <c r="I577" s="1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16"/>
      <c r="I578" s="1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16"/>
      <c r="I579" s="1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16"/>
      <c r="I580" s="1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16"/>
      <c r="I581" s="1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16"/>
      <c r="I582" s="1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16"/>
      <c r="I583" s="1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16"/>
      <c r="I584" s="1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16"/>
      <c r="I585" s="1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16"/>
      <c r="I586" s="1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16"/>
      <c r="I587" s="1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16"/>
      <c r="I588" s="1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16"/>
      <c r="I589" s="1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16"/>
      <c r="I590" s="1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16"/>
      <c r="I591" s="1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16"/>
      <c r="I592" s="1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16"/>
      <c r="I593" s="1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16"/>
      <c r="I594" s="1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16"/>
      <c r="I595" s="1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16"/>
      <c r="I596" s="1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16"/>
      <c r="I597" s="1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16"/>
      <c r="I598" s="1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16"/>
      <c r="I599" s="1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16"/>
      <c r="I600" s="1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16"/>
      <c r="I601" s="1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16"/>
      <c r="I602" s="1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16"/>
      <c r="I603" s="1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16"/>
      <c r="I604" s="1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16"/>
      <c r="I605" s="1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16"/>
      <c r="I606" s="1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16"/>
      <c r="I607" s="1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16"/>
      <c r="I608" s="1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16"/>
      <c r="I609" s="1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16"/>
      <c r="I610" s="1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16"/>
      <c r="I611" s="1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16"/>
      <c r="I612" s="1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16"/>
      <c r="I613" s="1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16"/>
      <c r="I614" s="1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16"/>
      <c r="I615" s="1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16"/>
      <c r="I616" s="1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16"/>
      <c r="I617" s="1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16"/>
      <c r="I618" s="1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16"/>
      <c r="I619" s="1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16"/>
      <c r="I620" s="1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16"/>
      <c r="I621" s="1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16"/>
      <c r="I622" s="1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16"/>
      <c r="I623" s="1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16"/>
      <c r="I624" s="1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16"/>
      <c r="I625" s="1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16"/>
      <c r="I626" s="1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16"/>
      <c r="I627" s="1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16"/>
      <c r="I628" s="1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16"/>
      <c r="I629" s="1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16"/>
      <c r="I630" s="1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16"/>
      <c r="I631" s="1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16"/>
      <c r="I632" s="1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16"/>
      <c r="I633" s="1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16"/>
      <c r="I634" s="1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16"/>
      <c r="I635" s="1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16"/>
      <c r="I636" s="1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16"/>
      <c r="I637" s="1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16"/>
      <c r="I638" s="1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16"/>
      <c r="I639" s="1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16"/>
      <c r="I640" s="1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16"/>
      <c r="I641" s="1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16"/>
      <c r="I642" s="1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16"/>
      <c r="I643" s="1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16"/>
      <c r="I644" s="1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16"/>
      <c r="I645" s="1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16"/>
      <c r="I646" s="1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16"/>
      <c r="I647" s="1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16"/>
      <c r="I648" s="1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16"/>
      <c r="I649" s="1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16"/>
      <c r="I650" s="1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16"/>
      <c r="I651" s="1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16"/>
      <c r="I652" s="1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16"/>
      <c r="I653" s="1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16"/>
      <c r="I654" s="1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16"/>
      <c r="I655" s="1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16"/>
      <c r="I656" s="1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16"/>
      <c r="I657" s="1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16"/>
      <c r="I658" s="1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16"/>
      <c r="I659" s="1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16"/>
      <c r="I660" s="1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16"/>
      <c r="I661" s="1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16"/>
      <c r="I662" s="1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16"/>
      <c r="I663" s="1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16"/>
      <c r="I664" s="1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16"/>
      <c r="I665" s="1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16"/>
      <c r="I666" s="1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16"/>
      <c r="I667" s="1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16"/>
      <c r="I668" s="1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16"/>
      <c r="I669" s="1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16"/>
      <c r="I670" s="1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16"/>
      <c r="I671" s="1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16"/>
      <c r="I672" s="1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16"/>
      <c r="I673" s="1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16"/>
      <c r="I674" s="1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16"/>
      <c r="I675" s="1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16"/>
      <c r="I676" s="1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16"/>
      <c r="I677" s="1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16"/>
      <c r="I678" s="1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16"/>
      <c r="I679" s="1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16"/>
      <c r="I680" s="1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16"/>
      <c r="I681" s="1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16"/>
      <c r="I682" s="1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16"/>
      <c r="I683" s="1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16"/>
      <c r="I684" s="1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16"/>
      <c r="I685" s="1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16"/>
      <c r="I686" s="1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16"/>
      <c r="I687" s="1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16"/>
      <c r="I688" s="1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16"/>
      <c r="I689" s="1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16"/>
      <c r="I690" s="1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16"/>
      <c r="I691" s="1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16"/>
      <c r="I692" s="1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16"/>
      <c r="I693" s="1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16"/>
      <c r="I694" s="1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16"/>
      <c r="I695" s="1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16"/>
      <c r="I696" s="1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16"/>
      <c r="I697" s="1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16"/>
      <c r="I698" s="1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16"/>
      <c r="I699" s="1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16"/>
      <c r="I700" s="1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16"/>
      <c r="I701" s="1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16"/>
      <c r="I702" s="1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16"/>
      <c r="I703" s="1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16"/>
      <c r="I704" s="1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16"/>
      <c r="I705" s="1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16"/>
      <c r="I706" s="1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16"/>
      <c r="I707" s="1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16"/>
      <c r="I708" s="1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16"/>
      <c r="I709" s="1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16"/>
      <c r="I710" s="1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16"/>
      <c r="I711" s="1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16"/>
      <c r="I712" s="1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16"/>
      <c r="I713" s="1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16"/>
      <c r="I714" s="1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16"/>
      <c r="I715" s="1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16"/>
      <c r="I716" s="1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16"/>
      <c r="I717" s="1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16"/>
      <c r="I718" s="1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16"/>
      <c r="I719" s="1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16"/>
      <c r="I720" s="1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16"/>
      <c r="I721" s="1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16"/>
      <c r="I722" s="1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16"/>
      <c r="I723" s="1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16"/>
      <c r="I724" s="1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16"/>
      <c r="I725" s="1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16"/>
      <c r="I726" s="1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16"/>
      <c r="I727" s="1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16"/>
      <c r="I728" s="1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16"/>
      <c r="I729" s="1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16"/>
      <c r="I730" s="1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16"/>
      <c r="I731" s="1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16"/>
      <c r="I732" s="1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16"/>
      <c r="I733" s="1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16"/>
      <c r="I734" s="1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16"/>
      <c r="I735" s="1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16"/>
      <c r="I736" s="1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16"/>
      <c r="I737" s="1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16"/>
      <c r="I738" s="1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16"/>
      <c r="I739" s="1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16"/>
      <c r="I740" s="1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16"/>
      <c r="I741" s="1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16"/>
      <c r="I742" s="1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16"/>
      <c r="I743" s="1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16"/>
      <c r="I744" s="1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16"/>
      <c r="I745" s="1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16"/>
      <c r="I746" s="1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16"/>
      <c r="I747" s="1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16"/>
      <c r="I748" s="1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16"/>
      <c r="I749" s="1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16"/>
      <c r="I750" s="1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16"/>
      <c r="I751" s="1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16"/>
      <c r="I752" s="1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16"/>
      <c r="I753" s="1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16"/>
      <c r="I754" s="1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16"/>
      <c r="I755" s="1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16"/>
      <c r="I756" s="1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16"/>
      <c r="I757" s="1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16"/>
      <c r="I758" s="1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16"/>
      <c r="I759" s="1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16"/>
      <c r="I760" s="1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16"/>
      <c r="I761" s="1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16"/>
      <c r="I762" s="1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16"/>
      <c r="I763" s="1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16"/>
      <c r="I764" s="1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16"/>
      <c r="I765" s="1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16"/>
      <c r="I766" s="1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16"/>
      <c r="I767" s="1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16"/>
      <c r="I768" s="1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16"/>
      <c r="I769" s="1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16"/>
      <c r="I770" s="1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16"/>
      <c r="I771" s="1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16"/>
      <c r="I772" s="1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16"/>
      <c r="I773" s="1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16"/>
      <c r="I774" s="1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16"/>
      <c r="I775" s="1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16"/>
      <c r="I776" s="1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16"/>
      <c r="I777" s="1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16"/>
      <c r="I778" s="1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16"/>
      <c r="I779" s="1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16"/>
      <c r="I780" s="1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16"/>
      <c r="I781" s="1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16"/>
      <c r="I782" s="1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16"/>
      <c r="I783" s="1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16"/>
      <c r="I784" s="1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16"/>
      <c r="I785" s="1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16"/>
      <c r="I786" s="1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16"/>
      <c r="I787" s="1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16"/>
      <c r="I788" s="1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16"/>
      <c r="I789" s="1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16"/>
      <c r="I790" s="1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16"/>
      <c r="I791" s="1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16"/>
      <c r="I792" s="1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16"/>
      <c r="I793" s="1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16"/>
      <c r="I794" s="1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16"/>
      <c r="I795" s="1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16"/>
      <c r="I796" s="1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16"/>
      <c r="I797" s="1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16"/>
      <c r="I798" s="1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16"/>
      <c r="I799" s="1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16"/>
      <c r="I800" s="1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16"/>
      <c r="I801" s="1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16"/>
      <c r="I802" s="1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16"/>
      <c r="I803" s="1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16"/>
      <c r="I804" s="1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16"/>
      <c r="I805" s="1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16"/>
      <c r="I806" s="1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16"/>
      <c r="I807" s="1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16"/>
      <c r="I808" s="1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16"/>
      <c r="I809" s="1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16"/>
      <c r="I810" s="1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16"/>
      <c r="I811" s="1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16"/>
      <c r="I812" s="1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16"/>
      <c r="I813" s="1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16"/>
      <c r="I814" s="1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16"/>
      <c r="I815" s="1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16"/>
      <c r="I816" s="1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16"/>
      <c r="I817" s="1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16"/>
      <c r="I818" s="1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16"/>
      <c r="I819" s="1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16"/>
      <c r="I820" s="1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16"/>
      <c r="I821" s="1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16"/>
      <c r="I822" s="1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16"/>
      <c r="I823" s="1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16"/>
      <c r="I824" s="1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16"/>
      <c r="I825" s="1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16"/>
      <c r="I826" s="1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16"/>
      <c r="I827" s="1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16"/>
      <c r="I828" s="1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16"/>
      <c r="I829" s="1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16"/>
      <c r="I830" s="1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16"/>
      <c r="I831" s="1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16"/>
      <c r="I832" s="1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16"/>
      <c r="I833" s="1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16"/>
      <c r="I834" s="1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16"/>
      <c r="I835" s="1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16"/>
      <c r="I836" s="1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16"/>
      <c r="I837" s="1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16"/>
      <c r="I838" s="1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16"/>
      <c r="I839" s="1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16"/>
      <c r="I840" s="1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16"/>
      <c r="I841" s="1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16"/>
      <c r="I842" s="1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16"/>
      <c r="I843" s="1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16"/>
      <c r="I844" s="1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16"/>
      <c r="I845" s="1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16"/>
      <c r="I846" s="1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16"/>
      <c r="I847" s="1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16"/>
      <c r="I848" s="1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16"/>
      <c r="I849" s="1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16"/>
      <c r="I850" s="1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16"/>
      <c r="I851" s="1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16"/>
      <c r="I852" s="1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16"/>
      <c r="I853" s="1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16"/>
      <c r="I854" s="1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16"/>
      <c r="I855" s="1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16"/>
      <c r="I856" s="1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16"/>
      <c r="I857" s="1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16"/>
      <c r="I858" s="1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16"/>
      <c r="I859" s="1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16"/>
      <c r="I860" s="1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16"/>
      <c r="I861" s="1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16"/>
      <c r="I862" s="1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16"/>
      <c r="I863" s="1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16"/>
      <c r="I864" s="1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16"/>
      <c r="I865" s="1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16"/>
      <c r="I866" s="1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16"/>
      <c r="I867" s="1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16"/>
      <c r="I868" s="1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16"/>
      <c r="I869" s="1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16"/>
      <c r="I870" s="1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16"/>
      <c r="I871" s="1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16"/>
      <c r="I872" s="1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16"/>
      <c r="I873" s="1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16"/>
      <c r="I874" s="1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16"/>
      <c r="I875" s="1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16"/>
      <c r="I876" s="1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16"/>
      <c r="I877" s="1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16"/>
      <c r="I878" s="1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16"/>
      <c r="I879" s="1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16"/>
      <c r="I880" s="1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16"/>
      <c r="I881" s="1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16"/>
      <c r="I882" s="1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16"/>
      <c r="I883" s="1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16"/>
      <c r="I884" s="1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16"/>
      <c r="I885" s="1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16"/>
      <c r="I886" s="1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16"/>
      <c r="I887" s="1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16"/>
      <c r="I888" s="1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16"/>
      <c r="I889" s="1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16"/>
      <c r="I890" s="1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16"/>
      <c r="I891" s="1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16"/>
      <c r="I892" s="1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16"/>
      <c r="I893" s="1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16"/>
      <c r="I894" s="1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16"/>
      <c r="I895" s="1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16"/>
      <c r="I896" s="1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16"/>
      <c r="I897" s="1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16"/>
      <c r="I898" s="1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16"/>
      <c r="I899" s="1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16"/>
      <c r="I900" s="1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16"/>
      <c r="I901" s="1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16"/>
      <c r="I902" s="1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16"/>
      <c r="I903" s="1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16"/>
      <c r="I904" s="1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16"/>
      <c r="I905" s="1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16"/>
      <c r="I906" s="1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16"/>
      <c r="I907" s="1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16"/>
      <c r="I908" s="1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16"/>
      <c r="I909" s="1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16"/>
      <c r="I910" s="1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16"/>
      <c r="I911" s="1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16"/>
      <c r="I912" s="1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16"/>
      <c r="I913" s="1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16"/>
      <c r="I914" s="1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16"/>
      <c r="I915" s="1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16"/>
      <c r="I916" s="1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16"/>
      <c r="I917" s="1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16"/>
      <c r="I918" s="1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16"/>
      <c r="I919" s="1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16"/>
      <c r="I920" s="1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16"/>
      <c r="I921" s="1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16"/>
      <c r="I922" s="1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16"/>
      <c r="I923" s="1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16"/>
      <c r="I924" s="1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16"/>
      <c r="I925" s="1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16"/>
      <c r="I926" s="1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16"/>
      <c r="I927" s="1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16"/>
      <c r="I928" s="1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16"/>
      <c r="I929" s="1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16"/>
      <c r="I930" s="1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16"/>
      <c r="I931" s="1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16"/>
      <c r="I932" s="1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16"/>
      <c r="I933" s="1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16"/>
      <c r="I934" s="1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16"/>
      <c r="I935" s="1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16"/>
      <c r="I936" s="1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16"/>
      <c r="I937" s="1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16"/>
      <c r="I938" s="1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16"/>
      <c r="I939" s="1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16"/>
      <c r="I940" s="1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16"/>
      <c r="I941" s="1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16"/>
      <c r="I942" s="1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16"/>
      <c r="I943" s="1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16"/>
      <c r="I944" s="1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16"/>
      <c r="I945" s="1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16"/>
      <c r="I946" s="1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16"/>
      <c r="I947" s="1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16"/>
      <c r="I948" s="1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16"/>
      <c r="I949" s="1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16"/>
      <c r="I950" s="1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16"/>
      <c r="I951" s="1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16"/>
      <c r="I952" s="1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16"/>
      <c r="I953" s="1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16"/>
      <c r="I954" s="1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16"/>
      <c r="I955" s="1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16"/>
      <c r="I956" s="1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16"/>
      <c r="I957" s="1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16"/>
      <c r="I958" s="1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16"/>
      <c r="I959" s="1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16"/>
      <c r="I960" s="1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16"/>
      <c r="I961" s="1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16"/>
      <c r="I962" s="1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16"/>
      <c r="I963" s="1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</sheetData>
  <autoFilter ref="$A$1:$Z$963"/>
  <dataValidations>
    <dataValidation type="list" allowBlank="1" showErrorMessage="1" sqref="D79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BERNA,SPRINGER SPANIEL"</formula1>
    </dataValidation>
    <dataValidation type="list" allowBlank="1" showErrorMessage="1" sqref="D2:D78 D80:D92 D94:D233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"</formula1>
    </dataValidation>
    <dataValidation type="list" allowBlank="1" showErrorMessage="1" sqref="G2:G233">
      <formula1>"LARGO,CORTO"</formula1>
    </dataValidation>
    <dataValidation type="list" allowBlank="1" showErrorMessage="1" sqref="D93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,PONSKY"</formula1>
    </dataValidation>
    <dataValidation type="list" allowBlank="1" showErrorMessage="1" sqref="J2:J233">
      <formula1>"MOÑO,MOÑOS,CORBATÍN,PAÑOLETA,NO"</formula1>
    </dataValidation>
    <dataValidation type="list" allowBlank="1" showErrorMessage="1" sqref="E2:E233">
      <formula1>"BAÑO EVA,FLASH BATH,CAT LOVER,EVA PRIMITIVO,EVA ALTERNATIVO,EVA'S GROOMING,STRIPPING,CORTE DE UÑAS,PEINADO,EVA LISO PERFECTO,SESIÓN DESENREDO,LIMPIEZA DENTAL PROFUNDA"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20.88"/>
    <col customWidth="1" min="4" max="4" width="19.88"/>
    <col customWidth="1" min="5" max="5" width="31.88"/>
    <col customWidth="1" min="6" max="6" width="21.25"/>
    <col customWidth="1" min="7" max="7" width="17.38"/>
    <col customWidth="1" min="8" max="8" width="11.75"/>
    <col customWidth="1" min="10" max="10" width="16.63"/>
  </cols>
  <sheetData>
    <row r="1">
      <c r="A1" s="20"/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3" t="s">
        <v>8</v>
      </c>
      <c r="J1" s="21" t="s">
        <v>518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>
        <v>46083.0</v>
      </c>
      <c r="B2" s="26"/>
      <c r="C2" s="26"/>
      <c r="D2" s="26"/>
      <c r="E2" s="26" t="s">
        <v>33</v>
      </c>
      <c r="F2" s="27"/>
      <c r="G2" s="26" t="s">
        <v>28</v>
      </c>
      <c r="H2" s="28">
        <v>16000.0</v>
      </c>
      <c r="I2" s="29"/>
      <c r="J2" s="26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>
        <v>46083.0</v>
      </c>
      <c r="B3" s="26"/>
      <c r="C3" s="26"/>
      <c r="D3" s="26"/>
      <c r="E3" s="26" t="s">
        <v>33</v>
      </c>
      <c r="F3" s="27"/>
      <c r="G3" s="26"/>
      <c r="H3" s="28">
        <v>12000.0</v>
      </c>
      <c r="I3" s="29"/>
      <c r="J3" s="26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>
        <v>46083.0</v>
      </c>
      <c r="B4" s="26" t="s">
        <v>519</v>
      </c>
      <c r="C4" s="26" t="s">
        <v>520</v>
      </c>
      <c r="D4" s="26" t="s">
        <v>207</v>
      </c>
      <c r="E4" s="26" t="s">
        <v>157</v>
      </c>
      <c r="F4" s="27"/>
      <c r="G4" s="26" t="s">
        <v>14</v>
      </c>
      <c r="H4" s="28">
        <v>150000.0</v>
      </c>
      <c r="I4" s="26">
        <v>22.9</v>
      </c>
      <c r="J4" s="26" t="s">
        <v>15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>
        <v>46083.0</v>
      </c>
      <c r="B5" s="26" t="s">
        <v>521</v>
      </c>
      <c r="C5" s="26" t="s">
        <v>522</v>
      </c>
      <c r="D5" s="26" t="s">
        <v>12</v>
      </c>
      <c r="E5" s="26" t="s">
        <v>13</v>
      </c>
      <c r="F5" s="27"/>
      <c r="G5" s="26" t="s">
        <v>14</v>
      </c>
      <c r="H5" s="28">
        <v>69000.0</v>
      </c>
      <c r="I5" s="26">
        <v>3.1</v>
      </c>
      <c r="J5" s="26" t="s">
        <v>15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>
        <v>46083.0</v>
      </c>
      <c r="B6" s="26" t="s">
        <v>523</v>
      </c>
      <c r="C6" s="26" t="s">
        <v>524</v>
      </c>
      <c r="D6" s="26" t="s">
        <v>32</v>
      </c>
      <c r="E6" s="26" t="s">
        <v>13</v>
      </c>
      <c r="F6" s="27"/>
      <c r="G6" s="26" t="s">
        <v>28</v>
      </c>
      <c r="H6" s="28">
        <v>60000.0</v>
      </c>
      <c r="I6" s="29">
        <v>10.9</v>
      </c>
      <c r="J6" s="26" t="s">
        <v>15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>
        <v>46083.0</v>
      </c>
      <c r="B7" s="26" t="s">
        <v>525</v>
      </c>
      <c r="C7" s="26" t="s">
        <v>526</v>
      </c>
      <c r="D7" s="26" t="s">
        <v>12</v>
      </c>
      <c r="E7" s="26" t="s">
        <v>13</v>
      </c>
      <c r="F7" s="26"/>
      <c r="G7" s="26" t="s">
        <v>14</v>
      </c>
      <c r="H7" s="28">
        <v>86000.0</v>
      </c>
      <c r="I7" s="29">
        <v>4.1</v>
      </c>
      <c r="J7" s="26" t="s">
        <v>15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>
        <v>46083.0</v>
      </c>
      <c r="B8" s="26" t="s">
        <v>527</v>
      </c>
      <c r="C8" s="26" t="s">
        <v>222</v>
      </c>
      <c r="D8" s="26" t="s">
        <v>528</v>
      </c>
      <c r="E8" s="26" t="s">
        <v>13</v>
      </c>
      <c r="F8" s="27"/>
      <c r="G8" s="26" t="s">
        <v>28</v>
      </c>
      <c r="H8" s="28">
        <v>79000.0</v>
      </c>
      <c r="I8" s="29">
        <v>24.4</v>
      </c>
      <c r="J8" s="26" t="s">
        <v>96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>
        <v>46083.0</v>
      </c>
      <c r="B9" s="26" t="s">
        <v>104</v>
      </c>
      <c r="C9" s="26" t="s">
        <v>105</v>
      </c>
      <c r="D9" s="26" t="s">
        <v>12</v>
      </c>
      <c r="E9" s="26" t="s">
        <v>23</v>
      </c>
      <c r="F9" s="27"/>
      <c r="G9" s="26" t="s">
        <v>14</v>
      </c>
      <c r="H9" s="28">
        <v>80000.0</v>
      </c>
      <c r="I9" s="29"/>
      <c r="J9" s="26" t="s">
        <v>15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>
        <v>46083.0</v>
      </c>
      <c r="B10" s="26" t="s">
        <v>529</v>
      </c>
      <c r="C10" s="26" t="s">
        <v>530</v>
      </c>
      <c r="D10" s="26" t="s">
        <v>12</v>
      </c>
      <c r="E10" s="26" t="s">
        <v>23</v>
      </c>
      <c r="F10" s="27"/>
      <c r="G10" s="26"/>
      <c r="H10" s="28">
        <v>89000.0</v>
      </c>
      <c r="I10" s="29"/>
      <c r="J10" s="26" t="s">
        <v>96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>
        <v>46083.0</v>
      </c>
      <c r="B11" s="26" t="s">
        <v>531</v>
      </c>
      <c r="C11" s="26" t="s">
        <v>170</v>
      </c>
      <c r="D11" s="26" t="s">
        <v>145</v>
      </c>
      <c r="E11" s="26" t="s">
        <v>13</v>
      </c>
      <c r="F11" s="27"/>
      <c r="G11" s="26" t="s">
        <v>28</v>
      </c>
      <c r="H11" s="28">
        <v>55000.0</v>
      </c>
      <c r="I11" s="26">
        <v>6.0</v>
      </c>
      <c r="J11" s="26" t="s">
        <v>15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>
        <v>46084.0</v>
      </c>
      <c r="B12" s="26" t="s">
        <v>532</v>
      </c>
      <c r="C12" s="26" t="s">
        <v>533</v>
      </c>
      <c r="D12" s="26" t="s">
        <v>27</v>
      </c>
      <c r="E12" s="26" t="s">
        <v>13</v>
      </c>
      <c r="F12" s="27"/>
      <c r="G12" s="26" t="s">
        <v>14</v>
      </c>
      <c r="H12" s="28">
        <v>70000.0</v>
      </c>
      <c r="I12" s="29">
        <v>4.4</v>
      </c>
      <c r="J12" s="26" t="s">
        <v>96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>
        <v>46084.0</v>
      </c>
      <c r="B13" s="26" t="s">
        <v>291</v>
      </c>
      <c r="C13" s="26" t="s">
        <v>534</v>
      </c>
      <c r="D13" s="26" t="s">
        <v>535</v>
      </c>
      <c r="E13" s="26" t="s">
        <v>157</v>
      </c>
      <c r="F13" s="26"/>
      <c r="G13" s="26" t="s">
        <v>14</v>
      </c>
      <c r="H13" s="28">
        <v>96000.0</v>
      </c>
      <c r="I13" s="29">
        <v>26.0</v>
      </c>
      <c r="J13" s="26" t="s">
        <v>15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>
        <v>46084.0</v>
      </c>
      <c r="B14" s="30" t="s">
        <v>536</v>
      </c>
      <c r="C14" s="26" t="s">
        <v>537</v>
      </c>
      <c r="D14" s="26" t="s">
        <v>27</v>
      </c>
      <c r="E14" s="26" t="s">
        <v>13</v>
      </c>
      <c r="F14" s="26"/>
      <c r="G14" s="26" t="s">
        <v>28</v>
      </c>
      <c r="H14" s="28">
        <v>66000.0</v>
      </c>
      <c r="I14" s="29">
        <v>16.4</v>
      </c>
      <c r="J14" s="26" t="s">
        <v>15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>
        <v>46084.0</v>
      </c>
      <c r="B15" s="26" t="s">
        <v>538</v>
      </c>
      <c r="C15" s="26" t="s">
        <v>539</v>
      </c>
      <c r="D15" s="26" t="s">
        <v>173</v>
      </c>
      <c r="E15" s="26" t="s">
        <v>13</v>
      </c>
      <c r="F15" s="27"/>
      <c r="G15" s="26" t="s">
        <v>28</v>
      </c>
      <c r="H15" s="28">
        <v>79000.0</v>
      </c>
      <c r="I15" s="29">
        <v>23.7</v>
      </c>
      <c r="J15" s="26" t="s">
        <v>96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>
        <v>46084.0</v>
      </c>
      <c r="B16" s="26" t="s">
        <v>540</v>
      </c>
      <c r="C16" s="26" t="s">
        <v>212</v>
      </c>
      <c r="D16" s="26" t="s">
        <v>27</v>
      </c>
      <c r="E16" s="26" t="s">
        <v>13</v>
      </c>
      <c r="F16" s="27"/>
      <c r="G16" s="26" t="s">
        <v>14</v>
      </c>
      <c r="H16" s="28">
        <v>76000.0</v>
      </c>
      <c r="I16" s="29">
        <v>6.4</v>
      </c>
      <c r="J16" s="26" t="s">
        <v>15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5">
        <v>46084.0</v>
      </c>
      <c r="B17" s="1" t="s">
        <v>301</v>
      </c>
      <c r="C17" s="1" t="s">
        <v>302</v>
      </c>
      <c r="D17" s="1" t="s">
        <v>36</v>
      </c>
      <c r="E17" s="1" t="s">
        <v>13</v>
      </c>
      <c r="F17" s="7"/>
      <c r="G17" s="1" t="s">
        <v>28</v>
      </c>
      <c r="H17" s="8">
        <v>66000.0</v>
      </c>
      <c r="I17" s="29">
        <v>13.0</v>
      </c>
      <c r="J17" s="26" t="s">
        <v>15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>
        <v>46084.0</v>
      </c>
      <c r="B18" s="26" t="s">
        <v>541</v>
      </c>
      <c r="C18" s="26" t="s">
        <v>542</v>
      </c>
      <c r="D18" s="26" t="s">
        <v>543</v>
      </c>
      <c r="E18" s="26" t="s">
        <v>13</v>
      </c>
      <c r="F18" s="27"/>
      <c r="G18" s="26" t="s">
        <v>28</v>
      </c>
      <c r="H18" s="28">
        <v>60000.0</v>
      </c>
      <c r="I18" s="29">
        <v>18.5</v>
      </c>
      <c r="J18" s="26" t="s">
        <v>15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5">
        <v>46084.0</v>
      </c>
      <c r="B19" s="26" t="s">
        <v>541</v>
      </c>
      <c r="C19" s="26" t="s">
        <v>544</v>
      </c>
      <c r="D19" s="26" t="s">
        <v>109</v>
      </c>
      <c r="E19" s="26" t="s">
        <v>13</v>
      </c>
      <c r="F19" s="27"/>
      <c r="G19" s="26" t="s">
        <v>28</v>
      </c>
      <c r="H19" s="28">
        <v>36000.0</v>
      </c>
      <c r="I19" s="29">
        <v>5.2</v>
      </c>
      <c r="J19" s="26" t="s">
        <v>15</v>
      </c>
      <c r="K19" s="24"/>
      <c r="L19" s="30" t="s">
        <v>545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>
        <v>46084.0</v>
      </c>
      <c r="B20" s="26" t="s">
        <v>546</v>
      </c>
      <c r="C20" s="26" t="s">
        <v>547</v>
      </c>
      <c r="D20" s="26" t="s">
        <v>22</v>
      </c>
      <c r="E20" s="26" t="s">
        <v>23</v>
      </c>
      <c r="F20" s="27"/>
      <c r="G20" s="26" t="s">
        <v>14</v>
      </c>
      <c r="H20" s="28">
        <v>66000.0</v>
      </c>
      <c r="I20" s="29">
        <v>3.0</v>
      </c>
      <c r="J20" s="26" t="s">
        <v>15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>
        <v>46084.0</v>
      </c>
      <c r="B21" s="26" t="s">
        <v>546</v>
      </c>
      <c r="C21" s="26" t="s">
        <v>548</v>
      </c>
      <c r="D21" s="26" t="s">
        <v>22</v>
      </c>
      <c r="E21" s="26" t="s">
        <v>23</v>
      </c>
      <c r="F21" s="27"/>
      <c r="G21" s="26" t="s">
        <v>14</v>
      </c>
      <c r="H21" s="28">
        <v>66000.0</v>
      </c>
      <c r="I21" s="29">
        <v>4.5</v>
      </c>
      <c r="J21" s="26" t="s">
        <v>96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>
        <v>46084.0</v>
      </c>
      <c r="B22" s="26" t="s">
        <v>546</v>
      </c>
      <c r="C22" s="26" t="s">
        <v>549</v>
      </c>
      <c r="D22" s="26" t="s">
        <v>22</v>
      </c>
      <c r="E22" s="26" t="s">
        <v>23</v>
      </c>
      <c r="F22" s="27"/>
      <c r="G22" s="26" t="s">
        <v>14</v>
      </c>
      <c r="H22" s="28">
        <v>66000.0</v>
      </c>
      <c r="I22" s="29">
        <v>3.5</v>
      </c>
      <c r="J22" s="26" t="s">
        <v>15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5">
        <v>46084.0</v>
      </c>
      <c r="B23" s="26" t="s">
        <v>546</v>
      </c>
      <c r="C23" s="26" t="s">
        <v>550</v>
      </c>
      <c r="D23" s="26" t="s">
        <v>22</v>
      </c>
      <c r="E23" s="26" t="s">
        <v>23</v>
      </c>
      <c r="F23" s="27"/>
      <c r="G23" s="26" t="s">
        <v>14</v>
      </c>
      <c r="H23" s="28">
        <v>66000.0</v>
      </c>
      <c r="I23" s="29">
        <v>4.7</v>
      </c>
      <c r="J23" s="26" t="s">
        <v>15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>
        <v>46084.0</v>
      </c>
      <c r="B24" s="26" t="s">
        <v>546</v>
      </c>
      <c r="C24" s="26" t="s">
        <v>320</v>
      </c>
      <c r="D24" s="26" t="s">
        <v>22</v>
      </c>
      <c r="E24" s="26" t="s">
        <v>23</v>
      </c>
      <c r="F24" s="27"/>
      <c r="G24" s="26" t="s">
        <v>14</v>
      </c>
      <c r="H24" s="28">
        <v>66000.0</v>
      </c>
      <c r="I24" s="29">
        <v>4.5</v>
      </c>
      <c r="J24" s="26" t="s">
        <v>15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5">
        <v>46084.0</v>
      </c>
      <c r="B25" s="26"/>
      <c r="C25" s="26" t="s">
        <v>551</v>
      </c>
      <c r="D25" s="26" t="s">
        <v>36</v>
      </c>
      <c r="E25" s="26" t="s">
        <v>13</v>
      </c>
      <c r="F25" s="27"/>
      <c r="G25" s="26" t="s">
        <v>28</v>
      </c>
      <c r="H25" s="28">
        <v>66000.0</v>
      </c>
      <c r="I25" s="29">
        <v>12.5</v>
      </c>
      <c r="J25" s="26" t="s">
        <v>15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>
        <v>46085.0</v>
      </c>
      <c r="B26" s="26" t="s">
        <v>552</v>
      </c>
      <c r="C26" s="26" t="s">
        <v>553</v>
      </c>
      <c r="D26" s="26" t="s">
        <v>27</v>
      </c>
      <c r="E26" s="26" t="s">
        <v>73</v>
      </c>
      <c r="F26" s="26"/>
      <c r="G26" s="26" t="s">
        <v>28</v>
      </c>
      <c r="H26" s="28">
        <v>149000.0</v>
      </c>
      <c r="I26" s="29">
        <v>13.8</v>
      </c>
      <c r="J26" s="26" t="s">
        <v>34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5">
        <v>46085.0</v>
      </c>
      <c r="B27" s="26" t="s">
        <v>554</v>
      </c>
      <c r="C27" s="26" t="s">
        <v>555</v>
      </c>
      <c r="D27" s="26" t="s">
        <v>22</v>
      </c>
      <c r="E27" s="26" t="s">
        <v>23</v>
      </c>
      <c r="F27" s="27"/>
      <c r="G27" s="26" t="s">
        <v>14</v>
      </c>
      <c r="H27" s="28">
        <v>86000.0</v>
      </c>
      <c r="I27" s="29">
        <v>3.6</v>
      </c>
      <c r="J27" s="26" t="s">
        <v>15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>
        <v>46085.0</v>
      </c>
      <c r="B28" s="26" t="s">
        <v>167</v>
      </c>
      <c r="C28" s="26" t="s">
        <v>168</v>
      </c>
      <c r="D28" s="26" t="s">
        <v>82</v>
      </c>
      <c r="E28" s="26" t="s">
        <v>13</v>
      </c>
      <c r="F28" s="27"/>
      <c r="G28" s="26" t="s">
        <v>28</v>
      </c>
      <c r="H28" s="28">
        <v>60000.0</v>
      </c>
      <c r="I28" s="29">
        <v>11.0</v>
      </c>
      <c r="J28" s="26" t="s">
        <v>15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>
        <v>46085.0</v>
      </c>
      <c r="B29" s="26" t="s">
        <v>556</v>
      </c>
      <c r="C29" s="26" t="s">
        <v>439</v>
      </c>
      <c r="D29" s="26" t="s">
        <v>36</v>
      </c>
      <c r="E29" s="26" t="s">
        <v>13</v>
      </c>
      <c r="F29" s="27"/>
      <c r="G29" s="26" t="s">
        <v>14</v>
      </c>
      <c r="H29" s="28">
        <v>60000.0</v>
      </c>
      <c r="I29" s="29">
        <v>10.0</v>
      </c>
      <c r="J29" s="26" t="s">
        <v>15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>
        <v>46086.0</v>
      </c>
      <c r="B30" s="26" t="s">
        <v>557</v>
      </c>
      <c r="C30" s="26" t="s">
        <v>558</v>
      </c>
      <c r="D30" s="26" t="s">
        <v>72</v>
      </c>
      <c r="E30" s="26" t="s">
        <v>73</v>
      </c>
      <c r="F30" s="27"/>
      <c r="G30" s="26" t="s">
        <v>28</v>
      </c>
      <c r="H30" s="28">
        <v>139000.0</v>
      </c>
      <c r="I30" s="29">
        <v>4.0</v>
      </c>
      <c r="J30" s="26" t="s">
        <v>34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>
        <v>46086.0</v>
      </c>
      <c r="B31" s="26" t="s">
        <v>559</v>
      </c>
      <c r="C31" s="26" t="s">
        <v>318</v>
      </c>
      <c r="D31" s="26" t="s">
        <v>54</v>
      </c>
      <c r="E31" s="26" t="s">
        <v>13</v>
      </c>
      <c r="F31" s="27"/>
      <c r="G31" s="26" t="s">
        <v>14</v>
      </c>
      <c r="H31" s="28">
        <v>90000.0</v>
      </c>
      <c r="I31" s="29">
        <v>35.0</v>
      </c>
      <c r="J31" s="26" t="s">
        <v>15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5">
        <v>46086.0</v>
      </c>
      <c r="B32" s="26" t="s">
        <v>10</v>
      </c>
      <c r="C32" s="26" t="s">
        <v>11</v>
      </c>
      <c r="D32" s="26" t="s">
        <v>12</v>
      </c>
      <c r="E32" s="26" t="s">
        <v>13</v>
      </c>
      <c r="F32" s="27"/>
      <c r="G32" s="26" t="s">
        <v>14</v>
      </c>
      <c r="H32" s="28">
        <v>79000.0</v>
      </c>
      <c r="I32" s="29">
        <v>5.6</v>
      </c>
      <c r="J32" s="26" t="s">
        <v>96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5">
        <v>46086.0</v>
      </c>
      <c r="B33" s="26" t="s">
        <v>560</v>
      </c>
      <c r="C33" s="26" t="s">
        <v>50</v>
      </c>
      <c r="D33" s="26" t="s">
        <v>12</v>
      </c>
      <c r="E33" s="26" t="s">
        <v>23</v>
      </c>
      <c r="F33" s="27"/>
      <c r="G33" s="26" t="s">
        <v>14</v>
      </c>
      <c r="H33" s="28">
        <v>69000.0</v>
      </c>
      <c r="I33" s="29">
        <v>4.0</v>
      </c>
      <c r="J33" s="26" t="s">
        <v>15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>
        <v>46086.0</v>
      </c>
      <c r="B34" s="26" t="s">
        <v>561</v>
      </c>
      <c r="C34" s="26" t="s">
        <v>562</v>
      </c>
      <c r="D34" s="26" t="s">
        <v>12</v>
      </c>
      <c r="E34" s="26" t="s">
        <v>13</v>
      </c>
      <c r="F34" s="27"/>
      <c r="G34" s="26" t="s">
        <v>14</v>
      </c>
      <c r="H34" s="28">
        <v>69000.0</v>
      </c>
      <c r="I34" s="29">
        <v>3.7</v>
      </c>
      <c r="J34" s="26" t="s">
        <v>24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5">
        <v>46087.0</v>
      </c>
      <c r="B35" s="26" t="s">
        <v>557</v>
      </c>
      <c r="C35" s="26" t="s">
        <v>185</v>
      </c>
      <c r="D35" s="26" t="s">
        <v>150</v>
      </c>
      <c r="E35" s="26" t="s">
        <v>13</v>
      </c>
      <c r="F35" s="26"/>
      <c r="G35" s="26" t="s">
        <v>14</v>
      </c>
      <c r="H35" s="28">
        <v>90000.0</v>
      </c>
      <c r="I35" s="29">
        <v>20.0</v>
      </c>
      <c r="J35" s="26" t="s">
        <v>96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>
        <v>46087.0</v>
      </c>
      <c r="B36" s="26" t="s">
        <v>563</v>
      </c>
      <c r="C36" s="26" t="s">
        <v>365</v>
      </c>
      <c r="D36" s="26" t="s">
        <v>257</v>
      </c>
      <c r="E36" s="26" t="s">
        <v>247</v>
      </c>
      <c r="F36" s="26"/>
      <c r="G36" s="26" t="s">
        <v>14</v>
      </c>
      <c r="H36" s="28">
        <v>89000.0</v>
      </c>
      <c r="I36" s="29"/>
      <c r="J36" s="26" t="s">
        <v>15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5">
        <v>46087.0</v>
      </c>
      <c r="B37" s="26" t="s">
        <v>86</v>
      </c>
      <c r="C37" s="26" t="s">
        <v>212</v>
      </c>
      <c r="D37" s="26" t="s">
        <v>88</v>
      </c>
      <c r="E37" s="26" t="s">
        <v>23</v>
      </c>
      <c r="F37" s="27"/>
      <c r="G37" s="26" t="s">
        <v>14</v>
      </c>
      <c r="H37" s="28">
        <v>140000.0</v>
      </c>
      <c r="I37" s="29"/>
      <c r="J37" s="26" t="s">
        <v>24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5">
        <v>46087.0</v>
      </c>
      <c r="B38" s="26"/>
      <c r="C38" s="26"/>
      <c r="D38" s="26"/>
      <c r="E38" s="26" t="s">
        <v>33</v>
      </c>
      <c r="F38" s="27"/>
      <c r="G38" s="26" t="s">
        <v>28</v>
      </c>
      <c r="H38" s="28">
        <v>16000.0</v>
      </c>
      <c r="I38" s="29"/>
      <c r="J38" s="26" t="s">
        <v>34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5">
        <v>46087.0</v>
      </c>
      <c r="B39" s="26" t="s">
        <v>564</v>
      </c>
      <c r="C39" s="26" t="s">
        <v>342</v>
      </c>
      <c r="D39" s="26" t="s">
        <v>565</v>
      </c>
      <c r="E39" s="26" t="s">
        <v>23</v>
      </c>
      <c r="F39" s="26"/>
      <c r="G39" s="26" t="s">
        <v>14</v>
      </c>
      <c r="H39" s="28">
        <v>130000.0</v>
      </c>
      <c r="I39" s="29">
        <v>39.0</v>
      </c>
      <c r="J39" s="26" t="s">
        <v>15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5">
        <v>46087.0</v>
      </c>
      <c r="B40" s="26" t="s">
        <v>566</v>
      </c>
      <c r="C40" s="26" t="s">
        <v>567</v>
      </c>
      <c r="D40" s="26" t="s">
        <v>27</v>
      </c>
      <c r="E40" s="26" t="s">
        <v>13</v>
      </c>
      <c r="F40" s="27"/>
      <c r="G40" s="26" t="s">
        <v>14</v>
      </c>
      <c r="H40" s="28">
        <v>69000.0</v>
      </c>
      <c r="I40" s="29">
        <v>1.9</v>
      </c>
      <c r="J40" s="26" t="s">
        <v>15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5">
        <v>46087.0</v>
      </c>
      <c r="B41" s="26" t="s">
        <v>568</v>
      </c>
      <c r="C41" s="26" t="s">
        <v>381</v>
      </c>
      <c r="D41" s="26" t="s">
        <v>156</v>
      </c>
      <c r="E41" s="26" t="s">
        <v>23</v>
      </c>
      <c r="F41" s="27"/>
      <c r="G41" s="26" t="s">
        <v>14</v>
      </c>
      <c r="H41" s="28">
        <v>89000.0</v>
      </c>
      <c r="I41" s="29">
        <v>7.8</v>
      </c>
      <c r="J41" s="26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5">
        <v>46088.0</v>
      </c>
      <c r="B42" s="26" t="s">
        <v>232</v>
      </c>
      <c r="C42" s="26" t="s">
        <v>569</v>
      </c>
      <c r="D42" s="26" t="s">
        <v>27</v>
      </c>
      <c r="E42" s="26" t="s">
        <v>23</v>
      </c>
      <c r="F42" s="27"/>
      <c r="G42" s="26" t="s">
        <v>14</v>
      </c>
      <c r="H42" s="28">
        <v>76000.0</v>
      </c>
      <c r="I42" s="29">
        <v>12.3</v>
      </c>
      <c r="J42" s="26" t="s">
        <v>96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5">
        <v>46088.0</v>
      </c>
      <c r="B43" s="26" t="s">
        <v>570</v>
      </c>
      <c r="C43" s="26" t="s">
        <v>571</v>
      </c>
      <c r="D43" s="26" t="s">
        <v>166</v>
      </c>
      <c r="E43" s="26" t="s">
        <v>23</v>
      </c>
      <c r="F43" s="27"/>
      <c r="G43" s="26" t="s">
        <v>14</v>
      </c>
      <c r="H43" s="28">
        <v>86000.0</v>
      </c>
      <c r="I43" s="29">
        <v>21.6</v>
      </c>
      <c r="J43" s="26" t="s">
        <v>96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5">
        <v>46088.0</v>
      </c>
      <c r="B44" s="26" t="s">
        <v>572</v>
      </c>
      <c r="C44" s="26" t="s">
        <v>573</v>
      </c>
      <c r="D44" s="26" t="s">
        <v>156</v>
      </c>
      <c r="E44" s="26" t="s">
        <v>13</v>
      </c>
      <c r="F44" s="27"/>
      <c r="G44" s="26" t="s">
        <v>14</v>
      </c>
      <c r="H44" s="28">
        <v>60000.0</v>
      </c>
      <c r="I44" s="29">
        <v>3.4</v>
      </c>
      <c r="J44" s="26" t="s">
        <v>15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5">
        <v>46088.0</v>
      </c>
      <c r="B45" s="26" t="s">
        <v>572</v>
      </c>
      <c r="C45" s="26" t="s">
        <v>574</v>
      </c>
      <c r="D45" s="26" t="s">
        <v>156</v>
      </c>
      <c r="E45" s="26" t="s">
        <v>13</v>
      </c>
      <c r="F45" s="26"/>
      <c r="G45" s="26" t="s">
        <v>14</v>
      </c>
      <c r="H45" s="28">
        <v>60000.0</v>
      </c>
      <c r="I45" s="29">
        <v>5.1</v>
      </c>
      <c r="J45" s="26" t="s">
        <v>15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5">
        <v>46088.0</v>
      </c>
      <c r="B46" s="26" t="s">
        <v>572</v>
      </c>
      <c r="C46" s="26" t="s">
        <v>219</v>
      </c>
      <c r="D46" s="26" t="s">
        <v>156</v>
      </c>
      <c r="E46" s="26" t="s">
        <v>13</v>
      </c>
      <c r="F46" s="27"/>
      <c r="G46" s="26" t="s">
        <v>14</v>
      </c>
      <c r="H46" s="28">
        <v>60000.0</v>
      </c>
      <c r="I46" s="29">
        <v>4.0</v>
      </c>
      <c r="J46" s="26" t="s">
        <v>15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5">
        <v>46088.0</v>
      </c>
      <c r="B47" s="26" t="s">
        <v>16</v>
      </c>
      <c r="C47" s="26" t="s">
        <v>231</v>
      </c>
      <c r="D47" s="26" t="s">
        <v>18</v>
      </c>
      <c r="E47" s="26" t="s">
        <v>23</v>
      </c>
      <c r="F47" s="27"/>
      <c r="G47" s="26" t="s">
        <v>14</v>
      </c>
      <c r="H47" s="28">
        <v>210000.0</v>
      </c>
      <c r="I47" s="29"/>
      <c r="J47" s="26" t="s">
        <v>96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5">
        <v>46088.0</v>
      </c>
      <c r="B48" s="26" t="s">
        <v>575</v>
      </c>
      <c r="C48" s="26" t="s">
        <v>576</v>
      </c>
      <c r="D48" s="26" t="s">
        <v>18</v>
      </c>
      <c r="E48" s="26" t="s">
        <v>23</v>
      </c>
      <c r="F48" s="27"/>
      <c r="G48" s="26" t="s">
        <v>14</v>
      </c>
      <c r="H48" s="28">
        <v>79000.0</v>
      </c>
      <c r="I48" s="29">
        <v>18.7</v>
      </c>
      <c r="J48" s="26" t="s">
        <v>15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5">
        <v>46088.0</v>
      </c>
      <c r="B49" s="26" t="s">
        <v>577</v>
      </c>
      <c r="C49" s="26" t="s">
        <v>133</v>
      </c>
      <c r="D49" s="26" t="s">
        <v>12</v>
      </c>
      <c r="E49" s="26" t="s">
        <v>13</v>
      </c>
      <c r="F49" s="27"/>
      <c r="G49" s="26" t="s">
        <v>14</v>
      </c>
      <c r="H49" s="28">
        <v>74000.0</v>
      </c>
      <c r="I49" s="29">
        <v>4.6</v>
      </c>
      <c r="J49" s="26" t="s">
        <v>24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5">
        <v>46088.0</v>
      </c>
      <c r="B50" s="26" t="s">
        <v>578</v>
      </c>
      <c r="C50" s="26" t="s">
        <v>579</v>
      </c>
      <c r="D50" s="26" t="s">
        <v>27</v>
      </c>
      <c r="E50" s="26" t="s">
        <v>23</v>
      </c>
      <c r="F50" s="27"/>
      <c r="G50" s="26" t="s">
        <v>14</v>
      </c>
      <c r="H50" s="28">
        <v>79000.0</v>
      </c>
      <c r="I50" s="29">
        <v>6.1</v>
      </c>
      <c r="J50" s="26" t="s">
        <v>15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5">
        <v>46088.0</v>
      </c>
      <c r="B51" s="26" t="s">
        <v>580</v>
      </c>
      <c r="C51" s="26" t="s">
        <v>581</v>
      </c>
      <c r="D51" s="26" t="s">
        <v>18</v>
      </c>
      <c r="E51" s="26" t="s">
        <v>23</v>
      </c>
      <c r="F51" s="27"/>
      <c r="G51" s="26" t="s">
        <v>14</v>
      </c>
      <c r="H51" s="28">
        <v>79000.0</v>
      </c>
      <c r="I51" s="29">
        <v>17.7</v>
      </c>
      <c r="J51" s="26" t="s">
        <v>15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>
        <v>46088.0</v>
      </c>
      <c r="B52" s="26" t="s">
        <v>582</v>
      </c>
      <c r="C52" s="26" t="s">
        <v>583</v>
      </c>
      <c r="D52" s="26" t="s">
        <v>82</v>
      </c>
      <c r="E52" s="26" t="s">
        <v>13</v>
      </c>
      <c r="F52" s="27"/>
      <c r="G52" s="26" t="s">
        <v>28</v>
      </c>
      <c r="H52" s="28">
        <v>59000.0</v>
      </c>
      <c r="I52" s="29"/>
      <c r="J52" s="26" t="s">
        <v>15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5">
        <v>46088.0</v>
      </c>
      <c r="B53" s="26" t="s">
        <v>347</v>
      </c>
      <c r="C53" s="26" t="s">
        <v>348</v>
      </c>
      <c r="D53" s="26" t="s">
        <v>173</v>
      </c>
      <c r="E53" s="26" t="s">
        <v>13</v>
      </c>
      <c r="F53" s="27"/>
      <c r="G53" s="26" t="s">
        <v>28</v>
      </c>
      <c r="H53" s="28">
        <v>70000.0</v>
      </c>
      <c r="I53" s="29">
        <v>29.0</v>
      </c>
      <c r="J53" s="26" t="s">
        <v>15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5">
        <v>46088.0</v>
      </c>
      <c r="B54" s="26" t="s">
        <v>584</v>
      </c>
      <c r="C54" s="26" t="s">
        <v>585</v>
      </c>
      <c r="D54" s="26" t="s">
        <v>27</v>
      </c>
      <c r="E54" s="26" t="s">
        <v>13</v>
      </c>
      <c r="F54" s="27"/>
      <c r="G54" s="26" t="s">
        <v>28</v>
      </c>
      <c r="H54" s="28">
        <v>55000.0</v>
      </c>
      <c r="I54" s="29">
        <v>10.6</v>
      </c>
      <c r="J54" s="26" t="s">
        <v>15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5">
        <v>46088.0</v>
      </c>
      <c r="B55" s="26" t="s">
        <v>586</v>
      </c>
      <c r="C55" s="26" t="s">
        <v>332</v>
      </c>
      <c r="D55" s="26" t="s">
        <v>109</v>
      </c>
      <c r="E55" s="26" t="s">
        <v>13</v>
      </c>
      <c r="F55" s="27"/>
      <c r="G55" s="26" t="s">
        <v>28</v>
      </c>
      <c r="H55" s="28">
        <v>36000.0</v>
      </c>
      <c r="I55" s="29"/>
      <c r="J55" s="26" t="s">
        <v>15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>
        <v>46088.0</v>
      </c>
      <c r="B56" s="26"/>
      <c r="C56" s="26"/>
      <c r="D56" s="26"/>
      <c r="E56" s="26" t="s">
        <v>33</v>
      </c>
      <c r="F56" s="27"/>
      <c r="G56" s="26" t="s">
        <v>28</v>
      </c>
      <c r="H56" s="28">
        <v>16000.0</v>
      </c>
      <c r="I56" s="29"/>
      <c r="J56" s="26" t="s">
        <v>34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5">
        <v>46090.0</v>
      </c>
      <c r="B57" s="26" t="s">
        <v>401</v>
      </c>
      <c r="C57" s="26" t="s">
        <v>128</v>
      </c>
      <c r="D57" s="26" t="s">
        <v>109</v>
      </c>
      <c r="E57" s="26" t="s">
        <v>73</v>
      </c>
      <c r="F57" s="27"/>
      <c r="G57" s="26" t="s">
        <v>28</v>
      </c>
      <c r="H57" s="28">
        <v>139000.0</v>
      </c>
      <c r="I57" s="29"/>
      <c r="J57" s="26" t="s">
        <v>34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5">
        <v>46090.0</v>
      </c>
      <c r="B58" s="26" t="s">
        <v>587</v>
      </c>
      <c r="C58" s="26" t="s">
        <v>588</v>
      </c>
      <c r="D58" s="26" t="s">
        <v>124</v>
      </c>
      <c r="E58" s="26" t="s">
        <v>23</v>
      </c>
      <c r="F58" s="27"/>
      <c r="G58" s="26" t="s">
        <v>14</v>
      </c>
      <c r="H58" s="28">
        <v>85000.0</v>
      </c>
      <c r="I58" s="29"/>
      <c r="J58" s="26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5">
        <v>46090.0</v>
      </c>
      <c r="B59" s="26" t="s">
        <v>119</v>
      </c>
      <c r="C59" s="26" t="s">
        <v>589</v>
      </c>
      <c r="D59" s="26" t="s">
        <v>54</v>
      </c>
      <c r="E59" s="26" t="s">
        <v>13</v>
      </c>
      <c r="F59" s="27"/>
      <c r="G59" s="26" t="s">
        <v>14</v>
      </c>
      <c r="H59" s="28">
        <v>89000.0</v>
      </c>
      <c r="I59" s="29">
        <v>36.5</v>
      </c>
      <c r="J59" s="26" t="s">
        <v>24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>
        <v>46090.0</v>
      </c>
      <c r="B60" s="26" t="s">
        <v>590</v>
      </c>
      <c r="C60" s="26" t="s">
        <v>591</v>
      </c>
      <c r="D60" s="26" t="s">
        <v>27</v>
      </c>
      <c r="E60" s="26" t="s">
        <v>13</v>
      </c>
      <c r="F60" s="27"/>
      <c r="G60" s="26" t="s">
        <v>28</v>
      </c>
      <c r="H60" s="28">
        <v>66000.0</v>
      </c>
      <c r="I60" s="29"/>
      <c r="J60" s="26" t="s">
        <v>15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>
        <v>46091.0</v>
      </c>
      <c r="B61" s="26" t="s">
        <v>592</v>
      </c>
      <c r="C61" s="26" t="s">
        <v>593</v>
      </c>
      <c r="D61" s="26" t="s">
        <v>12</v>
      </c>
      <c r="E61" s="26" t="s">
        <v>23</v>
      </c>
      <c r="F61" s="26"/>
      <c r="G61" s="26" t="s">
        <v>14</v>
      </c>
      <c r="H61" s="28">
        <v>100000.0</v>
      </c>
      <c r="I61" s="29">
        <v>9.7</v>
      </c>
      <c r="J61" s="26" t="s">
        <v>15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>
        <v>46091.0</v>
      </c>
      <c r="B62" s="26" t="s">
        <v>594</v>
      </c>
      <c r="C62" s="26" t="s">
        <v>369</v>
      </c>
      <c r="D62" s="26" t="s">
        <v>27</v>
      </c>
      <c r="E62" s="26" t="s">
        <v>13</v>
      </c>
      <c r="F62" s="27"/>
      <c r="G62" s="26" t="s">
        <v>28</v>
      </c>
      <c r="H62" s="28">
        <v>79000.0</v>
      </c>
      <c r="I62" s="29">
        <v>31.0</v>
      </c>
      <c r="J62" s="26" t="s">
        <v>15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5">
        <v>46091.0</v>
      </c>
      <c r="B63" s="26" t="s">
        <v>595</v>
      </c>
      <c r="C63" s="26" t="s">
        <v>471</v>
      </c>
      <c r="D63" s="26" t="s">
        <v>262</v>
      </c>
      <c r="E63" s="26" t="s">
        <v>23</v>
      </c>
      <c r="F63" s="27"/>
      <c r="G63" s="26" t="s">
        <v>14</v>
      </c>
      <c r="H63" s="28" t="s">
        <v>596</v>
      </c>
      <c r="I63" s="29">
        <v>7.2</v>
      </c>
      <c r="J63" s="26" t="s">
        <v>15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5">
        <v>46091.0</v>
      </c>
      <c r="B64" s="26" t="s">
        <v>597</v>
      </c>
      <c r="C64" s="26" t="s">
        <v>598</v>
      </c>
      <c r="D64" s="26" t="s">
        <v>22</v>
      </c>
      <c r="E64" s="26" t="s">
        <v>13</v>
      </c>
      <c r="F64" s="27"/>
      <c r="G64" s="26" t="s">
        <v>14</v>
      </c>
      <c r="H64" s="28">
        <v>76000.0</v>
      </c>
      <c r="I64" s="29">
        <v>4.8</v>
      </c>
      <c r="J64" s="26" t="s">
        <v>24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5">
        <v>46091.0</v>
      </c>
      <c r="B65" s="26" t="s">
        <v>599</v>
      </c>
      <c r="C65" s="26" t="s">
        <v>553</v>
      </c>
      <c r="D65" s="26" t="s">
        <v>54</v>
      </c>
      <c r="E65" s="26" t="s">
        <v>13</v>
      </c>
      <c r="F65" s="27"/>
      <c r="G65" s="26" t="s">
        <v>14</v>
      </c>
      <c r="H65" s="28">
        <v>90000.0</v>
      </c>
      <c r="I65" s="29">
        <v>41.3</v>
      </c>
      <c r="J65" s="26" t="s">
        <v>15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5">
        <v>46091.0</v>
      </c>
      <c r="B66" s="26" t="s">
        <v>238</v>
      </c>
      <c r="C66" s="26" t="s">
        <v>239</v>
      </c>
      <c r="D66" s="26" t="s">
        <v>12</v>
      </c>
      <c r="E66" s="26" t="s">
        <v>13</v>
      </c>
      <c r="F66" s="27"/>
      <c r="G66" s="26" t="s">
        <v>14</v>
      </c>
      <c r="H66" s="28">
        <v>69000.0</v>
      </c>
      <c r="I66" s="29"/>
      <c r="J66" s="26" t="s">
        <v>15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5">
        <v>46091.0</v>
      </c>
      <c r="B67" s="26"/>
      <c r="C67" s="26"/>
      <c r="D67" s="26"/>
      <c r="E67" s="26" t="s">
        <v>33</v>
      </c>
      <c r="F67" s="27"/>
      <c r="G67" s="26"/>
      <c r="H67" s="28">
        <v>16000.0</v>
      </c>
      <c r="I67" s="26"/>
      <c r="J67" s="26" t="s">
        <v>34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5">
        <v>46092.0</v>
      </c>
      <c r="B68" s="26" t="s">
        <v>61</v>
      </c>
      <c r="C68" s="26" t="s">
        <v>115</v>
      </c>
      <c r="D68" s="26" t="s">
        <v>63</v>
      </c>
      <c r="E68" s="26" t="s">
        <v>13</v>
      </c>
      <c r="F68" s="27"/>
      <c r="G68" s="26"/>
      <c r="H68" s="28">
        <v>69000.0</v>
      </c>
      <c r="I68" s="29">
        <v>3.9</v>
      </c>
      <c r="J68" s="26" t="s">
        <v>15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5">
        <v>46092.0</v>
      </c>
      <c r="B69" s="26" t="s">
        <v>600</v>
      </c>
      <c r="C69" s="26" t="s">
        <v>332</v>
      </c>
      <c r="D69" s="26" t="s">
        <v>12</v>
      </c>
      <c r="E69" s="26" t="s">
        <v>13</v>
      </c>
      <c r="F69" s="27"/>
      <c r="G69" s="26" t="s">
        <v>14</v>
      </c>
      <c r="H69" s="28">
        <v>70000.0</v>
      </c>
      <c r="I69" s="29">
        <v>3.3</v>
      </c>
      <c r="J69" s="26" t="s">
        <v>15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>
        <v>46092.0</v>
      </c>
      <c r="B70" s="26" t="s">
        <v>142</v>
      </c>
      <c r="C70" s="26" t="s">
        <v>307</v>
      </c>
      <c r="D70" s="26" t="s">
        <v>156</v>
      </c>
      <c r="E70" s="26" t="s">
        <v>13</v>
      </c>
      <c r="F70" s="27"/>
      <c r="G70" s="26" t="s">
        <v>14</v>
      </c>
      <c r="H70" s="28">
        <v>69000.0</v>
      </c>
      <c r="I70" s="29">
        <v>2.9</v>
      </c>
      <c r="J70" s="26" t="s">
        <v>15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5">
        <v>46092.0</v>
      </c>
      <c r="B71" s="26" t="s">
        <v>142</v>
      </c>
      <c r="C71" s="26" t="s">
        <v>331</v>
      </c>
      <c r="D71" s="26" t="s">
        <v>156</v>
      </c>
      <c r="E71" s="26" t="s">
        <v>13</v>
      </c>
      <c r="F71" s="27"/>
      <c r="G71" s="26" t="s">
        <v>14</v>
      </c>
      <c r="H71" s="28">
        <v>69000.0</v>
      </c>
      <c r="I71" s="29"/>
      <c r="J71" s="26" t="s">
        <v>15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>
        <v>46092.0</v>
      </c>
      <c r="B72" s="26" t="s">
        <v>601</v>
      </c>
      <c r="C72" s="26" t="s">
        <v>602</v>
      </c>
      <c r="D72" s="26" t="s">
        <v>603</v>
      </c>
      <c r="E72" s="26" t="s">
        <v>23</v>
      </c>
      <c r="F72" s="27"/>
      <c r="G72" s="26" t="s">
        <v>14</v>
      </c>
      <c r="H72" s="28">
        <v>86000.0</v>
      </c>
      <c r="I72" s="29">
        <v>6.9</v>
      </c>
      <c r="J72" s="26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5">
        <v>46092.0</v>
      </c>
      <c r="B73" s="26" t="s">
        <v>387</v>
      </c>
      <c r="C73" s="26" t="s">
        <v>604</v>
      </c>
      <c r="D73" s="26" t="s">
        <v>18</v>
      </c>
      <c r="E73" s="26" t="s">
        <v>23</v>
      </c>
      <c r="F73" s="27"/>
      <c r="G73" s="26" t="s">
        <v>14</v>
      </c>
      <c r="H73" s="28">
        <v>80000.0</v>
      </c>
      <c r="I73" s="29"/>
      <c r="J73" s="26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>
        <v>46092.0</v>
      </c>
      <c r="B74" s="26" t="s">
        <v>605</v>
      </c>
      <c r="C74" s="26" t="s">
        <v>465</v>
      </c>
      <c r="D74" s="26" t="s">
        <v>124</v>
      </c>
      <c r="E74" s="26" t="s">
        <v>23</v>
      </c>
      <c r="F74" s="26"/>
      <c r="G74" s="26" t="s">
        <v>14</v>
      </c>
      <c r="H74" s="28">
        <v>96000.0</v>
      </c>
      <c r="I74" s="29">
        <v>6.2</v>
      </c>
      <c r="J74" s="26" t="s">
        <v>38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5">
        <v>46092.0</v>
      </c>
      <c r="B75" s="26" t="s">
        <v>276</v>
      </c>
      <c r="C75" s="26" t="s">
        <v>606</v>
      </c>
      <c r="D75" s="26" t="s">
        <v>36</v>
      </c>
      <c r="E75" s="26" t="s">
        <v>13</v>
      </c>
      <c r="F75" s="27"/>
      <c r="G75" s="26" t="s">
        <v>28</v>
      </c>
      <c r="H75" s="28">
        <v>66000.0</v>
      </c>
      <c r="I75" s="29">
        <v>13.4</v>
      </c>
      <c r="J75" s="26" t="s">
        <v>15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5">
        <v>46092.0</v>
      </c>
      <c r="B76" s="26"/>
      <c r="C76" s="26"/>
      <c r="D76" s="26"/>
      <c r="E76" s="26" t="s">
        <v>33</v>
      </c>
      <c r="F76" s="27"/>
      <c r="G76" s="26" t="s">
        <v>14</v>
      </c>
      <c r="H76" s="28">
        <v>22000.0</v>
      </c>
      <c r="I76" s="29"/>
      <c r="J76" s="26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5">
        <v>46093.0</v>
      </c>
      <c r="B77" s="26" t="s">
        <v>607</v>
      </c>
      <c r="C77" s="26" t="s">
        <v>608</v>
      </c>
      <c r="D77" s="26" t="s">
        <v>109</v>
      </c>
      <c r="E77" s="26" t="s">
        <v>73</v>
      </c>
      <c r="F77" s="27"/>
      <c r="G77" s="26" t="s">
        <v>28</v>
      </c>
      <c r="H77" s="28">
        <v>120000.0</v>
      </c>
      <c r="I77" s="29"/>
      <c r="J77" s="26" t="s">
        <v>34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>
        <v>46093.0</v>
      </c>
      <c r="B78" s="26" t="s">
        <v>607</v>
      </c>
      <c r="C78" s="26" t="s">
        <v>228</v>
      </c>
      <c r="D78" s="26" t="s">
        <v>109</v>
      </c>
      <c r="E78" s="26" t="s">
        <v>73</v>
      </c>
      <c r="F78" s="27"/>
      <c r="G78" s="26" t="s">
        <v>28</v>
      </c>
      <c r="H78" s="28">
        <v>120000.0</v>
      </c>
      <c r="I78" s="29"/>
      <c r="J78" s="26" t="s">
        <v>34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5">
        <v>46093.0</v>
      </c>
      <c r="B79" s="26" t="s">
        <v>609</v>
      </c>
      <c r="C79" s="26" t="s">
        <v>56</v>
      </c>
      <c r="D79" s="26" t="s">
        <v>57</v>
      </c>
      <c r="E79" s="26" t="s">
        <v>13</v>
      </c>
      <c r="F79" s="27"/>
      <c r="G79" s="26" t="s">
        <v>28</v>
      </c>
      <c r="H79" s="28">
        <v>75000.0</v>
      </c>
      <c r="I79" s="29">
        <v>20.0</v>
      </c>
      <c r="J79" s="26" t="s">
        <v>15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>
        <v>46093.0</v>
      </c>
      <c r="B80" s="26" t="s">
        <v>609</v>
      </c>
      <c r="C80" s="26" t="s">
        <v>58</v>
      </c>
      <c r="D80" s="26" t="s">
        <v>57</v>
      </c>
      <c r="E80" s="26" t="s">
        <v>13</v>
      </c>
      <c r="F80" s="27"/>
      <c r="G80" s="26" t="s">
        <v>28</v>
      </c>
      <c r="H80" s="28">
        <v>75000.0</v>
      </c>
      <c r="I80" s="26">
        <v>24.0</v>
      </c>
      <c r="J80" s="26" t="s">
        <v>15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5">
        <v>46093.0</v>
      </c>
      <c r="B81" s="26" t="s">
        <v>610</v>
      </c>
      <c r="C81" s="26" t="s">
        <v>611</v>
      </c>
      <c r="D81" s="26" t="s">
        <v>27</v>
      </c>
      <c r="E81" s="26" t="s">
        <v>13</v>
      </c>
      <c r="F81" s="27"/>
      <c r="G81" s="26" t="s">
        <v>28</v>
      </c>
      <c r="H81" s="28">
        <v>59000.0</v>
      </c>
      <c r="I81" s="29">
        <v>13.1</v>
      </c>
      <c r="J81" s="26" t="s">
        <v>96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5">
        <v>46093.0</v>
      </c>
      <c r="B82" s="26" t="s">
        <v>612</v>
      </c>
      <c r="C82" s="26" t="s">
        <v>136</v>
      </c>
      <c r="D82" s="26" t="s">
        <v>22</v>
      </c>
      <c r="E82" s="26" t="s">
        <v>23</v>
      </c>
      <c r="F82" s="27"/>
      <c r="G82" s="26" t="s">
        <v>14</v>
      </c>
      <c r="H82" s="28">
        <v>79000.0</v>
      </c>
      <c r="I82" s="26">
        <v>6.5</v>
      </c>
      <c r="J82" s="26" t="s">
        <v>15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5">
        <v>46093.0</v>
      </c>
      <c r="B83" s="26" t="s">
        <v>613</v>
      </c>
      <c r="C83" s="26" t="s">
        <v>459</v>
      </c>
      <c r="D83" s="26" t="s">
        <v>12</v>
      </c>
      <c r="E83" s="26" t="s">
        <v>13</v>
      </c>
      <c r="F83" s="27"/>
      <c r="G83" s="26" t="s">
        <v>14</v>
      </c>
      <c r="H83" s="28">
        <v>66000.0</v>
      </c>
      <c r="I83" s="29">
        <v>2.3</v>
      </c>
      <c r="J83" s="26" t="s">
        <v>15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>
        <v>46093.0</v>
      </c>
      <c r="B84" s="26" t="s">
        <v>614</v>
      </c>
      <c r="C84" s="26" t="s">
        <v>615</v>
      </c>
      <c r="D84" s="26" t="s">
        <v>150</v>
      </c>
      <c r="E84" s="26" t="s">
        <v>13</v>
      </c>
      <c r="F84" s="27"/>
      <c r="G84" s="26" t="s">
        <v>14</v>
      </c>
      <c r="H84" s="28">
        <v>96000.0</v>
      </c>
      <c r="I84" s="29">
        <v>26.0</v>
      </c>
      <c r="J84" s="26" t="s">
        <v>15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5">
        <v>46094.0</v>
      </c>
      <c r="B85" s="26" t="s">
        <v>138</v>
      </c>
      <c r="C85" s="26" t="s">
        <v>139</v>
      </c>
      <c r="D85" s="26" t="s">
        <v>12</v>
      </c>
      <c r="E85" s="26" t="s">
        <v>23</v>
      </c>
      <c r="F85" s="26"/>
      <c r="G85" s="26" t="s">
        <v>14</v>
      </c>
      <c r="H85" s="28">
        <v>75000.0</v>
      </c>
      <c r="I85" s="29">
        <v>4.4</v>
      </c>
      <c r="J85" s="26" t="s">
        <v>38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>
        <v>46094.0</v>
      </c>
      <c r="B86" s="26" t="s">
        <v>616</v>
      </c>
      <c r="C86" s="26" t="s">
        <v>617</v>
      </c>
      <c r="D86" s="26" t="s">
        <v>156</v>
      </c>
      <c r="E86" s="26" t="s">
        <v>23</v>
      </c>
      <c r="F86" s="27"/>
      <c r="G86" s="26" t="s">
        <v>14</v>
      </c>
      <c r="H86" s="28">
        <v>86000.0</v>
      </c>
      <c r="I86" s="29">
        <v>8.7</v>
      </c>
      <c r="J86" s="26" t="s">
        <v>15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5">
        <v>46095.0</v>
      </c>
      <c r="B87" s="26" t="s">
        <v>618</v>
      </c>
      <c r="C87" s="26" t="s">
        <v>619</v>
      </c>
      <c r="D87" s="26" t="s">
        <v>18</v>
      </c>
      <c r="E87" s="26" t="s">
        <v>23</v>
      </c>
      <c r="F87" s="27"/>
      <c r="G87" s="26" t="s">
        <v>14</v>
      </c>
      <c r="H87" s="28">
        <v>90000.0</v>
      </c>
      <c r="I87" s="29">
        <v>16.0</v>
      </c>
      <c r="J87" s="26" t="s">
        <v>15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5">
        <v>46095.0</v>
      </c>
      <c r="B88" s="26" t="s">
        <v>151</v>
      </c>
      <c r="C88" s="26" t="s">
        <v>363</v>
      </c>
      <c r="D88" s="26" t="s">
        <v>12</v>
      </c>
      <c r="E88" s="26" t="s">
        <v>13</v>
      </c>
      <c r="F88" s="27"/>
      <c r="G88" s="26" t="s">
        <v>14</v>
      </c>
      <c r="H88" s="28">
        <v>79000.0</v>
      </c>
      <c r="I88" s="29">
        <v>5.7</v>
      </c>
      <c r="J88" s="26" t="s">
        <v>15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5">
        <v>46095.0</v>
      </c>
      <c r="B89" s="26" t="s">
        <v>620</v>
      </c>
      <c r="C89" s="26" t="s">
        <v>179</v>
      </c>
      <c r="D89" s="26" t="s">
        <v>22</v>
      </c>
      <c r="E89" s="26" t="s">
        <v>23</v>
      </c>
      <c r="F89" s="27"/>
      <c r="G89" s="26" t="s">
        <v>14</v>
      </c>
      <c r="H89" s="28">
        <v>86000.0</v>
      </c>
      <c r="I89" s="29">
        <v>4.5</v>
      </c>
      <c r="J89" s="26" t="s">
        <v>15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>
        <v>46095.0</v>
      </c>
      <c r="B90" s="26" t="s">
        <v>80</v>
      </c>
      <c r="C90" s="26" t="s">
        <v>81</v>
      </c>
      <c r="D90" s="26" t="s">
        <v>82</v>
      </c>
      <c r="E90" s="26" t="s">
        <v>13</v>
      </c>
      <c r="F90" s="27"/>
      <c r="G90" s="26" t="s">
        <v>28</v>
      </c>
      <c r="H90" s="28">
        <v>60000.0</v>
      </c>
      <c r="I90" s="29">
        <v>16.2</v>
      </c>
      <c r="J90" s="26" t="s">
        <v>15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5">
        <v>46095.0</v>
      </c>
      <c r="B91" s="26" t="s">
        <v>137</v>
      </c>
      <c r="C91" s="26" t="s">
        <v>17</v>
      </c>
      <c r="D91" s="26" t="s">
        <v>18</v>
      </c>
      <c r="E91" s="26" t="s">
        <v>13</v>
      </c>
      <c r="F91" s="27"/>
      <c r="G91" s="26" t="s">
        <v>14</v>
      </c>
      <c r="H91" s="28"/>
      <c r="I91" s="29"/>
      <c r="J91" s="26" t="s">
        <v>15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>
        <v>46095.0</v>
      </c>
      <c r="B92" s="26" t="s">
        <v>621</v>
      </c>
      <c r="C92" s="26" t="s">
        <v>622</v>
      </c>
      <c r="D92" s="26" t="s">
        <v>326</v>
      </c>
      <c r="E92" s="26" t="s">
        <v>13</v>
      </c>
      <c r="F92" s="27"/>
      <c r="G92" s="26" t="s">
        <v>14</v>
      </c>
      <c r="H92" s="28">
        <v>96000.0</v>
      </c>
      <c r="I92" s="29">
        <v>34.0</v>
      </c>
      <c r="J92" s="26" t="s">
        <v>15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5">
        <v>46095.0</v>
      </c>
      <c r="B93" s="26" t="s">
        <v>623</v>
      </c>
      <c r="C93" s="26" t="s">
        <v>228</v>
      </c>
      <c r="D93" s="26" t="s">
        <v>18</v>
      </c>
      <c r="E93" s="26" t="s">
        <v>23</v>
      </c>
      <c r="F93" s="27"/>
      <c r="G93" s="26" t="s">
        <v>14</v>
      </c>
      <c r="H93" s="28">
        <v>79000.0</v>
      </c>
      <c r="I93" s="29"/>
      <c r="J93" s="26" t="s">
        <v>15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>
        <v>46095.0</v>
      </c>
      <c r="B94" s="26" t="s">
        <v>624</v>
      </c>
      <c r="C94" s="26" t="s">
        <v>226</v>
      </c>
      <c r="D94" s="26" t="s">
        <v>18</v>
      </c>
      <c r="E94" s="26" t="s">
        <v>23</v>
      </c>
      <c r="F94" s="27"/>
      <c r="G94" s="26" t="s">
        <v>14</v>
      </c>
      <c r="H94" s="28">
        <v>79000.0</v>
      </c>
      <c r="I94" s="29"/>
      <c r="J94" s="26" t="s">
        <v>96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5">
        <v>46095.0</v>
      </c>
      <c r="B95" s="26"/>
      <c r="C95" s="26"/>
      <c r="D95" s="26"/>
      <c r="E95" s="26" t="s">
        <v>33</v>
      </c>
      <c r="F95" s="27"/>
      <c r="G95" s="26" t="s">
        <v>28</v>
      </c>
      <c r="H95" s="28">
        <v>16000.0</v>
      </c>
      <c r="I95" s="29"/>
      <c r="J95" s="26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5">
        <v>46095.0</v>
      </c>
      <c r="B96" s="26" t="s">
        <v>625</v>
      </c>
      <c r="C96" s="26" t="s">
        <v>87</v>
      </c>
      <c r="D96" s="26" t="s">
        <v>109</v>
      </c>
      <c r="E96" s="26" t="s">
        <v>13</v>
      </c>
      <c r="F96" s="27"/>
      <c r="G96" s="26" t="s">
        <v>28</v>
      </c>
      <c r="H96" s="28">
        <v>36000.0</v>
      </c>
      <c r="I96" s="29">
        <v>1.4</v>
      </c>
      <c r="J96" s="26" t="s">
        <v>15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5">
        <v>46095.0</v>
      </c>
      <c r="B97" s="27"/>
      <c r="C97" s="27"/>
      <c r="D97" s="26"/>
      <c r="E97" s="26" t="s">
        <v>33</v>
      </c>
      <c r="F97" s="27"/>
      <c r="G97" s="26" t="s">
        <v>28</v>
      </c>
      <c r="H97" s="28">
        <v>16000.0</v>
      </c>
      <c r="I97" s="29"/>
      <c r="J97" s="26" t="s">
        <v>34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>
        <v>46095.0</v>
      </c>
      <c r="B98" s="27"/>
      <c r="C98" s="27"/>
      <c r="D98" s="26"/>
      <c r="E98" s="26" t="s">
        <v>33</v>
      </c>
      <c r="F98" s="27"/>
      <c r="G98" s="26" t="s">
        <v>28</v>
      </c>
      <c r="H98" s="28">
        <v>16000.0</v>
      </c>
      <c r="I98" s="29"/>
      <c r="J98" s="26" t="s">
        <v>34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5">
        <v>46095.0</v>
      </c>
      <c r="B99" s="27"/>
      <c r="C99" s="27"/>
      <c r="D99" s="26"/>
      <c r="E99" s="26" t="s">
        <v>33</v>
      </c>
      <c r="F99" s="27"/>
      <c r="G99" s="26" t="s">
        <v>28</v>
      </c>
      <c r="H99" s="28">
        <v>16000.0</v>
      </c>
      <c r="I99" s="29"/>
      <c r="J99" s="26" t="s">
        <v>34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5">
        <v>46095.0</v>
      </c>
      <c r="B100" s="27"/>
      <c r="C100" s="27"/>
      <c r="D100" s="26"/>
      <c r="E100" s="26" t="s">
        <v>33</v>
      </c>
      <c r="F100" s="27"/>
      <c r="G100" s="26" t="s">
        <v>28</v>
      </c>
      <c r="H100" s="28">
        <v>15000.0</v>
      </c>
      <c r="I100" s="29"/>
      <c r="J100" s="26" t="s">
        <v>34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5">
        <v>46095.0</v>
      </c>
      <c r="B101" s="26" t="s">
        <v>626</v>
      </c>
      <c r="C101" s="26" t="s">
        <v>404</v>
      </c>
      <c r="D101" s="26" t="s">
        <v>36</v>
      </c>
      <c r="E101" s="26" t="s">
        <v>13</v>
      </c>
      <c r="F101" s="27"/>
      <c r="G101" s="26" t="s">
        <v>28</v>
      </c>
      <c r="H101" s="28">
        <v>66000.0</v>
      </c>
      <c r="I101" s="29">
        <v>14.0</v>
      </c>
      <c r="J101" s="26" t="s">
        <v>15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5">
        <v>46097.0</v>
      </c>
      <c r="B102" s="26" t="s">
        <v>359</v>
      </c>
      <c r="C102" s="26" t="s">
        <v>517</v>
      </c>
      <c r="D102" s="26" t="s">
        <v>124</v>
      </c>
      <c r="E102" s="26" t="s">
        <v>13</v>
      </c>
      <c r="F102" s="27"/>
      <c r="G102" s="26" t="s">
        <v>14</v>
      </c>
      <c r="H102" s="28">
        <v>60000.0</v>
      </c>
      <c r="I102" s="29"/>
      <c r="J102" s="26" t="s">
        <v>15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5">
        <v>46097.0</v>
      </c>
      <c r="B103" s="26" t="s">
        <v>627</v>
      </c>
      <c r="C103" s="26" t="s">
        <v>628</v>
      </c>
      <c r="D103" s="26" t="s">
        <v>36</v>
      </c>
      <c r="E103" s="26" t="s">
        <v>13</v>
      </c>
      <c r="F103" s="27"/>
      <c r="G103" s="26" t="s">
        <v>28</v>
      </c>
      <c r="H103" s="28">
        <v>66000.0</v>
      </c>
      <c r="I103" s="29">
        <v>15.2</v>
      </c>
      <c r="J103" s="26" t="s">
        <v>15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5">
        <v>46097.0</v>
      </c>
      <c r="B104" s="26" t="s">
        <v>380</v>
      </c>
      <c r="C104" s="26" t="s">
        <v>629</v>
      </c>
      <c r="D104" s="26" t="s">
        <v>156</v>
      </c>
      <c r="E104" s="26" t="s">
        <v>23</v>
      </c>
      <c r="F104" s="27"/>
      <c r="G104" s="26" t="s">
        <v>14</v>
      </c>
      <c r="H104" s="28">
        <v>80000.0</v>
      </c>
      <c r="I104" s="29">
        <v>4.0</v>
      </c>
      <c r="J104" s="26" t="s">
        <v>15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5">
        <v>46097.0</v>
      </c>
      <c r="B105" s="26" t="s">
        <v>630</v>
      </c>
      <c r="C105" s="26" t="s">
        <v>631</v>
      </c>
      <c r="D105" s="26" t="s">
        <v>109</v>
      </c>
      <c r="E105" s="26" t="s">
        <v>73</v>
      </c>
      <c r="F105" s="27"/>
      <c r="G105" s="26" t="s">
        <v>28</v>
      </c>
      <c r="H105" s="28">
        <v>139000.0</v>
      </c>
      <c r="I105" s="29"/>
      <c r="J105" s="26" t="s">
        <v>34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5">
        <v>46097.0</v>
      </c>
      <c r="B106" s="26" t="s">
        <v>211</v>
      </c>
      <c r="C106" s="26" t="s">
        <v>87</v>
      </c>
      <c r="D106" s="26" t="s">
        <v>88</v>
      </c>
      <c r="E106" s="26" t="s">
        <v>131</v>
      </c>
      <c r="F106" s="27"/>
      <c r="G106" s="26" t="s">
        <v>14</v>
      </c>
      <c r="H106" s="28" t="s">
        <v>19</v>
      </c>
      <c r="I106" s="29"/>
      <c r="J106" s="26" t="s">
        <v>24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5">
        <v>46097.0</v>
      </c>
      <c r="B107" s="26" t="s">
        <v>556</v>
      </c>
      <c r="C107" s="26" t="s">
        <v>632</v>
      </c>
      <c r="D107" s="26" t="s">
        <v>36</v>
      </c>
      <c r="E107" s="26" t="s">
        <v>13</v>
      </c>
      <c r="F107" s="27"/>
      <c r="G107" s="26" t="s">
        <v>28</v>
      </c>
      <c r="H107" s="28">
        <v>66000.0</v>
      </c>
      <c r="I107" s="29"/>
      <c r="J107" s="26" t="s">
        <v>15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5">
        <v>46097.0</v>
      </c>
      <c r="B108" s="26" t="s">
        <v>633</v>
      </c>
      <c r="C108" s="26" t="s">
        <v>332</v>
      </c>
      <c r="D108" s="26" t="s">
        <v>63</v>
      </c>
      <c r="E108" s="26" t="s">
        <v>23</v>
      </c>
      <c r="F108" s="27"/>
      <c r="G108" s="26"/>
      <c r="H108" s="28">
        <v>85000.0</v>
      </c>
      <c r="I108" s="29"/>
      <c r="J108" s="26" t="s">
        <v>15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5">
        <v>46097.0</v>
      </c>
      <c r="B109" s="27"/>
      <c r="C109" s="26" t="s">
        <v>287</v>
      </c>
      <c r="D109" s="26" t="s">
        <v>22</v>
      </c>
      <c r="E109" s="26" t="s">
        <v>33</v>
      </c>
      <c r="F109" s="27"/>
      <c r="G109" s="26" t="s">
        <v>14</v>
      </c>
      <c r="H109" s="28">
        <v>16000.0</v>
      </c>
      <c r="I109" s="29"/>
      <c r="J109" s="26" t="s">
        <v>34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5">
        <v>46097.0</v>
      </c>
      <c r="B110" s="27"/>
      <c r="C110" s="27"/>
      <c r="D110" s="26"/>
      <c r="E110" s="26" t="s">
        <v>33</v>
      </c>
      <c r="F110" s="27"/>
      <c r="G110" s="26" t="s">
        <v>28</v>
      </c>
      <c r="H110" s="28">
        <v>17000.0</v>
      </c>
      <c r="I110" s="29"/>
      <c r="J110" s="26" t="s">
        <v>34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5">
        <v>46098.0</v>
      </c>
      <c r="B111" s="26" t="s">
        <v>634</v>
      </c>
      <c r="C111" s="26" t="s">
        <v>635</v>
      </c>
      <c r="D111" s="26" t="s">
        <v>72</v>
      </c>
      <c r="E111" s="26" t="s">
        <v>13</v>
      </c>
      <c r="F111" s="27"/>
      <c r="G111" s="26" t="s">
        <v>28</v>
      </c>
      <c r="H111" s="28">
        <v>36000.0</v>
      </c>
      <c r="I111" s="29">
        <v>3.5</v>
      </c>
      <c r="J111" s="26" t="s">
        <v>15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5">
        <v>46098.0</v>
      </c>
      <c r="B112" s="26" t="s">
        <v>192</v>
      </c>
      <c r="C112" s="26" t="s">
        <v>373</v>
      </c>
      <c r="D112" s="26" t="s">
        <v>12</v>
      </c>
      <c r="E112" s="26" t="s">
        <v>13</v>
      </c>
      <c r="F112" s="27"/>
      <c r="G112" s="26" t="s">
        <v>14</v>
      </c>
      <c r="H112" s="28">
        <v>76000.0</v>
      </c>
      <c r="I112" s="29">
        <v>7.2</v>
      </c>
      <c r="J112" s="26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5">
        <v>46099.0</v>
      </c>
      <c r="B113" s="26" t="s">
        <v>221</v>
      </c>
      <c r="C113" s="26" t="s">
        <v>636</v>
      </c>
      <c r="D113" s="26" t="s">
        <v>27</v>
      </c>
      <c r="E113" s="26" t="s">
        <v>13</v>
      </c>
      <c r="F113" s="27"/>
      <c r="G113" s="26" t="s">
        <v>28</v>
      </c>
      <c r="H113" s="28">
        <v>60000.0</v>
      </c>
      <c r="I113" s="29">
        <v>12.7</v>
      </c>
      <c r="J113" s="26" t="s">
        <v>96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5">
        <v>46099.0</v>
      </c>
      <c r="B114" s="26" t="s">
        <v>637</v>
      </c>
      <c r="C114" s="26" t="s">
        <v>638</v>
      </c>
      <c r="D114" s="26" t="s">
        <v>27</v>
      </c>
      <c r="E114" s="26" t="s">
        <v>23</v>
      </c>
      <c r="F114" s="27"/>
      <c r="G114" s="26" t="s">
        <v>14</v>
      </c>
      <c r="H114" s="28">
        <v>79000.0</v>
      </c>
      <c r="I114" s="29"/>
      <c r="J114" s="26" t="s">
        <v>15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5">
        <v>46099.0</v>
      </c>
      <c r="B115" s="26" t="s">
        <v>355</v>
      </c>
      <c r="C115" s="26" t="s">
        <v>356</v>
      </c>
      <c r="D115" s="26" t="s">
        <v>22</v>
      </c>
      <c r="E115" s="26" t="s">
        <v>23</v>
      </c>
      <c r="F115" s="27"/>
      <c r="G115" s="26" t="s">
        <v>14</v>
      </c>
      <c r="H115" s="28">
        <v>86000.0</v>
      </c>
      <c r="I115" s="29">
        <v>8.1</v>
      </c>
      <c r="J115" s="26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5">
        <v>46099.0</v>
      </c>
      <c r="B116" s="26" t="s">
        <v>639</v>
      </c>
      <c r="C116" s="26" t="s">
        <v>640</v>
      </c>
      <c r="D116" s="26" t="s">
        <v>12</v>
      </c>
      <c r="E116" s="26" t="s">
        <v>13</v>
      </c>
      <c r="F116" s="27"/>
      <c r="G116" s="26" t="s">
        <v>14</v>
      </c>
      <c r="H116" s="28">
        <v>69000.0</v>
      </c>
      <c r="I116" s="29"/>
      <c r="J116" s="26" t="s">
        <v>15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5">
        <v>46100.0</v>
      </c>
      <c r="B117" s="26" t="s">
        <v>641</v>
      </c>
      <c r="C117" s="27"/>
      <c r="D117" s="26" t="s">
        <v>156</v>
      </c>
      <c r="E117" s="26" t="s">
        <v>33</v>
      </c>
      <c r="F117" s="27"/>
      <c r="G117" s="26" t="s">
        <v>14</v>
      </c>
      <c r="H117" s="28">
        <v>16000.0</v>
      </c>
      <c r="I117" s="29"/>
      <c r="J117" s="26" t="s">
        <v>34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5">
        <v>46100.0</v>
      </c>
      <c r="B118" s="26" t="s">
        <v>641</v>
      </c>
      <c r="C118" s="27"/>
      <c r="D118" s="26" t="s">
        <v>156</v>
      </c>
      <c r="E118" s="26" t="s">
        <v>33</v>
      </c>
      <c r="F118" s="27"/>
      <c r="G118" s="26" t="s">
        <v>14</v>
      </c>
      <c r="H118" s="28">
        <v>16000.0</v>
      </c>
      <c r="I118" s="29"/>
      <c r="J118" s="26" t="s">
        <v>34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5">
        <v>46100.0</v>
      </c>
      <c r="B119" s="26" t="s">
        <v>641</v>
      </c>
      <c r="C119" s="27"/>
      <c r="D119" s="26" t="s">
        <v>156</v>
      </c>
      <c r="E119" s="26" t="s">
        <v>33</v>
      </c>
      <c r="F119" s="27"/>
      <c r="G119" s="26" t="s">
        <v>14</v>
      </c>
      <c r="H119" s="28">
        <v>16000.0</v>
      </c>
      <c r="I119" s="29"/>
      <c r="J119" s="26" t="s">
        <v>34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5">
        <v>46100.0</v>
      </c>
      <c r="B120" s="26" t="s">
        <v>127</v>
      </c>
      <c r="C120" s="26" t="s">
        <v>128</v>
      </c>
      <c r="D120" s="26" t="s">
        <v>109</v>
      </c>
      <c r="E120" s="26" t="s">
        <v>13</v>
      </c>
      <c r="F120" s="27"/>
      <c r="G120" s="26" t="s">
        <v>28</v>
      </c>
      <c r="H120" s="28">
        <v>36000.0</v>
      </c>
      <c r="I120" s="29">
        <v>3.0</v>
      </c>
      <c r="J120" s="26" t="s">
        <v>15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5">
        <v>46100.0</v>
      </c>
      <c r="B121" s="26" t="s">
        <v>642</v>
      </c>
      <c r="C121" s="26" t="s">
        <v>643</v>
      </c>
      <c r="D121" s="26" t="s">
        <v>109</v>
      </c>
      <c r="E121" s="26" t="s">
        <v>73</v>
      </c>
      <c r="F121" s="27"/>
      <c r="G121" s="26" t="s">
        <v>28</v>
      </c>
      <c r="H121" s="28">
        <v>120000.0</v>
      </c>
      <c r="I121" s="29"/>
      <c r="J121" s="26" t="s">
        <v>34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5">
        <v>46100.0</v>
      </c>
      <c r="B122" s="26" t="s">
        <v>644</v>
      </c>
      <c r="C122" s="26" t="s">
        <v>159</v>
      </c>
      <c r="D122" s="26" t="s">
        <v>160</v>
      </c>
      <c r="E122" s="26" t="s">
        <v>157</v>
      </c>
      <c r="F122" s="27"/>
      <c r="G122" s="26" t="s">
        <v>14</v>
      </c>
      <c r="H122" s="28">
        <v>99000.0</v>
      </c>
      <c r="I122" s="29">
        <v>31.0</v>
      </c>
      <c r="J122" s="26" t="s">
        <v>15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5">
        <v>46100.0</v>
      </c>
      <c r="B123" s="26" t="s">
        <v>645</v>
      </c>
      <c r="C123" s="26" t="s">
        <v>646</v>
      </c>
      <c r="D123" s="26" t="s">
        <v>12</v>
      </c>
      <c r="E123" s="26" t="s">
        <v>23</v>
      </c>
      <c r="F123" s="27"/>
      <c r="G123" s="26" t="s">
        <v>14</v>
      </c>
      <c r="H123" s="28">
        <v>86000.0</v>
      </c>
      <c r="I123" s="29"/>
      <c r="J123" s="26" t="s">
        <v>24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5">
        <v>46100.0</v>
      </c>
      <c r="B124" s="26" t="s">
        <v>647</v>
      </c>
      <c r="C124" s="26" t="s">
        <v>526</v>
      </c>
      <c r="D124" s="26" t="s">
        <v>36</v>
      </c>
      <c r="E124" s="26" t="s">
        <v>13</v>
      </c>
      <c r="F124" s="27"/>
      <c r="G124" s="26" t="s">
        <v>28</v>
      </c>
      <c r="H124" s="28">
        <v>66000.0</v>
      </c>
      <c r="I124" s="29">
        <v>11.3</v>
      </c>
      <c r="J124" s="26" t="s">
        <v>15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5">
        <v>46100.0</v>
      </c>
      <c r="B125" s="26" t="s">
        <v>425</v>
      </c>
      <c r="C125" s="26" t="s">
        <v>426</v>
      </c>
      <c r="D125" s="26" t="s">
        <v>18</v>
      </c>
      <c r="E125" s="26" t="s">
        <v>23</v>
      </c>
      <c r="F125" s="27"/>
      <c r="G125" s="26" t="s">
        <v>14</v>
      </c>
      <c r="H125" s="28">
        <v>85000.0</v>
      </c>
      <c r="I125" s="29"/>
      <c r="J125" s="26" t="s">
        <v>15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5">
        <v>46100.0</v>
      </c>
      <c r="B126" s="26" t="s">
        <v>186</v>
      </c>
      <c r="C126" s="26" t="s">
        <v>375</v>
      </c>
      <c r="D126" s="26" t="s">
        <v>54</v>
      </c>
      <c r="E126" s="26" t="s">
        <v>13</v>
      </c>
      <c r="F126" s="27"/>
      <c r="G126" s="26" t="s">
        <v>14</v>
      </c>
      <c r="H126" s="28">
        <v>86000.0</v>
      </c>
      <c r="I126" s="29"/>
      <c r="J126" s="26" t="s">
        <v>15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5">
        <v>46101.0</v>
      </c>
      <c r="B127" s="26" t="s">
        <v>648</v>
      </c>
      <c r="C127" s="26" t="s">
        <v>649</v>
      </c>
      <c r="D127" s="26" t="s">
        <v>326</v>
      </c>
      <c r="E127" s="26" t="s">
        <v>13</v>
      </c>
      <c r="F127" s="27"/>
      <c r="G127" s="26" t="s">
        <v>14</v>
      </c>
      <c r="H127" s="28">
        <v>59000.0</v>
      </c>
      <c r="I127" s="29">
        <v>2.5</v>
      </c>
      <c r="J127" s="26" t="s">
        <v>96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5">
        <v>46101.0</v>
      </c>
      <c r="B128" s="26" t="s">
        <v>43</v>
      </c>
      <c r="C128" s="26" t="s">
        <v>650</v>
      </c>
      <c r="D128" s="26" t="s">
        <v>12</v>
      </c>
      <c r="E128" s="26" t="s">
        <v>13</v>
      </c>
      <c r="F128" s="27"/>
      <c r="G128" s="26" t="s">
        <v>14</v>
      </c>
      <c r="H128" s="28">
        <v>69000.0</v>
      </c>
      <c r="I128" s="29">
        <v>6.1</v>
      </c>
      <c r="J128" s="26" t="s">
        <v>24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5">
        <v>46101.0</v>
      </c>
      <c r="B129" s="26" t="s">
        <v>651</v>
      </c>
      <c r="C129" s="26" t="s">
        <v>21</v>
      </c>
      <c r="D129" s="26" t="s">
        <v>22</v>
      </c>
      <c r="E129" s="26" t="s">
        <v>13</v>
      </c>
      <c r="F129" s="27"/>
      <c r="G129" s="26" t="s">
        <v>14</v>
      </c>
      <c r="H129" s="28">
        <v>70000.0</v>
      </c>
      <c r="I129" s="29">
        <v>2.5</v>
      </c>
      <c r="J129" s="26" t="s">
        <v>24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5">
        <v>46101.0</v>
      </c>
      <c r="B130" s="26" t="s">
        <v>641</v>
      </c>
      <c r="C130" s="26" t="s">
        <v>50</v>
      </c>
      <c r="D130" s="26" t="s">
        <v>156</v>
      </c>
      <c r="E130" s="26" t="s">
        <v>73</v>
      </c>
      <c r="F130" s="27"/>
      <c r="G130" s="26" t="s">
        <v>14</v>
      </c>
      <c r="H130" s="28">
        <v>149000.0</v>
      </c>
      <c r="I130" s="29"/>
      <c r="J130" s="26" t="s">
        <v>34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5">
        <v>46101.0</v>
      </c>
      <c r="B131" s="26" t="s">
        <v>652</v>
      </c>
      <c r="C131" s="26" t="s">
        <v>653</v>
      </c>
      <c r="D131" s="26" t="s">
        <v>326</v>
      </c>
      <c r="E131" s="26" t="s">
        <v>13</v>
      </c>
      <c r="F131" s="27"/>
      <c r="G131" s="26" t="s">
        <v>14</v>
      </c>
      <c r="H131" s="28">
        <v>66000.0</v>
      </c>
      <c r="I131" s="29">
        <v>20.3</v>
      </c>
      <c r="J131" s="26" t="s">
        <v>34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5">
        <v>46101.0</v>
      </c>
      <c r="B132" s="26"/>
      <c r="C132" s="26"/>
      <c r="D132" s="26"/>
      <c r="E132" s="26" t="s">
        <v>33</v>
      </c>
      <c r="F132" s="27"/>
      <c r="G132" s="26"/>
      <c r="H132" s="28">
        <v>15000.0</v>
      </c>
      <c r="I132" s="29"/>
      <c r="J132" s="26" t="s">
        <v>34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5">
        <v>46101.0</v>
      </c>
      <c r="B133" s="26" t="s">
        <v>654</v>
      </c>
      <c r="C133" s="26" t="s">
        <v>655</v>
      </c>
      <c r="D133" s="26" t="s">
        <v>124</v>
      </c>
      <c r="E133" s="26" t="s">
        <v>23</v>
      </c>
      <c r="F133" s="27"/>
      <c r="G133" s="26" t="s">
        <v>14</v>
      </c>
      <c r="H133" s="28">
        <v>98000.0</v>
      </c>
      <c r="I133" s="29">
        <v>7.6</v>
      </c>
      <c r="J133" s="26" t="s">
        <v>15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5">
        <v>46102.0</v>
      </c>
      <c r="B134" s="26" t="s">
        <v>656</v>
      </c>
      <c r="C134" s="26" t="s">
        <v>657</v>
      </c>
      <c r="D134" s="26" t="s">
        <v>156</v>
      </c>
      <c r="E134" s="26" t="s">
        <v>13</v>
      </c>
      <c r="F134" s="27"/>
      <c r="G134" s="26" t="s">
        <v>14</v>
      </c>
      <c r="H134" s="28">
        <v>86000.0</v>
      </c>
      <c r="I134" s="29">
        <v>2.7</v>
      </c>
      <c r="J134" s="26" t="s">
        <v>15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5">
        <v>46102.0</v>
      </c>
      <c r="B135" s="26" t="s">
        <v>656</v>
      </c>
      <c r="C135" s="26" t="s">
        <v>581</v>
      </c>
      <c r="D135" s="26" t="s">
        <v>22</v>
      </c>
      <c r="E135" s="26" t="s">
        <v>23</v>
      </c>
      <c r="F135" s="27"/>
      <c r="G135" s="26" t="s">
        <v>14</v>
      </c>
      <c r="H135" s="28">
        <v>86000.0</v>
      </c>
      <c r="I135" s="29">
        <v>3.0</v>
      </c>
      <c r="J135" s="26" t="s">
        <v>15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5">
        <v>46102.0</v>
      </c>
      <c r="B136" s="26" t="s">
        <v>658</v>
      </c>
      <c r="C136" s="26" t="s">
        <v>212</v>
      </c>
      <c r="D136" s="26" t="s">
        <v>22</v>
      </c>
      <c r="E136" s="26" t="s">
        <v>13</v>
      </c>
      <c r="F136" s="27"/>
      <c r="G136" s="26" t="s">
        <v>14</v>
      </c>
      <c r="H136" s="28">
        <v>70000.0</v>
      </c>
      <c r="I136" s="29">
        <v>3.2</v>
      </c>
      <c r="J136" s="26" t="s">
        <v>15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5">
        <v>46102.0</v>
      </c>
      <c r="B137" s="26" t="s">
        <v>273</v>
      </c>
      <c r="C137" s="26" t="s">
        <v>507</v>
      </c>
      <c r="D137" s="26" t="s">
        <v>12</v>
      </c>
      <c r="E137" s="26" t="s">
        <v>13</v>
      </c>
      <c r="F137" s="27"/>
      <c r="G137" s="26" t="s">
        <v>14</v>
      </c>
      <c r="H137" s="28">
        <v>76000.0</v>
      </c>
      <c r="I137" s="29">
        <v>10.6</v>
      </c>
      <c r="J137" s="26" t="s">
        <v>15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5">
        <v>46102.0</v>
      </c>
      <c r="B138" s="26" t="s">
        <v>284</v>
      </c>
      <c r="C138" s="26" t="s">
        <v>471</v>
      </c>
      <c r="D138" s="26" t="s">
        <v>156</v>
      </c>
      <c r="E138" s="26" t="s">
        <v>23</v>
      </c>
      <c r="F138" s="27"/>
      <c r="G138" s="26" t="s">
        <v>14</v>
      </c>
      <c r="H138" s="28">
        <v>89000.0</v>
      </c>
      <c r="I138" s="29">
        <v>5.9</v>
      </c>
      <c r="J138" s="26" t="s">
        <v>15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5">
        <v>46102.0</v>
      </c>
      <c r="B139" s="26" t="s">
        <v>16</v>
      </c>
      <c r="C139" s="26" t="s">
        <v>17</v>
      </c>
      <c r="D139" s="26" t="s">
        <v>18</v>
      </c>
      <c r="E139" s="26" t="s">
        <v>13</v>
      </c>
      <c r="F139" s="27"/>
      <c r="G139" s="26" t="s">
        <v>14</v>
      </c>
      <c r="H139" s="28" t="s">
        <v>19</v>
      </c>
      <c r="I139" s="29"/>
      <c r="J139" s="26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5">
        <v>46102.0</v>
      </c>
      <c r="B140" s="26" t="s">
        <v>659</v>
      </c>
      <c r="C140" s="26" t="s">
        <v>497</v>
      </c>
      <c r="D140" s="26" t="s">
        <v>257</v>
      </c>
      <c r="E140" s="26" t="s">
        <v>247</v>
      </c>
      <c r="F140" s="27"/>
      <c r="G140" s="26"/>
      <c r="H140" s="28">
        <v>96000.0</v>
      </c>
      <c r="I140" s="29">
        <v>4.1</v>
      </c>
      <c r="J140" s="26" t="s">
        <v>15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5">
        <v>46102.0</v>
      </c>
      <c r="B141" s="26" t="s">
        <v>660</v>
      </c>
      <c r="C141" s="26" t="s">
        <v>661</v>
      </c>
      <c r="D141" s="26" t="s">
        <v>36</v>
      </c>
      <c r="E141" s="26" t="s">
        <v>13</v>
      </c>
      <c r="F141" s="27"/>
      <c r="G141" s="26"/>
      <c r="H141" s="28">
        <v>66000.0</v>
      </c>
      <c r="I141" s="29"/>
      <c r="J141" s="26" t="s">
        <v>15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5">
        <v>46102.0</v>
      </c>
      <c r="B142" s="26" t="s">
        <v>10</v>
      </c>
      <c r="C142" s="26" t="s">
        <v>11</v>
      </c>
      <c r="D142" s="26" t="s">
        <v>12</v>
      </c>
      <c r="E142" s="26" t="s">
        <v>23</v>
      </c>
      <c r="F142" s="27"/>
      <c r="G142" s="26"/>
      <c r="H142" s="31">
        <v>99000.0</v>
      </c>
      <c r="I142" s="29">
        <v>5.7</v>
      </c>
      <c r="J142" s="26" t="s">
        <v>15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5">
        <v>46102.0</v>
      </c>
      <c r="B143" s="26" t="s">
        <v>662</v>
      </c>
      <c r="C143" s="26" t="s">
        <v>663</v>
      </c>
      <c r="D143" s="26" t="s">
        <v>173</v>
      </c>
      <c r="E143" s="26" t="s">
        <v>13</v>
      </c>
      <c r="F143" s="27"/>
      <c r="G143" s="26"/>
      <c r="H143" s="28">
        <v>79000.0</v>
      </c>
      <c r="I143" s="29">
        <v>33.0</v>
      </c>
      <c r="J143" s="26" t="s">
        <v>15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5">
        <v>46102.0</v>
      </c>
      <c r="B144" s="26" t="s">
        <v>664</v>
      </c>
      <c r="C144" s="26" t="s">
        <v>474</v>
      </c>
      <c r="D144" s="26" t="s">
        <v>160</v>
      </c>
      <c r="E144" s="26" t="s">
        <v>13</v>
      </c>
      <c r="F144" s="27"/>
      <c r="G144" s="26"/>
      <c r="H144" s="28">
        <v>79000.0</v>
      </c>
      <c r="I144" s="29">
        <v>17.7</v>
      </c>
      <c r="J144" s="26" t="s">
        <v>15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5">
        <v>46102.0</v>
      </c>
      <c r="B145" s="26" t="s">
        <v>211</v>
      </c>
      <c r="C145" s="26" t="s">
        <v>212</v>
      </c>
      <c r="D145" s="26" t="s">
        <v>665</v>
      </c>
      <c r="E145" s="26" t="s">
        <v>13</v>
      </c>
      <c r="F145" s="27"/>
      <c r="G145" s="26" t="s">
        <v>14</v>
      </c>
      <c r="H145" s="28" t="s">
        <v>19</v>
      </c>
      <c r="I145" s="29"/>
      <c r="J145" s="26" t="s">
        <v>24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5">
        <v>46102.0</v>
      </c>
      <c r="B146" s="26" t="s">
        <v>666</v>
      </c>
      <c r="C146" s="26" t="s">
        <v>212</v>
      </c>
      <c r="D146" s="26" t="s">
        <v>156</v>
      </c>
      <c r="E146" s="26" t="s">
        <v>23</v>
      </c>
      <c r="F146" s="27"/>
      <c r="G146" s="26"/>
      <c r="H146" s="28">
        <v>86000.0</v>
      </c>
      <c r="I146" s="29">
        <v>1.9</v>
      </c>
      <c r="J146" s="26" t="s">
        <v>15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5">
        <v>46102.0</v>
      </c>
      <c r="B147" s="27"/>
      <c r="C147" s="27"/>
      <c r="D147" s="26"/>
      <c r="E147" s="26" t="s">
        <v>33</v>
      </c>
      <c r="F147" s="27"/>
      <c r="G147" s="26"/>
      <c r="H147" s="28">
        <v>16000.0</v>
      </c>
      <c r="I147" s="29"/>
      <c r="J147" s="26" t="s">
        <v>34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5">
        <v>46105.0</v>
      </c>
      <c r="B148" s="26" t="s">
        <v>188</v>
      </c>
      <c r="C148" s="26" t="s">
        <v>478</v>
      </c>
      <c r="D148" s="26" t="s">
        <v>124</v>
      </c>
      <c r="E148" s="26" t="s">
        <v>23</v>
      </c>
      <c r="F148" s="27"/>
      <c r="G148" s="26" t="s">
        <v>14</v>
      </c>
      <c r="H148" s="28">
        <v>85000.0</v>
      </c>
      <c r="I148" s="29">
        <v>4.3</v>
      </c>
      <c r="J148" s="26" t="s">
        <v>15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5">
        <v>46105.0</v>
      </c>
      <c r="B149" s="26" t="s">
        <v>667</v>
      </c>
      <c r="C149" s="26" t="s">
        <v>668</v>
      </c>
      <c r="D149" s="26" t="s">
        <v>253</v>
      </c>
      <c r="E149" s="26" t="s">
        <v>475</v>
      </c>
      <c r="F149" s="26" t="s">
        <v>669</v>
      </c>
      <c r="G149" s="26" t="s">
        <v>14</v>
      </c>
      <c r="H149" s="28">
        <f>89000+149000</f>
        <v>238000</v>
      </c>
      <c r="I149" s="29">
        <v>3.1</v>
      </c>
      <c r="J149" s="26" t="s">
        <v>38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5">
        <v>46105.0</v>
      </c>
      <c r="B150" s="26" t="s">
        <v>670</v>
      </c>
      <c r="C150" s="26" t="s">
        <v>277</v>
      </c>
      <c r="D150" s="26" t="s">
        <v>36</v>
      </c>
      <c r="E150" s="26" t="s">
        <v>13</v>
      </c>
      <c r="F150" s="27"/>
      <c r="G150" s="26" t="s">
        <v>28</v>
      </c>
      <c r="H150" s="28">
        <v>66000.0</v>
      </c>
      <c r="I150" s="29">
        <v>13.75</v>
      </c>
      <c r="J150" s="26" t="s">
        <v>15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5">
        <v>46105.0</v>
      </c>
      <c r="B151" s="26" t="s">
        <v>382</v>
      </c>
      <c r="C151" s="26" t="s">
        <v>118</v>
      </c>
      <c r="D151" s="26" t="s">
        <v>12</v>
      </c>
      <c r="E151" s="26" t="s">
        <v>23</v>
      </c>
      <c r="F151" s="27"/>
      <c r="G151" s="26" t="s">
        <v>14</v>
      </c>
      <c r="H151" s="28">
        <v>86000.0</v>
      </c>
      <c r="I151" s="29">
        <v>7.6</v>
      </c>
      <c r="J151" s="26" t="s">
        <v>15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5">
        <v>46105.0</v>
      </c>
      <c r="B152" s="26" t="s">
        <v>70</v>
      </c>
      <c r="C152" s="26" t="s">
        <v>671</v>
      </c>
      <c r="D152" s="26" t="s">
        <v>72</v>
      </c>
      <c r="E152" s="26" t="s">
        <v>13</v>
      </c>
      <c r="F152" s="27"/>
      <c r="G152" s="26" t="s">
        <v>14</v>
      </c>
      <c r="H152" s="28">
        <v>36000.0</v>
      </c>
      <c r="I152" s="29">
        <v>1.7</v>
      </c>
      <c r="J152" s="26" t="s">
        <v>96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5">
        <v>46105.0</v>
      </c>
      <c r="B153" s="26" t="s">
        <v>641</v>
      </c>
      <c r="C153" s="26" t="s">
        <v>360</v>
      </c>
      <c r="D153" s="26" t="s">
        <v>156</v>
      </c>
      <c r="E153" s="26" t="s">
        <v>73</v>
      </c>
      <c r="F153" s="27"/>
      <c r="G153" s="26" t="s">
        <v>14</v>
      </c>
      <c r="H153" s="28">
        <v>150000.0</v>
      </c>
      <c r="I153" s="29">
        <v>7.8</v>
      </c>
      <c r="J153" s="26" t="s">
        <v>34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5">
        <v>46106.0</v>
      </c>
      <c r="B154" s="26" t="s">
        <v>427</v>
      </c>
      <c r="C154" s="26" t="s">
        <v>62</v>
      </c>
      <c r="D154" s="26" t="s">
        <v>12</v>
      </c>
      <c r="E154" s="26" t="s">
        <v>13</v>
      </c>
      <c r="F154" s="27"/>
      <c r="G154" s="26" t="s">
        <v>14</v>
      </c>
      <c r="H154" s="28">
        <v>65000.0</v>
      </c>
      <c r="I154" s="29">
        <v>4.5</v>
      </c>
      <c r="J154" s="26" t="s">
        <v>38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5">
        <v>46106.0</v>
      </c>
      <c r="B155" s="26" t="s">
        <v>672</v>
      </c>
      <c r="C155" s="26" t="s">
        <v>474</v>
      </c>
      <c r="D155" s="26" t="s">
        <v>124</v>
      </c>
      <c r="E155" s="26" t="s">
        <v>23</v>
      </c>
      <c r="F155" s="27"/>
      <c r="G155" s="26" t="s">
        <v>14</v>
      </c>
      <c r="H155" s="28">
        <v>90000.0</v>
      </c>
      <c r="I155" s="29">
        <v>2.7</v>
      </c>
      <c r="J155" s="26" t="s">
        <v>15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5">
        <v>46106.0</v>
      </c>
      <c r="B156" s="26" t="s">
        <v>673</v>
      </c>
      <c r="C156" s="26" t="s">
        <v>674</v>
      </c>
      <c r="D156" s="26" t="s">
        <v>36</v>
      </c>
      <c r="E156" s="26" t="s">
        <v>73</v>
      </c>
      <c r="F156" s="27"/>
      <c r="G156" s="26" t="s">
        <v>28</v>
      </c>
      <c r="H156" s="28">
        <v>149000.0</v>
      </c>
      <c r="I156" s="29"/>
      <c r="J156" s="26" t="s">
        <v>34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5">
        <v>46106.0</v>
      </c>
      <c r="B157" s="26" t="s">
        <v>675</v>
      </c>
      <c r="C157" s="26" t="s">
        <v>676</v>
      </c>
      <c r="D157" s="26" t="s">
        <v>27</v>
      </c>
      <c r="E157" s="26" t="s">
        <v>13</v>
      </c>
      <c r="F157" s="27"/>
      <c r="G157" s="26" t="s">
        <v>28</v>
      </c>
      <c r="H157" s="28">
        <v>59000.0</v>
      </c>
      <c r="I157" s="29">
        <v>16.8</v>
      </c>
      <c r="J157" s="26" t="s">
        <v>15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5">
        <v>46106.0</v>
      </c>
      <c r="B158" s="26" t="s">
        <v>208</v>
      </c>
      <c r="C158" s="26" t="s">
        <v>677</v>
      </c>
      <c r="D158" s="26" t="s">
        <v>22</v>
      </c>
      <c r="E158" s="26" t="s">
        <v>13</v>
      </c>
      <c r="F158" s="27"/>
      <c r="G158" s="26" t="s">
        <v>14</v>
      </c>
      <c r="H158" s="28">
        <v>50000.0</v>
      </c>
      <c r="I158" s="29">
        <v>3.3</v>
      </c>
      <c r="J158" s="26" t="s">
        <v>15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5">
        <v>46106.0</v>
      </c>
      <c r="B159" s="26" t="s">
        <v>208</v>
      </c>
      <c r="C159" s="26" t="s">
        <v>678</v>
      </c>
      <c r="D159" s="26" t="s">
        <v>22</v>
      </c>
      <c r="E159" s="26" t="s">
        <v>13</v>
      </c>
      <c r="F159" s="27"/>
      <c r="G159" s="26" t="s">
        <v>14</v>
      </c>
      <c r="H159" s="28">
        <v>50000.0</v>
      </c>
      <c r="I159" s="29">
        <v>3.1</v>
      </c>
      <c r="J159" s="26" t="s">
        <v>15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5">
        <v>46106.0</v>
      </c>
      <c r="B160" s="26" t="s">
        <v>208</v>
      </c>
      <c r="C160" s="26" t="s">
        <v>209</v>
      </c>
      <c r="D160" s="26" t="s">
        <v>22</v>
      </c>
      <c r="E160" s="26" t="s">
        <v>13</v>
      </c>
      <c r="F160" s="27"/>
      <c r="G160" s="26" t="s">
        <v>14</v>
      </c>
      <c r="H160" s="28">
        <v>55000.0</v>
      </c>
      <c r="I160" s="29">
        <v>4.2</v>
      </c>
      <c r="J160" s="26" t="s">
        <v>15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5">
        <v>46106.0</v>
      </c>
      <c r="B161" s="26" t="s">
        <v>679</v>
      </c>
      <c r="C161" s="26" t="s">
        <v>680</v>
      </c>
      <c r="D161" s="26" t="s">
        <v>681</v>
      </c>
      <c r="E161" s="26" t="s">
        <v>73</v>
      </c>
      <c r="F161" s="27"/>
      <c r="G161" s="26" t="s">
        <v>14</v>
      </c>
      <c r="H161" s="28">
        <v>149000.0</v>
      </c>
      <c r="I161" s="29">
        <v>5.3</v>
      </c>
      <c r="J161" s="26" t="s">
        <v>34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5">
        <v>46106.0</v>
      </c>
      <c r="B162" s="26" t="s">
        <v>682</v>
      </c>
      <c r="C162" s="26" t="s">
        <v>544</v>
      </c>
      <c r="D162" s="26" t="s">
        <v>36</v>
      </c>
      <c r="E162" s="26" t="s">
        <v>13</v>
      </c>
      <c r="F162" s="27"/>
      <c r="G162" s="26" t="s">
        <v>28</v>
      </c>
      <c r="H162" s="28">
        <v>66000.0</v>
      </c>
      <c r="I162" s="29">
        <v>15.3</v>
      </c>
      <c r="J162" s="26" t="s">
        <v>15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5">
        <v>46106.0</v>
      </c>
      <c r="B163" s="26" t="s">
        <v>321</v>
      </c>
      <c r="C163" s="26" t="s">
        <v>322</v>
      </c>
      <c r="D163" s="26" t="s">
        <v>109</v>
      </c>
      <c r="E163" s="26" t="s">
        <v>13</v>
      </c>
      <c r="F163" s="27"/>
      <c r="G163" s="26" t="s">
        <v>28</v>
      </c>
      <c r="H163" s="28">
        <v>30000.0</v>
      </c>
      <c r="I163" s="29"/>
      <c r="J163" s="26" t="s">
        <v>15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5">
        <v>46107.0</v>
      </c>
      <c r="B164" s="26" t="s">
        <v>641</v>
      </c>
      <c r="C164" s="26" t="s">
        <v>388</v>
      </c>
      <c r="D164" s="26" t="s">
        <v>156</v>
      </c>
      <c r="E164" s="26" t="s">
        <v>73</v>
      </c>
      <c r="F164" s="27"/>
      <c r="G164" s="26" t="s">
        <v>14</v>
      </c>
      <c r="H164" s="28">
        <v>149000.0</v>
      </c>
      <c r="I164" s="29">
        <v>9.0</v>
      </c>
      <c r="J164" s="26" t="s">
        <v>34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5">
        <v>46107.0</v>
      </c>
      <c r="B165" s="26" t="s">
        <v>238</v>
      </c>
      <c r="C165" s="26" t="s">
        <v>239</v>
      </c>
      <c r="D165" s="26" t="s">
        <v>12</v>
      </c>
      <c r="E165" s="26" t="s">
        <v>23</v>
      </c>
      <c r="F165" s="27"/>
      <c r="G165" s="26" t="s">
        <v>14</v>
      </c>
      <c r="H165" s="28">
        <v>86000.0</v>
      </c>
      <c r="I165" s="29"/>
      <c r="J165" s="26" t="s">
        <v>15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5">
        <v>46107.0</v>
      </c>
      <c r="B166" s="26" t="s">
        <v>481</v>
      </c>
      <c r="C166" s="26" t="s">
        <v>482</v>
      </c>
      <c r="D166" s="26" t="s">
        <v>124</v>
      </c>
      <c r="E166" s="26" t="s">
        <v>23</v>
      </c>
      <c r="F166" s="27"/>
      <c r="G166" s="26" t="s">
        <v>14</v>
      </c>
      <c r="H166" s="28">
        <v>89000.0</v>
      </c>
      <c r="I166" s="29">
        <v>7.3</v>
      </c>
      <c r="J166" s="26" t="s">
        <v>15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5">
        <v>46107.0</v>
      </c>
      <c r="B167" s="26" t="s">
        <v>481</v>
      </c>
      <c r="C167" s="26" t="s">
        <v>50</v>
      </c>
      <c r="D167" s="26" t="s">
        <v>124</v>
      </c>
      <c r="E167" s="26" t="s">
        <v>23</v>
      </c>
      <c r="F167" s="27"/>
      <c r="G167" s="26" t="s">
        <v>14</v>
      </c>
      <c r="H167" s="28">
        <v>89000.0</v>
      </c>
      <c r="I167" s="29">
        <v>6.5</v>
      </c>
      <c r="J167" s="26" t="s">
        <v>15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5">
        <v>46107.0</v>
      </c>
      <c r="B168" s="26" t="s">
        <v>683</v>
      </c>
      <c r="C168" s="26" t="s">
        <v>328</v>
      </c>
      <c r="D168" s="26" t="s">
        <v>207</v>
      </c>
      <c r="E168" s="26" t="s">
        <v>157</v>
      </c>
      <c r="F168" s="27"/>
      <c r="G168" s="26" t="s">
        <v>14</v>
      </c>
      <c r="H168" s="28">
        <v>99000.0</v>
      </c>
      <c r="I168" s="29">
        <v>31.0</v>
      </c>
      <c r="J168" s="26" t="s">
        <v>15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5">
        <v>46107.0</v>
      </c>
      <c r="B169" s="26" t="s">
        <v>536</v>
      </c>
      <c r="C169" s="26" t="s">
        <v>235</v>
      </c>
      <c r="D169" s="26" t="s">
        <v>27</v>
      </c>
      <c r="E169" s="26" t="s">
        <v>13</v>
      </c>
      <c r="F169" s="27"/>
      <c r="G169" s="26"/>
      <c r="H169" s="28">
        <v>66000.0</v>
      </c>
      <c r="I169" s="29">
        <v>16.4</v>
      </c>
      <c r="J169" s="26" t="s">
        <v>15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5">
        <v>46107.0</v>
      </c>
      <c r="B170" s="26" t="s">
        <v>684</v>
      </c>
      <c r="C170" s="26" t="s">
        <v>451</v>
      </c>
      <c r="D170" s="26" t="s">
        <v>109</v>
      </c>
      <c r="E170" s="26" t="s">
        <v>13</v>
      </c>
      <c r="F170" s="27"/>
      <c r="G170" s="26"/>
      <c r="H170" s="28">
        <v>36000.0</v>
      </c>
      <c r="I170" s="29">
        <v>1.6</v>
      </c>
      <c r="J170" s="26" t="s">
        <v>15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5">
        <v>46107.0</v>
      </c>
      <c r="B171" s="27"/>
      <c r="C171" s="27"/>
      <c r="D171" s="26"/>
      <c r="E171" s="26" t="s">
        <v>33</v>
      </c>
      <c r="F171" s="27"/>
      <c r="G171" s="26" t="s">
        <v>28</v>
      </c>
      <c r="H171" s="28">
        <v>16000.0</v>
      </c>
      <c r="I171" s="29"/>
      <c r="J171" s="26" t="s">
        <v>34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5">
        <v>46108.0</v>
      </c>
      <c r="B172" s="26" t="s">
        <v>431</v>
      </c>
      <c r="C172" s="26" t="s">
        <v>685</v>
      </c>
      <c r="D172" s="26" t="s">
        <v>54</v>
      </c>
      <c r="E172" s="26" t="s">
        <v>13</v>
      </c>
      <c r="F172" s="27"/>
      <c r="G172" s="26" t="s">
        <v>14</v>
      </c>
      <c r="H172" s="28">
        <v>95000.0</v>
      </c>
      <c r="I172" s="29"/>
      <c r="J172" s="26" t="s">
        <v>15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5">
        <v>46108.0</v>
      </c>
      <c r="B173" s="26" t="s">
        <v>211</v>
      </c>
      <c r="C173" s="26" t="s">
        <v>212</v>
      </c>
      <c r="D173" s="26" t="s">
        <v>88</v>
      </c>
      <c r="E173" s="26" t="s">
        <v>131</v>
      </c>
      <c r="F173" s="27"/>
      <c r="G173" s="26" t="s">
        <v>14</v>
      </c>
      <c r="H173" s="26" t="s">
        <v>19</v>
      </c>
      <c r="I173" s="29"/>
      <c r="J173" s="26" t="s">
        <v>24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5">
        <v>46108.0</v>
      </c>
      <c r="B174" s="26" t="s">
        <v>686</v>
      </c>
      <c r="C174" s="26" t="s">
        <v>287</v>
      </c>
      <c r="D174" s="26" t="s">
        <v>22</v>
      </c>
      <c r="E174" s="26" t="s">
        <v>13</v>
      </c>
      <c r="F174" s="27"/>
      <c r="G174" s="26" t="s">
        <v>14</v>
      </c>
      <c r="H174" s="28">
        <v>79000.0</v>
      </c>
      <c r="I174" s="29"/>
      <c r="J174" s="26" t="s">
        <v>15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5">
        <v>46108.0</v>
      </c>
      <c r="B175" s="26" t="s">
        <v>240</v>
      </c>
      <c r="C175" s="26" t="s">
        <v>687</v>
      </c>
      <c r="D175" s="26" t="s">
        <v>18</v>
      </c>
      <c r="E175" s="26" t="s">
        <v>73</v>
      </c>
      <c r="F175" s="27"/>
      <c r="G175" s="26" t="s">
        <v>14</v>
      </c>
      <c r="H175" s="28">
        <v>129000.0</v>
      </c>
      <c r="I175" s="29"/>
      <c r="J175" s="26" t="s">
        <v>34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5">
        <v>46108.0</v>
      </c>
      <c r="B176" s="26" t="s">
        <v>460</v>
      </c>
      <c r="C176" s="26" t="s">
        <v>688</v>
      </c>
      <c r="D176" s="26" t="s">
        <v>173</v>
      </c>
      <c r="E176" s="26" t="s">
        <v>13</v>
      </c>
      <c r="F176" s="27"/>
      <c r="G176" s="26" t="s">
        <v>28</v>
      </c>
      <c r="H176" s="28">
        <v>70000.0</v>
      </c>
      <c r="I176" s="29">
        <v>40.0</v>
      </c>
      <c r="J176" s="26" t="s">
        <v>15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5">
        <v>46108.0</v>
      </c>
      <c r="B177" s="26" t="s">
        <v>689</v>
      </c>
      <c r="C177" s="26" t="s">
        <v>690</v>
      </c>
      <c r="D177" s="26" t="s">
        <v>109</v>
      </c>
      <c r="E177" s="26" t="s">
        <v>13</v>
      </c>
      <c r="F177" s="27"/>
      <c r="G177" s="26" t="s">
        <v>28</v>
      </c>
      <c r="H177" s="28">
        <v>20000.0</v>
      </c>
      <c r="I177" s="29"/>
      <c r="J177" s="26" t="s">
        <v>15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5">
        <v>46108.0</v>
      </c>
      <c r="B178" s="26" t="s">
        <v>398</v>
      </c>
      <c r="C178" s="26" t="s">
        <v>691</v>
      </c>
      <c r="D178" s="26" t="s">
        <v>12</v>
      </c>
      <c r="E178" s="26" t="s">
        <v>13</v>
      </c>
      <c r="F178" s="27"/>
      <c r="G178" s="26" t="s">
        <v>14</v>
      </c>
      <c r="H178" s="28">
        <v>70000.0</v>
      </c>
      <c r="I178" s="29">
        <v>6.1</v>
      </c>
      <c r="J178" s="26" t="s">
        <v>15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5">
        <v>46109.0</v>
      </c>
      <c r="B179" s="26" t="s">
        <v>692</v>
      </c>
      <c r="C179" s="26" t="s">
        <v>693</v>
      </c>
      <c r="D179" s="26" t="s">
        <v>124</v>
      </c>
      <c r="E179" s="26" t="s">
        <v>73</v>
      </c>
      <c r="F179" s="27"/>
      <c r="G179" s="26" t="s">
        <v>14</v>
      </c>
      <c r="H179" s="28">
        <v>149000.0</v>
      </c>
      <c r="I179" s="29">
        <v>5.7</v>
      </c>
      <c r="J179" s="26" t="s">
        <v>34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5">
        <v>46109.0</v>
      </c>
      <c r="B180" s="26" t="s">
        <v>694</v>
      </c>
      <c r="C180" s="26" t="s">
        <v>695</v>
      </c>
      <c r="D180" s="26" t="s">
        <v>27</v>
      </c>
      <c r="E180" s="26" t="s">
        <v>13</v>
      </c>
      <c r="F180" s="27"/>
      <c r="G180" s="26" t="s">
        <v>14</v>
      </c>
      <c r="H180" s="28">
        <v>49000.0</v>
      </c>
      <c r="I180" s="30">
        <v>3.2</v>
      </c>
      <c r="J180" s="26" t="s">
        <v>96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5">
        <v>46109.0</v>
      </c>
      <c r="B181" s="26" t="s">
        <v>696</v>
      </c>
      <c r="C181" s="26" t="s">
        <v>482</v>
      </c>
      <c r="D181" s="26" t="s">
        <v>36</v>
      </c>
      <c r="E181" s="26" t="s">
        <v>13</v>
      </c>
      <c r="F181" s="27"/>
      <c r="G181" s="26" t="s">
        <v>28</v>
      </c>
      <c r="H181" s="28">
        <v>66000.0</v>
      </c>
      <c r="I181" s="29">
        <v>13.2</v>
      </c>
      <c r="J181" s="26" t="s">
        <v>15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5">
        <v>46109.0</v>
      </c>
      <c r="B182" s="26" t="s">
        <v>208</v>
      </c>
      <c r="C182" s="26" t="s">
        <v>215</v>
      </c>
      <c r="D182" s="26" t="s">
        <v>22</v>
      </c>
      <c r="E182" s="26" t="s">
        <v>13</v>
      </c>
      <c r="F182" s="27"/>
      <c r="G182" s="26" t="s">
        <v>14</v>
      </c>
      <c r="H182" s="28">
        <v>60000.0</v>
      </c>
      <c r="I182" s="26">
        <v>7.8</v>
      </c>
      <c r="J182" s="26" t="s">
        <v>15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5">
        <v>46109.0</v>
      </c>
      <c r="B183" s="26" t="s">
        <v>16</v>
      </c>
      <c r="C183" s="26" t="s">
        <v>17</v>
      </c>
      <c r="D183" s="26" t="s">
        <v>18</v>
      </c>
      <c r="E183" s="26" t="s">
        <v>13</v>
      </c>
      <c r="F183" s="27"/>
      <c r="G183" s="26" t="s">
        <v>14</v>
      </c>
      <c r="H183" s="28" t="s">
        <v>19</v>
      </c>
      <c r="I183" s="29"/>
      <c r="J183" s="26" t="s">
        <v>15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5">
        <v>46109.0</v>
      </c>
      <c r="B184" s="26" t="s">
        <v>180</v>
      </c>
      <c r="C184" s="26" t="s">
        <v>697</v>
      </c>
      <c r="D184" s="26" t="s">
        <v>22</v>
      </c>
      <c r="E184" s="26" t="s">
        <v>13</v>
      </c>
      <c r="F184" s="26" t="s">
        <v>698</v>
      </c>
      <c r="G184" s="26" t="s">
        <v>14</v>
      </c>
      <c r="H184" s="28">
        <f>69000+129000</f>
        <v>198000</v>
      </c>
      <c r="I184" s="29"/>
      <c r="J184" s="26" t="s">
        <v>15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5">
        <v>46109.0</v>
      </c>
      <c r="B185" s="26" t="s">
        <v>407</v>
      </c>
      <c r="C185" s="26" t="s">
        <v>408</v>
      </c>
      <c r="D185" s="26" t="s">
        <v>109</v>
      </c>
      <c r="E185" s="26" t="s">
        <v>13</v>
      </c>
      <c r="F185" s="27"/>
      <c r="G185" s="26" t="s">
        <v>28</v>
      </c>
      <c r="H185" s="28">
        <v>36000.0</v>
      </c>
      <c r="I185" s="29">
        <v>3.5</v>
      </c>
      <c r="J185" s="26" t="s">
        <v>96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5">
        <v>46109.0</v>
      </c>
      <c r="B186" s="26" t="s">
        <v>410</v>
      </c>
      <c r="C186" s="26" t="s">
        <v>314</v>
      </c>
      <c r="D186" s="26" t="s">
        <v>109</v>
      </c>
      <c r="E186" s="26" t="s">
        <v>13</v>
      </c>
      <c r="F186" s="27"/>
      <c r="G186" s="26" t="s">
        <v>28</v>
      </c>
      <c r="H186" s="28">
        <v>36000.0</v>
      </c>
      <c r="I186" s="29">
        <v>3.3</v>
      </c>
      <c r="J186" s="26" t="s">
        <v>34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5">
        <v>46109.0</v>
      </c>
      <c r="B187" s="26" t="s">
        <v>586</v>
      </c>
      <c r="C187" s="26" t="s">
        <v>170</v>
      </c>
      <c r="D187" s="26" t="s">
        <v>109</v>
      </c>
      <c r="E187" s="26" t="s">
        <v>13</v>
      </c>
      <c r="F187" s="27"/>
      <c r="G187" s="26" t="s">
        <v>28</v>
      </c>
      <c r="H187" s="28">
        <v>36000.0</v>
      </c>
      <c r="I187" s="29">
        <v>2.2</v>
      </c>
      <c r="J187" s="26" t="s">
        <v>15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5">
        <v>46109.0</v>
      </c>
      <c r="B188" s="26" t="s">
        <v>699</v>
      </c>
      <c r="C188" s="26" t="s">
        <v>379</v>
      </c>
      <c r="D188" s="26" t="s">
        <v>109</v>
      </c>
      <c r="E188" s="26" t="s">
        <v>13</v>
      </c>
      <c r="F188" s="27"/>
      <c r="G188" s="26" t="s">
        <v>28</v>
      </c>
      <c r="H188" s="28">
        <v>36000.0</v>
      </c>
      <c r="I188" s="29">
        <v>3.4</v>
      </c>
      <c r="J188" s="26" t="s">
        <v>15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5">
        <v>46109.0</v>
      </c>
      <c r="B189" s="26" t="s">
        <v>699</v>
      </c>
      <c r="C189" s="26" t="s">
        <v>700</v>
      </c>
      <c r="D189" s="26" t="s">
        <v>109</v>
      </c>
      <c r="E189" s="26" t="s">
        <v>13</v>
      </c>
      <c r="F189" s="27"/>
      <c r="G189" s="26" t="s">
        <v>28</v>
      </c>
      <c r="H189" s="28">
        <v>36000.0</v>
      </c>
      <c r="I189" s="29">
        <v>4.5</v>
      </c>
      <c r="J189" s="26" t="s">
        <v>15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5">
        <v>46109.0</v>
      </c>
      <c r="B190" s="27"/>
      <c r="C190" s="27"/>
      <c r="D190" s="26"/>
      <c r="E190" s="26" t="s">
        <v>33</v>
      </c>
      <c r="F190" s="27"/>
      <c r="G190" s="26"/>
      <c r="H190" s="28">
        <v>20000.0</v>
      </c>
      <c r="I190" s="32"/>
      <c r="J190" s="26" t="s">
        <v>34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5">
        <v>46109.0</v>
      </c>
      <c r="B191" s="26" t="s">
        <v>701</v>
      </c>
      <c r="C191" s="26" t="s">
        <v>515</v>
      </c>
      <c r="D191" s="26" t="s">
        <v>257</v>
      </c>
      <c r="E191" s="26" t="s">
        <v>247</v>
      </c>
      <c r="F191" s="27"/>
      <c r="G191" s="26" t="s">
        <v>14</v>
      </c>
      <c r="H191" s="28">
        <v>89000.0</v>
      </c>
      <c r="I191" s="29">
        <v>5.6</v>
      </c>
      <c r="J191" s="26" t="s">
        <v>15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5">
        <v>46109.0</v>
      </c>
      <c r="B192" s="26" t="s">
        <v>399</v>
      </c>
      <c r="C192" s="26" t="s">
        <v>643</v>
      </c>
      <c r="D192" s="26" t="s">
        <v>156</v>
      </c>
      <c r="E192" s="26" t="s">
        <v>23</v>
      </c>
      <c r="F192" s="27"/>
      <c r="G192" s="26" t="s">
        <v>14</v>
      </c>
      <c r="H192" s="28">
        <v>89000.0</v>
      </c>
      <c r="I192" s="29">
        <v>5.7</v>
      </c>
      <c r="J192" s="26" t="s">
        <v>96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5">
        <v>46111.0</v>
      </c>
      <c r="B193" s="26" t="s">
        <v>532</v>
      </c>
      <c r="C193" s="26" t="s">
        <v>533</v>
      </c>
      <c r="D193" s="26" t="s">
        <v>27</v>
      </c>
      <c r="E193" s="26" t="s">
        <v>23</v>
      </c>
      <c r="F193" s="27"/>
      <c r="G193" s="26" t="s">
        <v>14</v>
      </c>
      <c r="H193" s="28">
        <v>96000.0</v>
      </c>
      <c r="I193" s="29">
        <v>4.7</v>
      </c>
      <c r="J193" s="26" t="s">
        <v>15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5">
        <v>46111.0</v>
      </c>
      <c r="B194" s="26" t="s">
        <v>702</v>
      </c>
      <c r="C194" s="26" t="s">
        <v>703</v>
      </c>
      <c r="D194" s="26" t="s">
        <v>124</v>
      </c>
      <c r="E194" s="26" t="s">
        <v>13</v>
      </c>
      <c r="F194" s="27"/>
      <c r="G194" s="26" t="s">
        <v>14</v>
      </c>
      <c r="H194" s="28">
        <v>70000.0</v>
      </c>
      <c r="I194" s="29">
        <v>6.6</v>
      </c>
      <c r="J194" s="26" t="s">
        <v>15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5">
        <v>46111.0</v>
      </c>
      <c r="B195" s="26" t="s">
        <v>43</v>
      </c>
      <c r="C195" s="26" t="s">
        <v>704</v>
      </c>
      <c r="D195" s="26" t="s">
        <v>12</v>
      </c>
      <c r="E195" s="26" t="s">
        <v>13</v>
      </c>
      <c r="F195" s="27"/>
      <c r="G195" s="26" t="s">
        <v>14</v>
      </c>
      <c r="H195" s="28">
        <v>69000.0</v>
      </c>
      <c r="I195" s="29">
        <v>6.2</v>
      </c>
      <c r="J195" s="26" t="s">
        <v>38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5">
        <v>46111.0</v>
      </c>
      <c r="B196" s="26" t="s">
        <v>445</v>
      </c>
      <c r="C196" s="26" t="s">
        <v>446</v>
      </c>
      <c r="D196" s="26" t="s">
        <v>257</v>
      </c>
      <c r="E196" s="26" t="s">
        <v>247</v>
      </c>
      <c r="F196" s="27"/>
      <c r="G196" s="26" t="s">
        <v>14</v>
      </c>
      <c r="H196" s="28">
        <v>96000.0</v>
      </c>
      <c r="I196" s="32"/>
      <c r="J196" s="26" t="s">
        <v>96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5">
        <v>46111.0</v>
      </c>
      <c r="B197" s="26" t="s">
        <v>445</v>
      </c>
      <c r="C197" s="26" t="s">
        <v>705</v>
      </c>
      <c r="D197" s="26" t="s">
        <v>257</v>
      </c>
      <c r="E197" s="26" t="s">
        <v>247</v>
      </c>
      <c r="F197" s="27"/>
      <c r="G197" s="26" t="s">
        <v>14</v>
      </c>
      <c r="H197" s="28">
        <v>90000.0</v>
      </c>
      <c r="I197" s="29"/>
      <c r="J197" s="26" t="s">
        <v>96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5">
        <v>46111.0</v>
      </c>
      <c r="B198" s="26" t="s">
        <v>445</v>
      </c>
      <c r="C198" s="26" t="s">
        <v>228</v>
      </c>
      <c r="D198" s="26" t="s">
        <v>257</v>
      </c>
      <c r="E198" s="26" t="s">
        <v>247</v>
      </c>
      <c r="F198" s="27"/>
      <c r="G198" s="26" t="s">
        <v>14</v>
      </c>
      <c r="H198" s="28">
        <v>90000.0</v>
      </c>
      <c r="I198" s="29"/>
      <c r="J198" s="26" t="s">
        <v>96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5">
        <v>46111.0</v>
      </c>
      <c r="B199" s="26" t="s">
        <v>371</v>
      </c>
      <c r="C199" s="26" t="s">
        <v>372</v>
      </c>
      <c r="D199" s="26" t="s">
        <v>156</v>
      </c>
      <c r="E199" s="26" t="s">
        <v>13</v>
      </c>
      <c r="F199" s="27"/>
      <c r="G199" s="26" t="s">
        <v>14</v>
      </c>
      <c r="H199" s="28">
        <v>55000.0</v>
      </c>
      <c r="I199" s="29"/>
      <c r="J199" s="26" t="s">
        <v>96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5">
        <v>46111.0</v>
      </c>
      <c r="B200" s="26" t="s">
        <v>556</v>
      </c>
      <c r="C200" s="26" t="s">
        <v>439</v>
      </c>
      <c r="D200" s="26" t="s">
        <v>36</v>
      </c>
      <c r="E200" s="26" t="s">
        <v>13</v>
      </c>
      <c r="F200" s="27"/>
      <c r="G200" s="26" t="s">
        <v>14</v>
      </c>
      <c r="H200" s="28">
        <v>66000.0</v>
      </c>
      <c r="I200" s="29">
        <v>10.2</v>
      </c>
      <c r="J200" s="26" t="s">
        <v>15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5">
        <v>46111.0</v>
      </c>
      <c r="B201" s="26"/>
      <c r="C201" s="26"/>
      <c r="D201" s="26" t="s">
        <v>32</v>
      </c>
      <c r="E201" s="26" t="s">
        <v>33</v>
      </c>
      <c r="F201" s="27"/>
      <c r="G201" s="26" t="s">
        <v>28</v>
      </c>
      <c r="H201" s="28">
        <v>16000.0</v>
      </c>
      <c r="I201" s="29"/>
      <c r="J201" s="26" t="s">
        <v>34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5">
        <v>46112.0</v>
      </c>
      <c r="B202" s="26" t="s">
        <v>706</v>
      </c>
      <c r="C202" s="26" t="s">
        <v>707</v>
      </c>
      <c r="D202" s="26" t="s">
        <v>22</v>
      </c>
      <c r="E202" s="26" t="s">
        <v>23</v>
      </c>
      <c r="F202" s="27"/>
      <c r="G202" s="26" t="s">
        <v>14</v>
      </c>
      <c r="H202" s="28">
        <v>90000.0</v>
      </c>
      <c r="I202" s="29">
        <v>4.5</v>
      </c>
      <c r="J202" s="26" t="s">
        <v>15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5">
        <v>46112.0</v>
      </c>
      <c r="B203" s="26" t="s">
        <v>706</v>
      </c>
      <c r="C203" s="26" t="s">
        <v>708</v>
      </c>
      <c r="D203" s="26" t="s">
        <v>22</v>
      </c>
      <c r="E203" s="26" t="s">
        <v>23</v>
      </c>
      <c r="F203" s="27"/>
      <c r="G203" s="26" t="s">
        <v>14</v>
      </c>
      <c r="H203" s="28">
        <v>90000.0</v>
      </c>
      <c r="I203" s="29">
        <v>5.6</v>
      </c>
      <c r="J203" s="26" t="s">
        <v>15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5">
        <v>46112.0</v>
      </c>
      <c r="B204" s="26" t="s">
        <v>61</v>
      </c>
      <c r="C204" s="26" t="s">
        <v>62</v>
      </c>
      <c r="D204" s="26" t="s">
        <v>63</v>
      </c>
      <c r="E204" s="26" t="s">
        <v>13</v>
      </c>
      <c r="F204" s="27"/>
      <c r="G204" s="26" t="s">
        <v>14</v>
      </c>
      <c r="H204" s="28">
        <v>69000.0</v>
      </c>
      <c r="I204" s="29">
        <v>3.8</v>
      </c>
      <c r="J204" s="26" t="s">
        <v>15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5">
        <v>46112.0</v>
      </c>
      <c r="B205" s="26" t="s">
        <v>709</v>
      </c>
      <c r="C205" s="26" t="s">
        <v>710</v>
      </c>
      <c r="D205" s="26" t="s">
        <v>160</v>
      </c>
      <c r="E205" s="26" t="s">
        <v>157</v>
      </c>
      <c r="F205" s="27"/>
      <c r="G205" s="26" t="s">
        <v>14</v>
      </c>
      <c r="H205" s="28">
        <v>90000.0</v>
      </c>
      <c r="I205" s="29">
        <v>26.0</v>
      </c>
      <c r="J205" s="26" t="s">
        <v>15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5">
        <v>46112.0</v>
      </c>
      <c r="B206" s="26" t="s">
        <v>711</v>
      </c>
      <c r="C206" s="26" t="s">
        <v>314</v>
      </c>
      <c r="D206" s="26" t="s">
        <v>54</v>
      </c>
      <c r="E206" s="26" t="s">
        <v>13</v>
      </c>
      <c r="F206" s="27"/>
      <c r="G206" s="26" t="s">
        <v>14</v>
      </c>
      <c r="H206" s="28">
        <v>96000.0</v>
      </c>
      <c r="I206" s="29">
        <v>32.0</v>
      </c>
      <c r="J206" s="26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5">
        <v>46112.0</v>
      </c>
      <c r="B207" s="26" t="s">
        <v>711</v>
      </c>
      <c r="C207" s="26" t="s">
        <v>712</v>
      </c>
      <c r="D207" s="26" t="s">
        <v>82</v>
      </c>
      <c r="E207" s="26" t="s">
        <v>13</v>
      </c>
      <c r="F207" s="27"/>
      <c r="G207" s="26" t="s">
        <v>28</v>
      </c>
      <c r="H207" s="28">
        <v>66000.0</v>
      </c>
      <c r="I207" s="29">
        <v>22.5</v>
      </c>
      <c r="J207" s="26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5">
        <v>46112.0</v>
      </c>
      <c r="B208" s="26" t="s">
        <v>240</v>
      </c>
      <c r="C208" s="26" t="s">
        <v>687</v>
      </c>
      <c r="D208" s="26" t="s">
        <v>18</v>
      </c>
      <c r="E208" s="26" t="s">
        <v>23</v>
      </c>
      <c r="F208" s="27"/>
      <c r="G208" s="26" t="s">
        <v>14</v>
      </c>
      <c r="H208" s="28">
        <v>89000.0</v>
      </c>
      <c r="I208" s="29">
        <v>17.6</v>
      </c>
      <c r="J208" s="26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5">
        <v>46112.0</v>
      </c>
      <c r="B209" s="26" t="s">
        <v>713</v>
      </c>
      <c r="C209" s="26" t="s">
        <v>714</v>
      </c>
      <c r="D209" s="26" t="s">
        <v>27</v>
      </c>
      <c r="E209" s="26" t="s">
        <v>73</v>
      </c>
      <c r="F209" s="27"/>
      <c r="G209" s="26" t="s">
        <v>28</v>
      </c>
      <c r="H209" s="28">
        <v>149000.0</v>
      </c>
      <c r="I209" s="29"/>
      <c r="J209" s="26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5">
        <v>46112.0</v>
      </c>
      <c r="B210" s="26" t="s">
        <v>605</v>
      </c>
      <c r="C210" s="26" t="s">
        <v>465</v>
      </c>
      <c r="D210" s="26" t="s">
        <v>124</v>
      </c>
      <c r="E210" s="26" t="s">
        <v>13</v>
      </c>
      <c r="F210" s="27"/>
      <c r="G210" s="26" t="s">
        <v>14</v>
      </c>
      <c r="H210" s="28">
        <v>66000.0</v>
      </c>
      <c r="I210" s="29">
        <v>6.5</v>
      </c>
      <c r="J210" s="26" t="s">
        <v>38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5">
        <v>46112.0</v>
      </c>
      <c r="B211" s="26" t="s">
        <v>104</v>
      </c>
      <c r="C211" s="26" t="s">
        <v>384</v>
      </c>
      <c r="D211" s="26" t="s">
        <v>12</v>
      </c>
      <c r="E211" s="26" t="s">
        <v>13</v>
      </c>
      <c r="F211" s="27"/>
      <c r="G211" s="26" t="s">
        <v>14</v>
      </c>
      <c r="H211" s="28">
        <v>76000.0</v>
      </c>
      <c r="I211" s="29">
        <v>6.4</v>
      </c>
      <c r="J211" s="26" t="s">
        <v>15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5">
        <v>46112.0</v>
      </c>
      <c r="B212" s="26" t="s">
        <v>715</v>
      </c>
      <c r="C212" s="26" t="s">
        <v>716</v>
      </c>
      <c r="D212" s="26" t="s">
        <v>27</v>
      </c>
      <c r="E212" s="26" t="s">
        <v>13</v>
      </c>
      <c r="F212" s="27"/>
      <c r="G212" s="26" t="s">
        <v>14</v>
      </c>
      <c r="H212" s="28">
        <v>61000.0</v>
      </c>
      <c r="I212" s="29">
        <v>11.3</v>
      </c>
      <c r="J212" s="26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5">
        <v>46112.0</v>
      </c>
      <c r="B213" s="26" t="s">
        <v>715</v>
      </c>
      <c r="C213" s="26" t="s">
        <v>717</v>
      </c>
      <c r="D213" s="26" t="s">
        <v>72</v>
      </c>
      <c r="E213" s="26" t="s">
        <v>13</v>
      </c>
      <c r="F213" s="27"/>
      <c r="G213" s="26" t="s">
        <v>28</v>
      </c>
      <c r="H213" s="28">
        <v>36000.0</v>
      </c>
      <c r="I213" s="29">
        <v>6.9</v>
      </c>
      <c r="J213" s="26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5">
        <v>46112.0</v>
      </c>
      <c r="B214" s="26" t="s">
        <v>715</v>
      </c>
      <c r="C214" s="26" t="s">
        <v>608</v>
      </c>
      <c r="D214" s="26" t="s">
        <v>72</v>
      </c>
      <c r="E214" s="26" t="s">
        <v>13</v>
      </c>
      <c r="F214" s="27"/>
      <c r="G214" s="26" t="s">
        <v>28</v>
      </c>
      <c r="H214" s="28">
        <v>36000.0</v>
      </c>
      <c r="I214" s="29">
        <v>5.4</v>
      </c>
      <c r="J214" s="26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5">
        <v>46112.0</v>
      </c>
      <c r="B215" s="26" t="s">
        <v>715</v>
      </c>
      <c r="C215" s="26" t="s">
        <v>718</v>
      </c>
      <c r="D215" s="26" t="s">
        <v>72</v>
      </c>
      <c r="E215" s="26" t="s">
        <v>13</v>
      </c>
      <c r="F215" s="27"/>
      <c r="G215" s="26" t="s">
        <v>28</v>
      </c>
      <c r="H215" s="28">
        <v>36000.0</v>
      </c>
      <c r="I215" s="29">
        <v>4.4</v>
      </c>
      <c r="J215" s="26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5">
        <v>46112.0</v>
      </c>
      <c r="B216" s="27"/>
      <c r="C216" s="27"/>
      <c r="D216" s="26" t="s">
        <v>109</v>
      </c>
      <c r="E216" s="26" t="s">
        <v>33</v>
      </c>
      <c r="F216" s="27"/>
      <c r="G216" s="26" t="s">
        <v>28</v>
      </c>
      <c r="H216" s="28">
        <v>16000.0</v>
      </c>
      <c r="I216" s="33"/>
      <c r="J216" s="26" t="s">
        <v>34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5">
        <v>46112.0</v>
      </c>
      <c r="B217" s="26" t="s">
        <v>719</v>
      </c>
      <c r="C217" s="26" t="s">
        <v>320</v>
      </c>
      <c r="D217" s="26" t="s">
        <v>109</v>
      </c>
      <c r="E217" s="26" t="s">
        <v>13</v>
      </c>
      <c r="F217" s="27"/>
      <c r="G217" s="26" t="s">
        <v>28</v>
      </c>
      <c r="H217" s="28">
        <v>36000.0</v>
      </c>
      <c r="I217" s="29">
        <v>5.4</v>
      </c>
      <c r="J217" s="26" t="s">
        <v>15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3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3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3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3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3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3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3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3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3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3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3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3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3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3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3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3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3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3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3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3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3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3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3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3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3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3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3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3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3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3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3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3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3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3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3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3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3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3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3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3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3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3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3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3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3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3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3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3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3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3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3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3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3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3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3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3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3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3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3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3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3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3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3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3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3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3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3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3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3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3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3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3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3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3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3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3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3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3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3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3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3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3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3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3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3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3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3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3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3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3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3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3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3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3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3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3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3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3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3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3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3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3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3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3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3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3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3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3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3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3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3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3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3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3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3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3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3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3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3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3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3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3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3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3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3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3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3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3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3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3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3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3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3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3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3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3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3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3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3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3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3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3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3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3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3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3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3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3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3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3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3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3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3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3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3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3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3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3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3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3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3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3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3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3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3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3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3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3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3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3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3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3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3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3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3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3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3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3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3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3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3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3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3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3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3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3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3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3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3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3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3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3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3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3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3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3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3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3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3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3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3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3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3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3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3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3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3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3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3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3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3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3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3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3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3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3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3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3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3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3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3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3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3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3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3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3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3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3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3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3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3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3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3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3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3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3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3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3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3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3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3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3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3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3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3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3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3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3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3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3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3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3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3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3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3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3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3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3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3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3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3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3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3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3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3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3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3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3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3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3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3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3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3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3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3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3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3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3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3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3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3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3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3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3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3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3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3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3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3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3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3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3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3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3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3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3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3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3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3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3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3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3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3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3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3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3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3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3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3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3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3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3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3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3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3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3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3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3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3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3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3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3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3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3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3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3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3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3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3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3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3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3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3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3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3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3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3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3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3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3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3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3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3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3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3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3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3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3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3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3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3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3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3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3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3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3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3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3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3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3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3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3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3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3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3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3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3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3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3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3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3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3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3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3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3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3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3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3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3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3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3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3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3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3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3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3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3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3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3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3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3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3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3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3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3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3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3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3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3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3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3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3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3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3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3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3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3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3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3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3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3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3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3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3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3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3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3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3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3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3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3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3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3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3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3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3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3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3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3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3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3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3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3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3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3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3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3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3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3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3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3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3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3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3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3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3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3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3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3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3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3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3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3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3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3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3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3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3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3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3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3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3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3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3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3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3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3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3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3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3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3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3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3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3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3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3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3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3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3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3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3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3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3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3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3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3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3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3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3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3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3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3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3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3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3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3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3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3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3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3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3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3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3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3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3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3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3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3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3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3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3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3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3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3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3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3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3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3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3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3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3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3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3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3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3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3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3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3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3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3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3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3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3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3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3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3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3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3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3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3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3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3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3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3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3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3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3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3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3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3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3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3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3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3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3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3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3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3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3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3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3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3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3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3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3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3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3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3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3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3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3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3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3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3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3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3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3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3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3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3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3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3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3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3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3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3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3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3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3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3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3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3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3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3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3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3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3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3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3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3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3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3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3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3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3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3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3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3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3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3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3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3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3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3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3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3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3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3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3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3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3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3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3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3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3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3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3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3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3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3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3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3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3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3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3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3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3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3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3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3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3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3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3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3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3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3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3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3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3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3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3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3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3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3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3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3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3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3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3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3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3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3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3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3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3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3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3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3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3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3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3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3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3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3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3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3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3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3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3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3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3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3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3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3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3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3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3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3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3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3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3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3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3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3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3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3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3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3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3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3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3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3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3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3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3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3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3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3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3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3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3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3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3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3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3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3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3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3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3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3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3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3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3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3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</sheetData>
  <autoFilter ref="$A$1:$Z$978"/>
  <dataValidations>
    <dataValidation type="list" allowBlank="1" showErrorMessage="1" sqref="D76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BERNA,SPRINGER SPANIEL"</formula1>
    </dataValidation>
    <dataValidation type="list" allowBlank="1" showErrorMessage="1" sqref="D2:D16 D18:D75 D77:D94 D96:D217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,PASTOR BELGA ,DALMATA,TERRANOVA,SPRINGER SPANIEL,CAVA"&amp;"POO"</formula1>
    </dataValidation>
    <dataValidation type="list" allowBlank="1" showErrorMessage="1" sqref="D17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"</formula1>
    </dataValidation>
    <dataValidation type="list" allowBlank="1" showErrorMessage="1" sqref="G2:G217">
      <formula1>"LARGO,CORTO"</formula1>
    </dataValidation>
    <dataValidation type="list" allowBlank="1" showErrorMessage="1" sqref="J2:J217">
      <formula1>"MOÑO,MOÑOS,CORBATÍN,PAÑOLETA,NO"</formula1>
    </dataValidation>
    <dataValidation type="list" allowBlank="1" showErrorMessage="1" sqref="E2:E217">
      <formula1>"BAÑO EVA,FLASH BATH,CAT LOVER,EVA PRIMITIVO,EVA ALTERNATIVO,EVA'S GROOMING,STRIPPING,CORTE DE UÑAS,PEINADO,EVA LISO PERFECTO,SESIÓN DESENREDO,LIMPIEZA DENTAL PROFUNDA"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20.88"/>
    <col customWidth="1" min="4" max="4" width="19.88"/>
    <col customWidth="1" min="5" max="5" width="31.88"/>
    <col customWidth="1" min="6" max="6" width="21.25"/>
    <col customWidth="1" min="7" max="7" width="17.38"/>
    <col customWidth="1" min="8" max="8" width="11.75"/>
    <col customWidth="1" min="10" max="10" width="16.63"/>
  </cols>
  <sheetData>
    <row r="1">
      <c r="A1" s="26" t="s">
        <v>720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3" t="s">
        <v>8</v>
      </c>
      <c r="J1" s="21" t="s">
        <v>518</v>
      </c>
      <c r="K1" s="30" t="s">
        <v>721</v>
      </c>
      <c r="L1" s="30" t="s">
        <v>722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25">
        <v>46113.0</v>
      </c>
      <c r="B2" s="26" t="s">
        <v>723</v>
      </c>
      <c r="C2" s="26" t="s">
        <v>482</v>
      </c>
      <c r="D2" s="26" t="s">
        <v>27</v>
      </c>
      <c r="E2" s="26" t="s">
        <v>73</v>
      </c>
      <c r="F2" s="27"/>
      <c r="G2" s="26" t="s">
        <v>28</v>
      </c>
      <c r="H2" s="28">
        <v>149000.0</v>
      </c>
      <c r="I2" s="29">
        <v>11.5</v>
      </c>
      <c r="J2" s="26" t="s">
        <v>34</v>
      </c>
      <c r="K2" s="30" t="s">
        <v>34</v>
      </c>
      <c r="L2" s="30" t="s">
        <v>34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25">
        <v>46113.0</v>
      </c>
      <c r="B3" s="26" t="s">
        <v>100</v>
      </c>
      <c r="C3" s="26" t="s">
        <v>332</v>
      </c>
      <c r="D3" s="26" t="s">
        <v>12</v>
      </c>
      <c r="E3" s="26" t="s">
        <v>23</v>
      </c>
      <c r="F3" s="27"/>
      <c r="G3" s="26" t="s">
        <v>14</v>
      </c>
      <c r="H3" s="28">
        <v>86000.0</v>
      </c>
      <c r="I3" s="29">
        <v>3.4</v>
      </c>
      <c r="J3" s="26"/>
      <c r="K3" s="30" t="s">
        <v>34</v>
      </c>
      <c r="L3" s="30" t="s">
        <v>34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25">
        <v>46113.0</v>
      </c>
      <c r="B4" s="26" t="s">
        <v>724</v>
      </c>
      <c r="C4" s="26" t="s">
        <v>444</v>
      </c>
      <c r="D4" s="26" t="s">
        <v>22</v>
      </c>
      <c r="E4" s="26" t="s">
        <v>23</v>
      </c>
      <c r="F4" s="27"/>
      <c r="G4" s="26" t="s">
        <v>14</v>
      </c>
      <c r="H4" s="28">
        <v>96000.0</v>
      </c>
      <c r="I4" s="29">
        <v>3.0</v>
      </c>
      <c r="J4" s="26"/>
      <c r="K4" s="30" t="s">
        <v>34</v>
      </c>
      <c r="L4" s="30" t="s">
        <v>34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A5" s="25">
        <v>46113.0</v>
      </c>
      <c r="B5" s="26" t="s">
        <v>267</v>
      </c>
      <c r="C5" s="26" t="s">
        <v>268</v>
      </c>
      <c r="D5" s="26" t="s">
        <v>156</v>
      </c>
      <c r="E5" s="26" t="s">
        <v>13</v>
      </c>
      <c r="F5" s="26"/>
      <c r="G5" s="26" t="s">
        <v>14</v>
      </c>
      <c r="H5" s="28">
        <v>70000.0</v>
      </c>
      <c r="I5" s="29">
        <v>5.1</v>
      </c>
      <c r="J5" s="26"/>
      <c r="K5" s="30" t="s">
        <v>34</v>
      </c>
      <c r="L5" s="30" t="s">
        <v>34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25">
        <v>46113.0</v>
      </c>
      <c r="B6" s="26" t="s">
        <v>613</v>
      </c>
      <c r="C6" s="26" t="s">
        <v>725</v>
      </c>
      <c r="D6" s="26" t="s">
        <v>12</v>
      </c>
      <c r="E6" s="26" t="s">
        <v>13</v>
      </c>
      <c r="F6" s="27"/>
      <c r="G6" s="26" t="s">
        <v>14</v>
      </c>
      <c r="H6" s="28">
        <v>66000.0</v>
      </c>
      <c r="I6" s="29">
        <v>3.0</v>
      </c>
      <c r="J6" s="26"/>
      <c r="K6" s="30" t="s">
        <v>34</v>
      </c>
      <c r="L6" s="30" t="s">
        <v>34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25">
        <v>46113.0</v>
      </c>
      <c r="B7" s="26" t="s">
        <v>726</v>
      </c>
      <c r="C7" s="26" t="s">
        <v>123</v>
      </c>
      <c r="D7" s="26" t="s">
        <v>12</v>
      </c>
      <c r="E7" s="26" t="s">
        <v>13</v>
      </c>
      <c r="F7" s="27"/>
      <c r="G7" s="26" t="s">
        <v>14</v>
      </c>
      <c r="H7" s="28">
        <v>69000.0</v>
      </c>
      <c r="I7" s="29">
        <v>4.0</v>
      </c>
      <c r="J7" s="26"/>
      <c r="K7" s="30" t="s">
        <v>34</v>
      </c>
      <c r="L7" s="30" t="s">
        <v>34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25">
        <v>46113.0</v>
      </c>
      <c r="B8" s="26" t="s">
        <v>727</v>
      </c>
      <c r="C8" s="26" t="s">
        <v>391</v>
      </c>
      <c r="D8" s="26" t="s">
        <v>156</v>
      </c>
      <c r="E8" s="26" t="s">
        <v>23</v>
      </c>
      <c r="F8" s="27"/>
      <c r="G8" s="26" t="s">
        <v>14</v>
      </c>
      <c r="H8" s="28">
        <v>80000.0</v>
      </c>
      <c r="I8" s="29">
        <v>3.3</v>
      </c>
      <c r="J8" s="26"/>
      <c r="K8" s="30" t="s">
        <v>34</v>
      </c>
      <c r="L8" s="30" t="s">
        <v>34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25">
        <v>46113.0</v>
      </c>
      <c r="B9" s="26" t="s">
        <v>727</v>
      </c>
      <c r="C9" s="26" t="s">
        <v>392</v>
      </c>
      <c r="D9" s="26" t="s">
        <v>156</v>
      </c>
      <c r="E9" s="26" t="s">
        <v>23</v>
      </c>
      <c r="F9" s="27"/>
      <c r="G9" s="26" t="s">
        <v>14</v>
      </c>
      <c r="H9" s="28">
        <v>80000.0</v>
      </c>
      <c r="I9" s="26">
        <v>6.6</v>
      </c>
      <c r="J9" s="26"/>
      <c r="K9" s="30" t="s">
        <v>34</v>
      </c>
      <c r="L9" s="30" t="s">
        <v>34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25">
        <v>46113.0</v>
      </c>
      <c r="B10" s="26" t="s">
        <v>728</v>
      </c>
      <c r="C10" s="26" t="s">
        <v>729</v>
      </c>
      <c r="D10" s="26" t="s">
        <v>18</v>
      </c>
      <c r="E10" s="26" t="s">
        <v>73</v>
      </c>
      <c r="F10" s="27"/>
      <c r="G10" s="26" t="s">
        <v>14</v>
      </c>
      <c r="H10" s="28">
        <v>140000.0</v>
      </c>
      <c r="I10" s="29"/>
      <c r="J10" s="26" t="s">
        <v>34</v>
      </c>
      <c r="K10" s="30" t="s">
        <v>730</v>
      </c>
      <c r="L10" s="30" t="s">
        <v>730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5">
        <v>46113.0</v>
      </c>
      <c r="B11" s="26" t="s">
        <v>731</v>
      </c>
      <c r="C11" s="26" t="s">
        <v>732</v>
      </c>
      <c r="D11" s="26" t="s">
        <v>72</v>
      </c>
      <c r="E11" s="26" t="s">
        <v>13</v>
      </c>
      <c r="F11" s="26"/>
      <c r="G11" s="26" t="s">
        <v>28</v>
      </c>
      <c r="H11" s="28">
        <v>46000.0</v>
      </c>
      <c r="I11" s="29">
        <v>2.4</v>
      </c>
      <c r="J11" s="26"/>
      <c r="K11" s="30" t="s">
        <v>34</v>
      </c>
      <c r="L11" s="30" t="s">
        <v>34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5">
        <v>46113.0</v>
      </c>
      <c r="B12" s="26" t="s">
        <v>731</v>
      </c>
      <c r="C12" s="26" t="s">
        <v>733</v>
      </c>
      <c r="D12" s="26" t="s">
        <v>22</v>
      </c>
      <c r="E12" s="26" t="s">
        <v>13</v>
      </c>
      <c r="F12" s="26"/>
      <c r="G12" s="26" t="s">
        <v>14</v>
      </c>
      <c r="H12" s="28">
        <v>60000.0</v>
      </c>
      <c r="I12" s="29">
        <v>1.7</v>
      </c>
      <c r="J12" s="26"/>
      <c r="K12" s="30" t="s">
        <v>34</v>
      </c>
      <c r="L12" s="30" t="s">
        <v>34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5">
        <v>46113.0</v>
      </c>
      <c r="B13" s="26" t="s">
        <v>734</v>
      </c>
      <c r="C13" s="26" t="s">
        <v>735</v>
      </c>
      <c r="D13" s="26" t="s">
        <v>199</v>
      </c>
      <c r="E13" s="26" t="s">
        <v>13</v>
      </c>
      <c r="F13" s="27"/>
      <c r="G13" s="26" t="s">
        <v>14</v>
      </c>
      <c r="H13" s="28">
        <v>105000.0</v>
      </c>
      <c r="I13" s="29"/>
      <c r="J13" s="26"/>
      <c r="K13" s="30" t="s">
        <v>34</v>
      </c>
      <c r="L13" s="30" t="s">
        <v>34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5">
        <v>46113.0</v>
      </c>
      <c r="B14" s="26" t="s">
        <v>736</v>
      </c>
      <c r="C14" s="26" t="s">
        <v>320</v>
      </c>
      <c r="D14" s="26" t="s">
        <v>109</v>
      </c>
      <c r="E14" s="26" t="s">
        <v>13</v>
      </c>
      <c r="F14" s="27"/>
      <c r="G14" s="26" t="s">
        <v>28</v>
      </c>
      <c r="H14" s="28">
        <v>36000.0</v>
      </c>
      <c r="I14" s="29">
        <v>4.6</v>
      </c>
      <c r="J14" s="26" t="s">
        <v>15</v>
      </c>
      <c r="K14" s="30" t="s">
        <v>34</v>
      </c>
      <c r="L14" s="30" t="s">
        <v>34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25">
        <v>46113.0</v>
      </c>
      <c r="B15" s="1" t="s">
        <v>41</v>
      </c>
      <c r="C15" s="1" t="s">
        <v>461</v>
      </c>
      <c r="D15" s="1" t="s">
        <v>27</v>
      </c>
      <c r="E15" s="1" t="s">
        <v>13</v>
      </c>
      <c r="F15" s="7"/>
      <c r="G15" s="1" t="s">
        <v>28</v>
      </c>
      <c r="H15" s="8">
        <v>40000.0</v>
      </c>
      <c r="I15" s="29">
        <v>6.0</v>
      </c>
      <c r="J15" s="26" t="s">
        <v>15</v>
      </c>
      <c r="K15" s="30" t="s">
        <v>34</v>
      </c>
      <c r="L15" s="30" t="s">
        <v>34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25"/>
      <c r="B16" s="26"/>
      <c r="C16" s="26"/>
      <c r="D16" s="26"/>
      <c r="E16" s="26"/>
      <c r="F16" s="27"/>
      <c r="G16" s="26"/>
      <c r="H16" s="28"/>
      <c r="I16" s="29"/>
      <c r="J16" s="26"/>
      <c r="K16" s="30" t="s">
        <v>34</v>
      </c>
      <c r="L16" s="30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25"/>
      <c r="B17" s="26"/>
      <c r="C17" s="26"/>
      <c r="D17" s="26"/>
      <c r="E17" s="26"/>
      <c r="F17" s="27"/>
      <c r="G17" s="26"/>
      <c r="H17" s="28"/>
      <c r="I17" s="29"/>
      <c r="J17" s="26"/>
      <c r="K17" s="24"/>
      <c r="L17" s="24"/>
      <c r="M17" s="30" t="s">
        <v>545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25"/>
      <c r="B18" s="26"/>
      <c r="C18" s="26"/>
      <c r="D18" s="26"/>
      <c r="E18" s="26"/>
      <c r="F18" s="27"/>
      <c r="G18" s="26"/>
      <c r="H18" s="28"/>
      <c r="I18" s="29"/>
      <c r="J18" s="2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25"/>
      <c r="B19" s="26"/>
      <c r="C19" s="26"/>
      <c r="D19" s="26"/>
      <c r="E19" s="26"/>
      <c r="F19" s="27"/>
      <c r="G19" s="26"/>
      <c r="H19" s="28"/>
      <c r="I19" s="29"/>
      <c r="J19" s="2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25"/>
      <c r="B20" s="26"/>
      <c r="C20" s="26"/>
      <c r="D20" s="26"/>
      <c r="E20" s="26"/>
      <c r="F20" s="27"/>
      <c r="G20" s="26"/>
      <c r="H20" s="28"/>
      <c r="I20" s="26"/>
      <c r="J20" s="26"/>
      <c r="K20" s="30"/>
      <c r="L20" s="30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25"/>
      <c r="B21" s="26"/>
      <c r="C21" s="26"/>
      <c r="D21" s="26"/>
      <c r="E21" s="26"/>
      <c r="F21" s="27"/>
      <c r="G21" s="26"/>
      <c r="H21" s="28"/>
      <c r="I21" s="26"/>
      <c r="J21" s="26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25"/>
      <c r="B22" s="26"/>
      <c r="C22" s="26"/>
      <c r="D22" s="26"/>
      <c r="E22" s="26"/>
      <c r="F22" s="27"/>
      <c r="G22" s="26"/>
      <c r="H22" s="28"/>
      <c r="I22" s="29"/>
      <c r="J22" s="2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25"/>
      <c r="B23" s="26"/>
      <c r="C23" s="26"/>
      <c r="D23" s="26"/>
      <c r="E23" s="26"/>
      <c r="F23" s="27"/>
      <c r="G23" s="26"/>
      <c r="H23" s="28"/>
      <c r="I23" s="29"/>
      <c r="J23" s="26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25"/>
      <c r="B24" s="26"/>
      <c r="C24" s="26"/>
      <c r="D24" s="26"/>
      <c r="E24" s="26"/>
      <c r="F24" s="27"/>
      <c r="G24" s="26"/>
      <c r="H24" s="28"/>
      <c r="I24" s="29"/>
      <c r="J24" s="26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25"/>
      <c r="B25" s="26"/>
      <c r="C25" s="26"/>
      <c r="D25" s="26"/>
      <c r="E25" s="26"/>
      <c r="F25" s="27"/>
      <c r="G25" s="26"/>
      <c r="H25" s="28"/>
      <c r="I25" s="29"/>
      <c r="J25" s="26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25"/>
      <c r="B26" s="26"/>
      <c r="C26" s="26"/>
      <c r="D26" s="26"/>
      <c r="E26" s="26"/>
      <c r="F26" s="26"/>
      <c r="G26" s="26"/>
      <c r="H26" s="28"/>
      <c r="I26" s="29"/>
      <c r="J26" s="26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25"/>
      <c r="B27" s="26"/>
      <c r="C27" s="26"/>
      <c r="D27" s="26"/>
      <c r="E27" s="26"/>
      <c r="F27" s="27"/>
      <c r="G27" s="26"/>
      <c r="H27" s="28"/>
      <c r="I27" s="29"/>
      <c r="J27" s="26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25"/>
      <c r="B28" s="26"/>
      <c r="C28" s="26"/>
      <c r="D28" s="26"/>
      <c r="E28" s="26"/>
      <c r="F28" s="27"/>
      <c r="G28" s="26"/>
      <c r="H28" s="28"/>
      <c r="I28" s="29"/>
      <c r="J28" s="2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25"/>
      <c r="B29" s="26"/>
      <c r="C29" s="26"/>
      <c r="D29" s="26"/>
      <c r="E29" s="26"/>
      <c r="F29" s="27"/>
      <c r="G29" s="26"/>
      <c r="H29" s="28"/>
      <c r="I29" s="29"/>
      <c r="J29" s="26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25"/>
      <c r="B30" s="26"/>
      <c r="C30" s="26"/>
      <c r="D30" s="26"/>
      <c r="E30" s="26"/>
      <c r="F30" s="27"/>
      <c r="G30" s="26"/>
      <c r="H30" s="28"/>
      <c r="I30" s="29"/>
      <c r="J30" s="26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25"/>
      <c r="B31" s="26"/>
      <c r="C31" s="26"/>
      <c r="D31" s="26"/>
      <c r="E31" s="26"/>
      <c r="F31" s="27"/>
      <c r="G31" s="26"/>
      <c r="H31" s="28"/>
      <c r="I31" s="29"/>
      <c r="J31" s="26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25"/>
      <c r="B32" s="26"/>
      <c r="C32" s="26"/>
      <c r="D32" s="26"/>
      <c r="E32" s="26"/>
      <c r="F32" s="27"/>
      <c r="G32" s="26"/>
      <c r="H32" s="28"/>
      <c r="I32" s="29"/>
      <c r="J32" s="26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25"/>
      <c r="B33" s="26"/>
      <c r="C33" s="26"/>
      <c r="D33" s="26"/>
      <c r="E33" s="26"/>
      <c r="F33" s="27"/>
      <c r="G33" s="26"/>
      <c r="H33" s="28"/>
      <c r="I33" s="29"/>
      <c r="J33" s="26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25"/>
      <c r="B34" s="26"/>
      <c r="C34" s="26"/>
      <c r="D34" s="26"/>
      <c r="E34" s="26"/>
      <c r="F34" s="27"/>
      <c r="G34" s="26"/>
      <c r="H34" s="28"/>
      <c r="I34" s="29"/>
      <c r="J34" s="26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25"/>
      <c r="B35" s="26"/>
      <c r="C35" s="26"/>
      <c r="D35" s="26"/>
      <c r="E35" s="26"/>
      <c r="F35" s="26"/>
      <c r="G35" s="26"/>
      <c r="H35" s="28"/>
      <c r="I35" s="29"/>
      <c r="J35" s="26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25"/>
      <c r="B36" s="26"/>
      <c r="C36" s="26"/>
      <c r="D36" s="26"/>
      <c r="E36" s="26"/>
      <c r="F36" s="26"/>
      <c r="G36" s="26"/>
      <c r="H36" s="28"/>
      <c r="I36" s="29"/>
      <c r="J36" s="26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25"/>
      <c r="B37" s="26"/>
      <c r="C37" s="26"/>
      <c r="D37" s="26"/>
      <c r="E37" s="26"/>
      <c r="F37" s="27"/>
      <c r="G37" s="26"/>
      <c r="H37" s="28"/>
      <c r="I37" s="29"/>
      <c r="J37" s="26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25"/>
      <c r="B38" s="26"/>
      <c r="C38" s="26"/>
      <c r="D38" s="26"/>
      <c r="E38" s="26"/>
      <c r="F38" s="27"/>
      <c r="G38" s="26"/>
      <c r="H38" s="28"/>
      <c r="I38" s="29"/>
      <c r="J38" s="26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25"/>
      <c r="B39" s="26"/>
      <c r="C39" s="26"/>
      <c r="D39" s="26"/>
      <c r="E39" s="26"/>
      <c r="F39" s="26"/>
      <c r="G39" s="26"/>
      <c r="H39" s="28"/>
      <c r="I39" s="29"/>
      <c r="J39" s="26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5"/>
      <c r="B40" s="26"/>
      <c r="C40" s="26"/>
      <c r="D40" s="26"/>
      <c r="E40" s="26"/>
      <c r="F40" s="27"/>
      <c r="G40" s="26"/>
      <c r="H40" s="28"/>
      <c r="I40" s="29"/>
      <c r="J40" s="26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5"/>
      <c r="B41" s="26"/>
      <c r="C41" s="26"/>
      <c r="D41" s="26"/>
      <c r="E41" s="26"/>
      <c r="F41" s="27"/>
      <c r="G41" s="26"/>
      <c r="H41" s="28"/>
      <c r="I41" s="29"/>
      <c r="J41" s="26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5"/>
      <c r="B42" s="26"/>
      <c r="C42" s="26"/>
      <c r="D42" s="26"/>
      <c r="E42" s="26"/>
      <c r="F42" s="27"/>
      <c r="G42" s="26"/>
      <c r="H42" s="28"/>
      <c r="I42" s="29"/>
      <c r="J42" s="26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5"/>
      <c r="B43" s="26"/>
      <c r="C43" s="26"/>
      <c r="D43" s="26"/>
      <c r="E43" s="26"/>
      <c r="F43" s="27"/>
      <c r="G43" s="26"/>
      <c r="H43" s="28"/>
      <c r="I43" s="29"/>
      <c r="J43" s="26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5"/>
      <c r="B44" s="26"/>
      <c r="C44" s="26"/>
      <c r="D44" s="26"/>
      <c r="E44" s="26"/>
      <c r="F44" s="27"/>
      <c r="G44" s="26"/>
      <c r="H44" s="28"/>
      <c r="I44" s="29"/>
      <c r="J44" s="26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5"/>
      <c r="B45" s="26"/>
      <c r="C45" s="26"/>
      <c r="D45" s="26"/>
      <c r="E45" s="26"/>
      <c r="F45" s="26"/>
      <c r="G45" s="26"/>
      <c r="H45" s="28"/>
      <c r="I45" s="29"/>
      <c r="J45" s="26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5"/>
      <c r="B46" s="26"/>
      <c r="C46" s="26"/>
      <c r="D46" s="26"/>
      <c r="E46" s="26"/>
      <c r="F46" s="27"/>
      <c r="G46" s="26"/>
      <c r="H46" s="28"/>
      <c r="I46" s="29"/>
      <c r="J46" s="26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5"/>
      <c r="B47" s="26"/>
      <c r="C47" s="26"/>
      <c r="D47" s="26"/>
      <c r="E47" s="26"/>
      <c r="F47" s="27"/>
      <c r="G47" s="26"/>
      <c r="H47" s="28"/>
      <c r="I47" s="29"/>
      <c r="J47" s="26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5"/>
      <c r="B48" s="26"/>
      <c r="C48" s="26"/>
      <c r="D48" s="26"/>
      <c r="E48" s="26"/>
      <c r="F48" s="27"/>
      <c r="G48" s="26"/>
      <c r="H48" s="28"/>
      <c r="I48" s="29"/>
      <c r="J48" s="26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5"/>
      <c r="B49" s="26"/>
      <c r="C49" s="26"/>
      <c r="D49" s="26"/>
      <c r="E49" s="26"/>
      <c r="F49" s="27"/>
      <c r="G49" s="26"/>
      <c r="H49" s="28"/>
      <c r="I49" s="29"/>
      <c r="J49" s="26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5"/>
      <c r="B50" s="26"/>
      <c r="C50" s="26"/>
      <c r="D50" s="26"/>
      <c r="E50" s="26"/>
      <c r="F50" s="27"/>
      <c r="G50" s="26"/>
      <c r="H50" s="28"/>
      <c r="I50" s="29"/>
      <c r="J50" s="26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5"/>
      <c r="B51" s="26"/>
      <c r="C51" s="26"/>
      <c r="D51" s="26"/>
      <c r="E51" s="26"/>
      <c r="F51" s="27"/>
      <c r="G51" s="26"/>
      <c r="H51" s="28"/>
      <c r="I51" s="29"/>
      <c r="J51" s="2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5"/>
      <c r="B52" s="26"/>
      <c r="C52" s="26"/>
      <c r="D52" s="26"/>
      <c r="E52" s="26"/>
      <c r="F52" s="27"/>
      <c r="G52" s="26"/>
      <c r="H52" s="28"/>
      <c r="I52" s="29"/>
      <c r="J52" s="26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5"/>
      <c r="B53" s="26"/>
      <c r="C53" s="26"/>
      <c r="D53" s="26"/>
      <c r="E53" s="26"/>
      <c r="F53" s="27"/>
      <c r="G53" s="26"/>
      <c r="H53" s="28"/>
      <c r="I53" s="29"/>
      <c r="J53" s="26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5"/>
      <c r="B54" s="26"/>
      <c r="C54" s="26"/>
      <c r="D54" s="26"/>
      <c r="E54" s="26"/>
      <c r="F54" s="27"/>
      <c r="G54" s="26"/>
      <c r="H54" s="28"/>
      <c r="I54" s="29"/>
      <c r="J54" s="26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5"/>
      <c r="B55" s="26"/>
      <c r="C55" s="26"/>
      <c r="D55" s="26"/>
      <c r="E55" s="26"/>
      <c r="F55" s="27"/>
      <c r="G55" s="26"/>
      <c r="H55" s="28"/>
      <c r="I55" s="29"/>
      <c r="J55" s="26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5"/>
      <c r="B56" s="26"/>
      <c r="C56" s="26"/>
      <c r="D56" s="26"/>
      <c r="E56" s="26"/>
      <c r="F56" s="27"/>
      <c r="G56" s="26"/>
      <c r="H56" s="28"/>
      <c r="I56" s="29"/>
      <c r="J56" s="26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5"/>
      <c r="B57" s="26"/>
      <c r="C57" s="26"/>
      <c r="D57" s="26"/>
      <c r="E57" s="26"/>
      <c r="F57" s="27"/>
      <c r="G57" s="26"/>
      <c r="H57" s="28"/>
      <c r="I57" s="29"/>
      <c r="J57" s="26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5"/>
      <c r="B58" s="26"/>
      <c r="C58" s="26"/>
      <c r="D58" s="26"/>
      <c r="E58" s="26"/>
      <c r="F58" s="27"/>
      <c r="G58" s="26"/>
      <c r="H58" s="28"/>
      <c r="I58" s="29"/>
      <c r="J58" s="26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5"/>
      <c r="B59" s="26"/>
      <c r="C59" s="26"/>
      <c r="D59" s="26"/>
      <c r="E59" s="26"/>
      <c r="F59" s="27"/>
      <c r="G59" s="26"/>
      <c r="H59" s="28"/>
      <c r="I59" s="29"/>
      <c r="J59" s="26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5"/>
      <c r="B60" s="26"/>
      <c r="C60" s="26"/>
      <c r="D60" s="26"/>
      <c r="E60" s="26"/>
      <c r="F60" s="27"/>
      <c r="G60" s="26"/>
      <c r="H60" s="28"/>
      <c r="I60" s="29"/>
      <c r="J60" s="26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5"/>
      <c r="B61" s="26"/>
      <c r="C61" s="26"/>
      <c r="D61" s="26"/>
      <c r="E61" s="26"/>
      <c r="F61" s="26"/>
      <c r="G61" s="26"/>
      <c r="H61" s="28"/>
      <c r="I61" s="29"/>
      <c r="J61" s="26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5"/>
      <c r="B62" s="26"/>
      <c r="C62" s="26"/>
      <c r="D62" s="26"/>
      <c r="E62" s="26"/>
      <c r="F62" s="27"/>
      <c r="G62" s="26"/>
      <c r="H62" s="28"/>
      <c r="I62" s="29"/>
      <c r="J62" s="26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5"/>
      <c r="B63" s="26"/>
      <c r="C63" s="26"/>
      <c r="D63" s="26"/>
      <c r="E63" s="26"/>
      <c r="F63" s="27"/>
      <c r="G63" s="26"/>
      <c r="H63" s="28"/>
      <c r="I63" s="29"/>
      <c r="J63" s="26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5"/>
      <c r="B64" s="26"/>
      <c r="C64" s="26"/>
      <c r="D64" s="26"/>
      <c r="E64" s="26"/>
      <c r="F64" s="27"/>
      <c r="G64" s="26"/>
      <c r="H64" s="28"/>
      <c r="I64" s="29"/>
      <c r="J64" s="26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5"/>
      <c r="B65" s="26"/>
      <c r="C65" s="26"/>
      <c r="D65" s="26"/>
      <c r="E65" s="26"/>
      <c r="F65" s="27"/>
      <c r="G65" s="26"/>
      <c r="H65" s="28"/>
      <c r="I65" s="29"/>
      <c r="J65" s="26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5"/>
      <c r="B66" s="26"/>
      <c r="C66" s="26"/>
      <c r="D66" s="26"/>
      <c r="E66" s="26"/>
      <c r="F66" s="27"/>
      <c r="G66" s="26"/>
      <c r="H66" s="28"/>
      <c r="I66" s="29"/>
      <c r="J66" s="26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5"/>
      <c r="B67" s="26"/>
      <c r="C67" s="26"/>
      <c r="D67" s="26"/>
      <c r="E67" s="26"/>
      <c r="F67" s="27"/>
      <c r="G67" s="26"/>
      <c r="H67" s="28"/>
      <c r="I67" s="26"/>
      <c r="J67" s="26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5"/>
      <c r="B68" s="26"/>
      <c r="C68" s="26"/>
      <c r="D68" s="26"/>
      <c r="E68" s="26"/>
      <c r="F68" s="27"/>
      <c r="G68" s="26"/>
      <c r="H68" s="28"/>
      <c r="I68" s="29"/>
      <c r="J68" s="26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5"/>
      <c r="B69" s="26"/>
      <c r="C69" s="26"/>
      <c r="D69" s="26"/>
      <c r="E69" s="26"/>
      <c r="F69" s="27"/>
      <c r="G69" s="26"/>
      <c r="H69" s="28"/>
      <c r="I69" s="29"/>
      <c r="J69" s="26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5"/>
      <c r="B70" s="26"/>
      <c r="C70" s="26"/>
      <c r="D70" s="26"/>
      <c r="E70" s="26"/>
      <c r="F70" s="27"/>
      <c r="G70" s="26"/>
      <c r="H70" s="28"/>
      <c r="I70" s="29"/>
      <c r="J70" s="26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5"/>
      <c r="B71" s="26"/>
      <c r="C71" s="26"/>
      <c r="D71" s="26"/>
      <c r="E71" s="26"/>
      <c r="F71" s="27"/>
      <c r="G71" s="26"/>
      <c r="H71" s="28"/>
      <c r="I71" s="29"/>
      <c r="J71" s="26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5"/>
      <c r="B72" s="26"/>
      <c r="C72" s="26"/>
      <c r="D72" s="26"/>
      <c r="E72" s="26"/>
      <c r="F72" s="27"/>
      <c r="G72" s="26"/>
      <c r="H72" s="28"/>
      <c r="I72" s="29"/>
      <c r="J72" s="26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5"/>
      <c r="B73" s="26"/>
      <c r="C73" s="26"/>
      <c r="D73" s="26"/>
      <c r="E73" s="26"/>
      <c r="F73" s="27"/>
      <c r="G73" s="26"/>
      <c r="H73" s="28"/>
      <c r="I73" s="29"/>
      <c r="J73" s="26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5"/>
      <c r="B74" s="26"/>
      <c r="C74" s="26"/>
      <c r="D74" s="26"/>
      <c r="E74" s="26"/>
      <c r="F74" s="26"/>
      <c r="G74" s="26"/>
      <c r="H74" s="28"/>
      <c r="I74" s="29"/>
      <c r="J74" s="26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5"/>
      <c r="B75" s="26"/>
      <c r="C75" s="26"/>
      <c r="D75" s="26"/>
      <c r="E75" s="26"/>
      <c r="F75" s="27"/>
      <c r="G75" s="26"/>
      <c r="H75" s="28"/>
      <c r="I75" s="29"/>
      <c r="J75" s="26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5"/>
      <c r="B76" s="26"/>
      <c r="C76" s="26"/>
      <c r="D76" s="26"/>
      <c r="E76" s="26"/>
      <c r="F76" s="27"/>
      <c r="G76" s="26"/>
      <c r="H76" s="28"/>
      <c r="I76" s="29"/>
      <c r="J76" s="26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5"/>
      <c r="B77" s="26"/>
      <c r="C77" s="26"/>
      <c r="D77" s="26"/>
      <c r="E77" s="26"/>
      <c r="F77" s="27"/>
      <c r="G77" s="26"/>
      <c r="H77" s="28"/>
      <c r="I77" s="29"/>
      <c r="J77" s="26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5"/>
      <c r="B78" s="26"/>
      <c r="C78" s="26"/>
      <c r="D78" s="26"/>
      <c r="E78" s="26"/>
      <c r="F78" s="27"/>
      <c r="G78" s="26"/>
      <c r="H78" s="28"/>
      <c r="I78" s="29"/>
      <c r="J78" s="26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5"/>
      <c r="B79" s="26"/>
      <c r="C79" s="26"/>
      <c r="D79" s="26"/>
      <c r="E79" s="26"/>
      <c r="F79" s="27"/>
      <c r="G79" s="26"/>
      <c r="H79" s="28"/>
      <c r="I79" s="29"/>
      <c r="J79" s="26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5"/>
      <c r="B80" s="26"/>
      <c r="C80" s="26"/>
      <c r="D80" s="26"/>
      <c r="E80" s="26"/>
      <c r="F80" s="27"/>
      <c r="G80" s="26"/>
      <c r="H80" s="28"/>
      <c r="I80" s="26"/>
      <c r="J80" s="26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5"/>
      <c r="B81" s="26"/>
      <c r="C81" s="26"/>
      <c r="D81" s="26"/>
      <c r="E81" s="26"/>
      <c r="F81" s="27"/>
      <c r="G81" s="26"/>
      <c r="H81" s="28"/>
      <c r="I81" s="29"/>
      <c r="J81" s="26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5"/>
      <c r="B82" s="26"/>
      <c r="C82" s="26"/>
      <c r="D82" s="26"/>
      <c r="E82" s="26"/>
      <c r="F82" s="27"/>
      <c r="G82" s="26"/>
      <c r="H82" s="28"/>
      <c r="I82" s="26"/>
      <c r="J82" s="26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5"/>
      <c r="B83" s="26"/>
      <c r="C83" s="26"/>
      <c r="D83" s="26"/>
      <c r="E83" s="26"/>
      <c r="F83" s="27"/>
      <c r="G83" s="26"/>
      <c r="H83" s="28"/>
      <c r="I83" s="29"/>
      <c r="J83" s="26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5"/>
      <c r="B84" s="26"/>
      <c r="C84" s="26"/>
      <c r="D84" s="26"/>
      <c r="E84" s="26"/>
      <c r="F84" s="27"/>
      <c r="G84" s="26"/>
      <c r="H84" s="28"/>
      <c r="I84" s="29"/>
      <c r="J84" s="26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5"/>
      <c r="B85" s="26"/>
      <c r="C85" s="26"/>
      <c r="D85" s="26"/>
      <c r="E85" s="26"/>
      <c r="F85" s="26"/>
      <c r="G85" s="26"/>
      <c r="H85" s="28"/>
      <c r="I85" s="29"/>
      <c r="J85" s="26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5"/>
      <c r="B86" s="26"/>
      <c r="C86" s="26"/>
      <c r="D86" s="26"/>
      <c r="E86" s="26"/>
      <c r="F86" s="27"/>
      <c r="G86" s="26"/>
      <c r="H86" s="28"/>
      <c r="I86" s="29"/>
      <c r="J86" s="26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5"/>
      <c r="B87" s="26"/>
      <c r="C87" s="26"/>
      <c r="D87" s="26"/>
      <c r="E87" s="26"/>
      <c r="F87" s="27"/>
      <c r="G87" s="26"/>
      <c r="H87" s="28"/>
      <c r="I87" s="29"/>
      <c r="J87" s="26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5"/>
      <c r="B88" s="26"/>
      <c r="C88" s="26"/>
      <c r="D88" s="26"/>
      <c r="E88" s="26"/>
      <c r="F88" s="27"/>
      <c r="G88" s="26"/>
      <c r="H88" s="28"/>
      <c r="I88" s="29"/>
      <c r="J88" s="26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5"/>
      <c r="B89" s="26"/>
      <c r="C89" s="26"/>
      <c r="D89" s="26"/>
      <c r="E89" s="26"/>
      <c r="F89" s="27"/>
      <c r="G89" s="26"/>
      <c r="H89" s="28"/>
      <c r="I89" s="29"/>
      <c r="J89" s="26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5"/>
      <c r="B90" s="26"/>
      <c r="C90" s="26"/>
      <c r="D90" s="26"/>
      <c r="E90" s="26"/>
      <c r="F90" s="27"/>
      <c r="G90" s="26"/>
      <c r="H90" s="28"/>
      <c r="I90" s="29"/>
      <c r="J90" s="26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5"/>
      <c r="B91" s="26"/>
      <c r="C91" s="26"/>
      <c r="D91" s="26"/>
      <c r="E91" s="26"/>
      <c r="F91" s="27"/>
      <c r="G91" s="26"/>
      <c r="H91" s="28"/>
      <c r="I91" s="29"/>
      <c r="J91" s="26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5"/>
      <c r="B92" s="26"/>
      <c r="C92" s="26"/>
      <c r="D92" s="26"/>
      <c r="E92" s="26"/>
      <c r="F92" s="27"/>
      <c r="G92" s="26"/>
      <c r="H92" s="28"/>
      <c r="I92" s="29"/>
      <c r="J92" s="26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5"/>
      <c r="B93" s="26"/>
      <c r="C93" s="26"/>
      <c r="D93" s="26"/>
      <c r="E93" s="26"/>
      <c r="F93" s="27"/>
      <c r="G93" s="26"/>
      <c r="H93" s="28"/>
      <c r="I93" s="29"/>
      <c r="J93" s="26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5"/>
      <c r="B94" s="26"/>
      <c r="C94" s="26"/>
      <c r="D94" s="26"/>
      <c r="E94" s="26"/>
      <c r="F94" s="27"/>
      <c r="G94" s="26"/>
      <c r="H94" s="28"/>
      <c r="I94" s="29"/>
      <c r="J94" s="26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5"/>
      <c r="B95" s="26"/>
      <c r="C95" s="26"/>
      <c r="D95" s="26"/>
      <c r="E95" s="26"/>
      <c r="F95" s="27"/>
      <c r="G95" s="26"/>
      <c r="H95" s="28"/>
      <c r="I95" s="29"/>
      <c r="J95" s="26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5"/>
      <c r="B96" s="26"/>
      <c r="C96" s="26"/>
      <c r="D96" s="26"/>
      <c r="E96" s="26"/>
      <c r="F96" s="27"/>
      <c r="G96" s="26"/>
      <c r="H96" s="28"/>
      <c r="I96" s="29"/>
      <c r="J96" s="26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5"/>
      <c r="B97" s="27"/>
      <c r="C97" s="27"/>
      <c r="D97" s="26"/>
      <c r="E97" s="26"/>
      <c r="F97" s="27"/>
      <c r="G97" s="26"/>
      <c r="H97" s="28"/>
      <c r="I97" s="29"/>
      <c r="J97" s="26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5"/>
      <c r="B98" s="27"/>
      <c r="C98" s="27"/>
      <c r="D98" s="26"/>
      <c r="E98" s="26"/>
      <c r="F98" s="27"/>
      <c r="G98" s="26"/>
      <c r="H98" s="28"/>
      <c r="I98" s="29"/>
      <c r="J98" s="26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5"/>
      <c r="B99" s="27"/>
      <c r="C99" s="27"/>
      <c r="D99" s="26"/>
      <c r="E99" s="26"/>
      <c r="F99" s="27"/>
      <c r="G99" s="26"/>
      <c r="H99" s="28"/>
      <c r="I99" s="29"/>
      <c r="J99" s="26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5"/>
      <c r="B100" s="27"/>
      <c r="C100" s="27"/>
      <c r="D100" s="26"/>
      <c r="E100" s="26"/>
      <c r="F100" s="27"/>
      <c r="G100" s="26"/>
      <c r="H100" s="28"/>
      <c r="I100" s="29"/>
      <c r="J100" s="26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5"/>
      <c r="B101" s="26"/>
      <c r="C101" s="26"/>
      <c r="D101" s="26"/>
      <c r="E101" s="26"/>
      <c r="F101" s="27"/>
      <c r="G101" s="26"/>
      <c r="H101" s="28"/>
      <c r="I101" s="29"/>
      <c r="J101" s="26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5"/>
      <c r="B102" s="26"/>
      <c r="C102" s="26"/>
      <c r="D102" s="26"/>
      <c r="E102" s="26"/>
      <c r="F102" s="27"/>
      <c r="G102" s="26"/>
      <c r="H102" s="28"/>
      <c r="I102" s="29"/>
      <c r="J102" s="26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5"/>
      <c r="B103" s="26"/>
      <c r="C103" s="26"/>
      <c r="D103" s="26"/>
      <c r="E103" s="26"/>
      <c r="F103" s="27"/>
      <c r="G103" s="26"/>
      <c r="H103" s="28"/>
      <c r="I103" s="29"/>
      <c r="J103" s="26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5"/>
      <c r="B104" s="26"/>
      <c r="C104" s="26"/>
      <c r="D104" s="26"/>
      <c r="E104" s="26"/>
      <c r="F104" s="27"/>
      <c r="G104" s="26"/>
      <c r="H104" s="28"/>
      <c r="I104" s="29"/>
      <c r="J104" s="26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5"/>
      <c r="B105" s="26"/>
      <c r="C105" s="26"/>
      <c r="D105" s="26"/>
      <c r="E105" s="26"/>
      <c r="F105" s="27"/>
      <c r="G105" s="26"/>
      <c r="H105" s="28"/>
      <c r="I105" s="29"/>
      <c r="J105" s="26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5"/>
      <c r="B106" s="26"/>
      <c r="C106" s="26"/>
      <c r="D106" s="26"/>
      <c r="E106" s="26"/>
      <c r="F106" s="27"/>
      <c r="G106" s="26"/>
      <c r="H106" s="28"/>
      <c r="I106" s="29"/>
      <c r="J106" s="26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5"/>
      <c r="B107" s="26"/>
      <c r="C107" s="26"/>
      <c r="D107" s="26"/>
      <c r="E107" s="26"/>
      <c r="F107" s="27"/>
      <c r="G107" s="26"/>
      <c r="H107" s="28"/>
      <c r="I107" s="29"/>
      <c r="J107" s="26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5"/>
      <c r="B108" s="26"/>
      <c r="C108" s="26"/>
      <c r="D108" s="26"/>
      <c r="E108" s="26"/>
      <c r="F108" s="27"/>
      <c r="G108" s="26"/>
      <c r="H108" s="28"/>
      <c r="I108" s="29"/>
      <c r="J108" s="26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5"/>
      <c r="B109" s="27"/>
      <c r="C109" s="26"/>
      <c r="D109" s="26"/>
      <c r="E109" s="26"/>
      <c r="F109" s="27"/>
      <c r="G109" s="26"/>
      <c r="H109" s="28"/>
      <c r="I109" s="29"/>
      <c r="J109" s="26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5"/>
      <c r="B110" s="27"/>
      <c r="C110" s="27"/>
      <c r="D110" s="26"/>
      <c r="E110" s="26"/>
      <c r="F110" s="27"/>
      <c r="G110" s="26"/>
      <c r="H110" s="28"/>
      <c r="I110" s="29"/>
      <c r="J110" s="26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5"/>
      <c r="B111" s="26"/>
      <c r="C111" s="26"/>
      <c r="D111" s="26"/>
      <c r="E111" s="26"/>
      <c r="F111" s="27"/>
      <c r="G111" s="26"/>
      <c r="H111" s="28"/>
      <c r="I111" s="29"/>
      <c r="J111" s="26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5"/>
      <c r="B112" s="26"/>
      <c r="C112" s="26"/>
      <c r="D112" s="26"/>
      <c r="E112" s="26"/>
      <c r="F112" s="27"/>
      <c r="G112" s="26"/>
      <c r="H112" s="28"/>
      <c r="I112" s="29"/>
      <c r="J112" s="26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5"/>
      <c r="B113" s="26"/>
      <c r="C113" s="26"/>
      <c r="D113" s="26"/>
      <c r="E113" s="26"/>
      <c r="F113" s="27"/>
      <c r="G113" s="26"/>
      <c r="H113" s="28"/>
      <c r="I113" s="29"/>
      <c r="J113" s="26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5"/>
      <c r="B114" s="26"/>
      <c r="C114" s="26"/>
      <c r="D114" s="26"/>
      <c r="E114" s="26"/>
      <c r="F114" s="27"/>
      <c r="G114" s="26"/>
      <c r="H114" s="28"/>
      <c r="I114" s="29"/>
      <c r="J114" s="26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5"/>
      <c r="B115" s="26"/>
      <c r="C115" s="26"/>
      <c r="D115" s="26"/>
      <c r="E115" s="26"/>
      <c r="F115" s="27"/>
      <c r="G115" s="26"/>
      <c r="H115" s="28"/>
      <c r="I115" s="29"/>
      <c r="J115" s="26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5"/>
      <c r="B116" s="26"/>
      <c r="C116" s="26"/>
      <c r="D116" s="26"/>
      <c r="E116" s="26"/>
      <c r="F116" s="27"/>
      <c r="G116" s="26"/>
      <c r="H116" s="28"/>
      <c r="I116" s="29"/>
      <c r="J116" s="26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5"/>
      <c r="B117" s="26"/>
      <c r="C117" s="27"/>
      <c r="D117" s="26"/>
      <c r="E117" s="26"/>
      <c r="F117" s="27"/>
      <c r="G117" s="26"/>
      <c r="H117" s="28"/>
      <c r="I117" s="29"/>
      <c r="J117" s="26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5"/>
      <c r="B118" s="26"/>
      <c r="C118" s="27"/>
      <c r="D118" s="26"/>
      <c r="E118" s="26"/>
      <c r="F118" s="27"/>
      <c r="G118" s="26"/>
      <c r="H118" s="28"/>
      <c r="I118" s="29"/>
      <c r="J118" s="26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5"/>
      <c r="B119" s="26"/>
      <c r="C119" s="27"/>
      <c r="D119" s="26"/>
      <c r="E119" s="26"/>
      <c r="F119" s="27"/>
      <c r="G119" s="26"/>
      <c r="H119" s="28"/>
      <c r="I119" s="29"/>
      <c r="J119" s="26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5"/>
      <c r="B120" s="26"/>
      <c r="C120" s="26"/>
      <c r="D120" s="26"/>
      <c r="E120" s="26"/>
      <c r="F120" s="27"/>
      <c r="G120" s="26"/>
      <c r="H120" s="28"/>
      <c r="I120" s="29"/>
      <c r="J120" s="26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5"/>
      <c r="B121" s="26"/>
      <c r="C121" s="26"/>
      <c r="D121" s="26"/>
      <c r="E121" s="26"/>
      <c r="F121" s="27"/>
      <c r="G121" s="26"/>
      <c r="H121" s="28"/>
      <c r="I121" s="29"/>
      <c r="J121" s="26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5"/>
      <c r="B122" s="26"/>
      <c r="C122" s="26"/>
      <c r="D122" s="26"/>
      <c r="E122" s="26"/>
      <c r="F122" s="27"/>
      <c r="G122" s="26"/>
      <c r="H122" s="28"/>
      <c r="I122" s="29"/>
      <c r="J122" s="26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5"/>
      <c r="B123" s="26"/>
      <c r="C123" s="26"/>
      <c r="D123" s="26"/>
      <c r="E123" s="26"/>
      <c r="F123" s="27"/>
      <c r="G123" s="26"/>
      <c r="H123" s="28"/>
      <c r="I123" s="29"/>
      <c r="J123" s="26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5"/>
      <c r="B124" s="26"/>
      <c r="C124" s="26"/>
      <c r="D124" s="26"/>
      <c r="E124" s="26"/>
      <c r="F124" s="27"/>
      <c r="G124" s="26"/>
      <c r="H124" s="28"/>
      <c r="I124" s="29"/>
      <c r="J124" s="26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5"/>
      <c r="B125" s="26"/>
      <c r="C125" s="26"/>
      <c r="D125" s="26"/>
      <c r="E125" s="26"/>
      <c r="F125" s="27"/>
      <c r="G125" s="26"/>
      <c r="H125" s="28"/>
      <c r="I125" s="29"/>
      <c r="J125" s="26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5"/>
      <c r="B126" s="26"/>
      <c r="C126" s="26"/>
      <c r="D126" s="26"/>
      <c r="E126" s="26"/>
      <c r="F126" s="27"/>
      <c r="G126" s="26"/>
      <c r="H126" s="28"/>
      <c r="I126" s="29"/>
      <c r="J126" s="26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5"/>
      <c r="B127" s="26"/>
      <c r="C127" s="26"/>
      <c r="D127" s="26"/>
      <c r="E127" s="26"/>
      <c r="F127" s="27"/>
      <c r="G127" s="26"/>
      <c r="H127" s="28"/>
      <c r="I127" s="29"/>
      <c r="J127" s="26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5"/>
      <c r="B128" s="26"/>
      <c r="C128" s="26"/>
      <c r="D128" s="26"/>
      <c r="E128" s="26"/>
      <c r="F128" s="27"/>
      <c r="G128" s="26"/>
      <c r="H128" s="28"/>
      <c r="I128" s="29"/>
      <c r="J128" s="26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5"/>
      <c r="B129" s="26"/>
      <c r="C129" s="26"/>
      <c r="D129" s="26"/>
      <c r="E129" s="26"/>
      <c r="F129" s="27"/>
      <c r="G129" s="26"/>
      <c r="H129" s="28"/>
      <c r="I129" s="29"/>
      <c r="J129" s="26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5"/>
      <c r="B130" s="26"/>
      <c r="C130" s="26"/>
      <c r="D130" s="26"/>
      <c r="E130" s="26"/>
      <c r="F130" s="27"/>
      <c r="G130" s="26"/>
      <c r="H130" s="28"/>
      <c r="I130" s="29"/>
      <c r="J130" s="26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5"/>
      <c r="B131" s="26"/>
      <c r="C131" s="26"/>
      <c r="D131" s="26"/>
      <c r="E131" s="26"/>
      <c r="F131" s="27"/>
      <c r="G131" s="26"/>
      <c r="H131" s="28"/>
      <c r="I131" s="29"/>
      <c r="J131" s="26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5"/>
      <c r="B132" s="26"/>
      <c r="C132" s="26"/>
      <c r="D132" s="26"/>
      <c r="E132" s="26"/>
      <c r="F132" s="27"/>
      <c r="G132" s="26"/>
      <c r="H132" s="28"/>
      <c r="I132" s="29"/>
      <c r="J132" s="26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5"/>
      <c r="B133" s="26"/>
      <c r="C133" s="26"/>
      <c r="D133" s="26"/>
      <c r="E133" s="26"/>
      <c r="F133" s="27"/>
      <c r="G133" s="26"/>
      <c r="H133" s="28"/>
      <c r="I133" s="29"/>
      <c r="J133" s="26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5"/>
      <c r="B134" s="26"/>
      <c r="C134" s="26"/>
      <c r="D134" s="26"/>
      <c r="E134" s="26"/>
      <c r="F134" s="27"/>
      <c r="G134" s="26"/>
      <c r="H134" s="28"/>
      <c r="I134" s="29"/>
      <c r="J134" s="26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5"/>
      <c r="B135" s="26"/>
      <c r="C135" s="26"/>
      <c r="D135" s="26"/>
      <c r="E135" s="26"/>
      <c r="F135" s="27"/>
      <c r="G135" s="26"/>
      <c r="H135" s="28"/>
      <c r="I135" s="29"/>
      <c r="J135" s="26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5"/>
      <c r="B136" s="26"/>
      <c r="C136" s="26"/>
      <c r="D136" s="26"/>
      <c r="E136" s="26"/>
      <c r="F136" s="27"/>
      <c r="G136" s="26"/>
      <c r="H136" s="28"/>
      <c r="I136" s="29"/>
      <c r="J136" s="26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5"/>
      <c r="B137" s="26"/>
      <c r="C137" s="26"/>
      <c r="D137" s="26"/>
      <c r="E137" s="26"/>
      <c r="F137" s="27"/>
      <c r="G137" s="26"/>
      <c r="H137" s="28"/>
      <c r="I137" s="29"/>
      <c r="J137" s="26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5"/>
      <c r="B138" s="26"/>
      <c r="C138" s="26"/>
      <c r="D138" s="26"/>
      <c r="E138" s="26"/>
      <c r="F138" s="27"/>
      <c r="G138" s="26"/>
      <c r="H138" s="28"/>
      <c r="I138" s="29"/>
      <c r="J138" s="26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5"/>
      <c r="B139" s="26"/>
      <c r="C139" s="26"/>
      <c r="D139" s="26"/>
      <c r="E139" s="26"/>
      <c r="F139" s="27"/>
      <c r="G139" s="26"/>
      <c r="H139" s="28"/>
      <c r="I139" s="29"/>
      <c r="J139" s="26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5"/>
      <c r="B140" s="26"/>
      <c r="C140" s="26"/>
      <c r="D140" s="26"/>
      <c r="E140" s="26"/>
      <c r="F140" s="27"/>
      <c r="G140" s="26"/>
      <c r="H140" s="28"/>
      <c r="I140" s="29"/>
      <c r="J140" s="26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5"/>
      <c r="B141" s="26"/>
      <c r="C141" s="26"/>
      <c r="D141" s="26"/>
      <c r="E141" s="26"/>
      <c r="F141" s="27"/>
      <c r="G141" s="26"/>
      <c r="H141" s="28"/>
      <c r="I141" s="29"/>
      <c r="J141" s="26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5"/>
      <c r="B142" s="26"/>
      <c r="C142" s="26"/>
      <c r="D142" s="26"/>
      <c r="E142" s="26"/>
      <c r="F142" s="27"/>
      <c r="G142" s="26"/>
      <c r="H142" s="31"/>
      <c r="I142" s="29"/>
      <c r="J142" s="26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5"/>
      <c r="B143" s="26"/>
      <c r="C143" s="26"/>
      <c r="D143" s="26"/>
      <c r="E143" s="26"/>
      <c r="F143" s="27"/>
      <c r="G143" s="26"/>
      <c r="H143" s="28"/>
      <c r="I143" s="29"/>
      <c r="J143" s="26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5"/>
      <c r="B144" s="26"/>
      <c r="C144" s="26"/>
      <c r="D144" s="26"/>
      <c r="E144" s="26"/>
      <c r="F144" s="27"/>
      <c r="G144" s="26"/>
      <c r="H144" s="28"/>
      <c r="I144" s="29"/>
      <c r="J144" s="26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5"/>
      <c r="B145" s="26"/>
      <c r="C145" s="26"/>
      <c r="D145" s="26"/>
      <c r="E145" s="26"/>
      <c r="F145" s="27"/>
      <c r="G145" s="26"/>
      <c r="H145" s="28"/>
      <c r="I145" s="29"/>
      <c r="J145" s="26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5"/>
      <c r="B146" s="26"/>
      <c r="C146" s="26"/>
      <c r="D146" s="26"/>
      <c r="E146" s="26"/>
      <c r="F146" s="27"/>
      <c r="G146" s="26"/>
      <c r="H146" s="28"/>
      <c r="I146" s="29"/>
      <c r="J146" s="26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5"/>
      <c r="B147" s="27"/>
      <c r="C147" s="27"/>
      <c r="D147" s="26"/>
      <c r="E147" s="26"/>
      <c r="F147" s="27"/>
      <c r="G147" s="26"/>
      <c r="H147" s="28"/>
      <c r="I147" s="29"/>
      <c r="J147" s="26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5"/>
      <c r="B148" s="26"/>
      <c r="C148" s="26"/>
      <c r="D148" s="26"/>
      <c r="E148" s="26"/>
      <c r="F148" s="27"/>
      <c r="G148" s="26"/>
      <c r="H148" s="28"/>
      <c r="I148" s="29"/>
      <c r="J148" s="26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5"/>
      <c r="B149" s="26"/>
      <c r="C149" s="26"/>
      <c r="D149" s="26"/>
      <c r="E149" s="26"/>
      <c r="F149" s="26"/>
      <c r="G149" s="26"/>
      <c r="H149" s="28"/>
      <c r="I149" s="29"/>
      <c r="J149" s="26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5"/>
      <c r="B150" s="26"/>
      <c r="C150" s="26"/>
      <c r="D150" s="26"/>
      <c r="E150" s="26"/>
      <c r="F150" s="27"/>
      <c r="G150" s="26"/>
      <c r="H150" s="28"/>
      <c r="I150" s="29"/>
      <c r="J150" s="26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5"/>
      <c r="B151" s="26"/>
      <c r="C151" s="26"/>
      <c r="D151" s="26"/>
      <c r="E151" s="26"/>
      <c r="F151" s="27"/>
      <c r="G151" s="26"/>
      <c r="H151" s="28"/>
      <c r="I151" s="29"/>
      <c r="J151" s="26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5"/>
      <c r="B152" s="26"/>
      <c r="C152" s="26"/>
      <c r="D152" s="26"/>
      <c r="E152" s="26"/>
      <c r="F152" s="27"/>
      <c r="G152" s="26"/>
      <c r="H152" s="28"/>
      <c r="I152" s="29"/>
      <c r="J152" s="26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5"/>
      <c r="B153" s="26"/>
      <c r="C153" s="26"/>
      <c r="D153" s="26"/>
      <c r="E153" s="26"/>
      <c r="F153" s="27"/>
      <c r="G153" s="26"/>
      <c r="H153" s="28"/>
      <c r="I153" s="29"/>
      <c r="J153" s="26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5"/>
      <c r="B154" s="26"/>
      <c r="C154" s="26"/>
      <c r="D154" s="26"/>
      <c r="E154" s="26"/>
      <c r="F154" s="27"/>
      <c r="G154" s="26"/>
      <c r="H154" s="28"/>
      <c r="I154" s="29"/>
      <c r="J154" s="26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5"/>
      <c r="B155" s="26"/>
      <c r="C155" s="26"/>
      <c r="D155" s="26"/>
      <c r="E155" s="26"/>
      <c r="F155" s="27"/>
      <c r="G155" s="26"/>
      <c r="H155" s="28"/>
      <c r="I155" s="29"/>
      <c r="J155" s="26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5"/>
      <c r="B156" s="26"/>
      <c r="C156" s="26"/>
      <c r="D156" s="26"/>
      <c r="E156" s="26"/>
      <c r="F156" s="27"/>
      <c r="G156" s="26"/>
      <c r="H156" s="28"/>
      <c r="I156" s="29"/>
      <c r="J156" s="26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5"/>
      <c r="B157" s="26"/>
      <c r="C157" s="26"/>
      <c r="D157" s="26"/>
      <c r="E157" s="26"/>
      <c r="F157" s="27"/>
      <c r="G157" s="26"/>
      <c r="H157" s="28"/>
      <c r="I157" s="29"/>
      <c r="J157" s="26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5"/>
      <c r="B158" s="26"/>
      <c r="C158" s="26"/>
      <c r="D158" s="26"/>
      <c r="E158" s="26"/>
      <c r="F158" s="27"/>
      <c r="G158" s="26"/>
      <c r="H158" s="28"/>
      <c r="I158" s="29"/>
      <c r="J158" s="26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5"/>
      <c r="B159" s="26"/>
      <c r="C159" s="26"/>
      <c r="D159" s="26"/>
      <c r="E159" s="26"/>
      <c r="F159" s="27"/>
      <c r="G159" s="26"/>
      <c r="H159" s="28"/>
      <c r="I159" s="29"/>
      <c r="J159" s="26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5"/>
      <c r="B160" s="26"/>
      <c r="C160" s="26"/>
      <c r="D160" s="26"/>
      <c r="E160" s="26"/>
      <c r="F160" s="27"/>
      <c r="G160" s="26"/>
      <c r="H160" s="28"/>
      <c r="I160" s="29"/>
      <c r="J160" s="26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5"/>
      <c r="B161" s="26"/>
      <c r="C161" s="26"/>
      <c r="D161" s="26"/>
      <c r="E161" s="26"/>
      <c r="F161" s="27"/>
      <c r="G161" s="26"/>
      <c r="H161" s="28"/>
      <c r="I161" s="29"/>
      <c r="J161" s="26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5"/>
      <c r="B162" s="26"/>
      <c r="C162" s="26"/>
      <c r="D162" s="26"/>
      <c r="E162" s="26"/>
      <c r="F162" s="27"/>
      <c r="G162" s="26"/>
      <c r="H162" s="28"/>
      <c r="I162" s="29"/>
      <c r="J162" s="26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5"/>
      <c r="B163" s="26"/>
      <c r="C163" s="26"/>
      <c r="D163" s="26"/>
      <c r="E163" s="26"/>
      <c r="F163" s="27"/>
      <c r="G163" s="26"/>
      <c r="H163" s="28"/>
      <c r="I163" s="29"/>
      <c r="J163" s="26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5"/>
      <c r="B164" s="26"/>
      <c r="C164" s="26"/>
      <c r="D164" s="26"/>
      <c r="E164" s="26"/>
      <c r="F164" s="27"/>
      <c r="G164" s="26"/>
      <c r="H164" s="28"/>
      <c r="I164" s="29"/>
      <c r="J164" s="26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5"/>
      <c r="B165" s="26"/>
      <c r="C165" s="26"/>
      <c r="D165" s="26"/>
      <c r="E165" s="26"/>
      <c r="F165" s="27"/>
      <c r="G165" s="26"/>
      <c r="H165" s="28"/>
      <c r="I165" s="29"/>
      <c r="J165" s="26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5"/>
      <c r="B166" s="26"/>
      <c r="C166" s="26"/>
      <c r="D166" s="26"/>
      <c r="E166" s="26"/>
      <c r="F166" s="27"/>
      <c r="G166" s="26"/>
      <c r="H166" s="28"/>
      <c r="I166" s="29"/>
      <c r="J166" s="26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5"/>
      <c r="B167" s="26"/>
      <c r="C167" s="26"/>
      <c r="D167" s="26"/>
      <c r="E167" s="26"/>
      <c r="F167" s="27"/>
      <c r="G167" s="26"/>
      <c r="H167" s="28"/>
      <c r="I167" s="29"/>
      <c r="J167" s="26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5"/>
      <c r="B168" s="26"/>
      <c r="C168" s="26"/>
      <c r="D168" s="26"/>
      <c r="E168" s="26"/>
      <c r="F168" s="27"/>
      <c r="G168" s="26"/>
      <c r="H168" s="28"/>
      <c r="I168" s="29"/>
      <c r="J168" s="26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5"/>
      <c r="B169" s="26"/>
      <c r="C169" s="26"/>
      <c r="D169" s="26"/>
      <c r="E169" s="26"/>
      <c r="F169" s="27"/>
      <c r="G169" s="26"/>
      <c r="H169" s="28"/>
      <c r="I169" s="29"/>
      <c r="J169" s="26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5"/>
      <c r="B170" s="26"/>
      <c r="C170" s="26"/>
      <c r="D170" s="26"/>
      <c r="E170" s="26"/>
      <c r="F170" s="27"/>
      <c r="G170" s="26"/>
      <c r="H170" s="28"/>
      <c r="I170" s="29"/>
      <c r="J170" s="26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5"/>
      <c r="B171" s="27"/>
      <c r="C171" s="27"/>
      <c r="D171" s="26"/>
      <c r="E171" s="26"/>
      <c r="F171" s="27"/>
      <c r="G171" s="26"/>
      <c r="H171" s="28"/>
      <c r="I171" s="29"/>
      <c r="J171" s="26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5"/>
      <c r="B172" s="26"/>
      <c r="C172" s="26"/>
      <c r="D172" s="26"/>
      <c r="E172" s="26"/>
      <c r="F172" s="27"/>
      <c r="G172" s="26"/>
      <c r="H172" s="28"/>
      <c r="I172" s="29"/>
      <c r="J172" s="26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5"/>
      <c r="B173" s="26"/>
      <c r="C173" s="26"/>
      <c r="D173" s="26"/>
      <c r="E173" s="26"/>
      <c r="F173" s="27"/>
      <c r="G173" s="26"/>
      <c r="H173" s="26"/>
      <c r="I173" s="29"/>
      <c r="J173" s="26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5"/>
      <c r="B174" s="26"/>
      <c r="C174" s="26"/>
      <c r="D174" s="26"/>
      <c r="E174" s="26"/>
      <c r="F174" s="27"/>
      <c r="G174" s="26"/>
      <c r="H174" s="28"/>
      <c r="I174" s="29"/>
      <c r="J174" s="26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5"/>
      <c r="B175" s="26"/>
      <c r="C175" s="26"/>
      <c r="D175" s="26"/>
      <c r="E175" s="26"/>
      <c r="F175" s="27"/>
      <c r="G175" s="26"/>
      <c r="H175" s="28"/>
      <c r="I175" s="29"/>
      <c r="J175" s="26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5"/>
      <c r="B176" s="26"/>
      <c r="C176" s="26"/>
      <c r="D176" s="26"/>
      <c r="E176" s="26"/>
      <c r="F176" s="27"/>
      <c r="G176" s="26"/>
      <c r="H176" s="28"/>
      <c r="I176" s="29"/>
      <c r="J176" s="26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5"/>
      <c r="B177" s="26"/>
      <c r="C177" s="26"/>
      <c r="D177" s="26"/>
      <c r="E177" s="26"/>
      <c r="F177" s="27"/>
      <c r="G177" s="26"/>
      <c r="H177" s="28"/>
      <c r="I177" s="29"/>
      <c r="J177" s="26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5"/>
      <c r="B178" s="26"/>
      <c r="C178" s="26"/>
      <c r="D178" s="26"/>
      <c r="E178" s="26"/>
      <c r="F178" s="27"/>
      <c r="G178" s="26"/>
      <c r="H178" s="28"/>
      <c r="I178" s="29"/>
      <c r="J178" s="26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5"/>
      <c r="B179" s="26"/>
      <c r="C179" s="26"/>
      <c r="D179" s="26"/>
      <c r="E179" s="26"/>
      <c r="F179" s="27"/>
      <c r="G179" s="26"/>
      <c r="H179" s="28"/>
      <c r="I179" s="29"/>
      <c r="J179" s="26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5"/>
      <c r="B180" s="26"/>
      <c r="C180" s="26"/>
      <c r="D180" s="26"/>
      <c r="E180" s="26"/>
      <c r="F180" s="27"/>
      <c r="G180" s="26"/>
      <c r="H180" s="28"/>
      <c r="I180" s="30"/>
      <c r="J180" s="26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5"/>
      <c r="B181" s="26"/>
      <c r="C181" s="26"/>
      <c r="D181" s="26"/>
      <c r="E181" s="26"/>
      <c r="F181" s="27"/>
      <c r="G181" s="26"/>
      <c r="H181" s="28"/>
      <c r="I181" s="29"/>
      <c r="J181" s="26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5"/>
      <c r="B182" s="26"/>
      <c r="C182" s="26"/>
      <c r="D182" s="26"/>
      <c r="E182" s="26"/>
      <c r="F182" s="27"/>
      <c r="G182" s="26"/>
      <c r="H182" s="28"/>
      <c r="I182" s="26"/>
      <c r="J182" s="26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5"/>
      <c r="B183" s="26"/>
      <c r="C183" s="26"/>
      <c r="D183" s="26"/>
      <c r="E183" s="26"/>
      <c r="F183" s="27"/>
      <c r="G183" s="26"/>
      <c r="H183" s="28"/>
      <c r="I183" s="29"/>
      <c r="J183" s="26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5"/>
      <c r="B184" s="26"/>
      <c r="C184" s="26"/>
      <c r="D184" s="26"/>
      <c r="E184" s="26"/>
      <c r="F184" s="26"/>
      <c r="G184" s="26"/>
      <c r="H184" s="28"/>
      <c r="I184" s="29"/>
      <c r="J184" s="26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5"/>
      <c r="B185" s="26"/>
      <c r="C185" s="26"/>
      <c r="D185" s="26"/>
      <c r="E185" s="26"/>
      <c r="F185" s="27"/>
      <c r="G185" s="26"/>
      <c r="H185" s="28"/>
      <c r="I185" s="29"/>
      <c r="J185" s="26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5"/>
      <c r="B186" s="26"/>
      <c r="C186" s="26"/>
      <c r="D186" s="26"/>
      <c r="E186" s="26"/>
      <c r="F186" s="27"/>
      <c r="G186" s="26"/>
      <c r="H186" s="28"/>
      <c r="I186" s="29"/>
      <c r="J186" s="26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5"/>
      <c r="B187" s="26"/>
      <c r="C187" s="26"/>
      <c r="D187" s="26"/>
      <c r="E187" s="26"/>
      <c r="F187" s="27"/>
      <c r="G187" s="26"/>
      <c r="H187" s="28"/>
      <c r="I187" s="29"/>
      <c r="J187" s="26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5"/>
      <c r="B188" s="26"/>
      <c r="C188" s="26"/>
      <c r="D188" s="26"/>
      <c r="E188" s="26"/>
      <c r="F188" s="27"/>
      <c r="G188" s="26"/>
      <c r="H188" s="28"/>
      <c r="I188" s="29"/>
      <c r="J188" s="26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5"/>
      <c r="B189" s="26"/>
      <c r="C189" s="26"/>
      <c r="D189" s="26"/>
      <c r="E189" s="26"/>
      <c r="F189" s="27"/>
      <c r="G189" s="26"/>
      <c r="H189" s="28"/>
      <c r="I189" s="29"/>
      <c r="J189" s="26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5"/>
      <c r="B190" s="27"/>
      <c r="C190" s="27"/>
      <c r="D190" s="26"/>
      <c r="E190" s="26"/>
      <c r="F190" s="27"/>
      <c r="G190" s="26"/>
      <c r="H190" s="28"/>
      <c r="I190" s="32"/>
      <c r="J190" s="26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5"/>
      <c r="B191" s="26"/>
      <c r="C191" s="26"/>
      <c r="D191" s="26"/>
      <c r="E191" s="26"/>
      <c r="F191" s="27"/>
      <c r="G191" s="26"/>
      <c r="H191" s="28"/>
      <c r="I191" s="29"/>
      <c r="J191" s="26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5"/>
      <c r="B192" s="26"/>
      <c r="C192" s="26"/>
      <c r="D192" s="26"/>
      <c r="E192" s="26"/>
      <c r="F192" s="27"/>
      <c r="G192" s="26"/>
      <c r="H192" s="28"/>
      <c r="I192" s="29"/>
      <c r="J192" s="26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5"/>
      <c r="B193" s="26"/>
      <c r="C193" s="26"/>
      <c r="D193" s="26"/>
      <c r="E193" s="26"/>
      <c r="F193" s="27"/>
      <c r="G193" s="26"/>
      <c r="H193" s="28"/>
      <c r="I193" s="29"/>
      <c r="J193" s="26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5"/>
      <c r="B194" s="26"/>
      <c r="C194" s="26"/>
      <c r="D194" s="26"/>
      <c r="E194" s="26"/>
      <c r="F194" s="27"/>
      <c r="G194" s="26"/>
      <c r="H194" s="28"/>
      <c r="I194" s="29"/>
      <c r="J194" s="26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5"/>
      <c r="B195" s="26"/>
      <c r="C195" s="26"/>
      <c r="D195" s="26"/>
      <c r="E195" s="26"/>
      <c r="F195" s="27"/>
      <c r="G195" s="26"/>
      <c r="H195" s="28"/>
      <c r="I195" s="29"/>
      <c r="J195" s="26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5"/>
      <c r="B196" s="26"/>
      <c r="C196" s="26"/>
      <c r="D196" s="26"/>
      <c r="E196" s="26"/>
      <c r="F196" s="27"/>
      <c r="G196" s="26"/>
      <c r="H196" s="28"/>
      <c r="I196" s="32"/>
      <c r="J196" s="26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5"/>
      <c r="B197" s="26"/>
      <c r="C197" s="26"/>
      <c r="D197" s="26"/>
      <c r="E197" s="26"/>
      <c r="F197" s="27"/>
      <c r="G197" s="26"/>
      <c r="H197" s="28"/>
      <c r="I197" s="29"/>
      <c r="J197" s="26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5"/>
      <c r="B198" s="26"/>
      <c r="C198" s="26"/>
      <c r="D198" s="26"/>
      <c r="E198" s="26"/>
      <c r="F198" s="27"/>
      <c r="G198" s="26"/>
      <c r="H198" s="28"/>
      <c r="I198" s="29"/>
      <c r="J198" s="26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5"/>
      <c r="B199" s="26"/>
      <c r="C199" s="26"/>
      <c r="D199" s="26"/>
      <c r="E199" s="26"/>
      <c r="F199" s="27"/>
      <c r="G199" s="26"/>
      <c r="H199" s="28"/>
      <c r="I199" s="29"/>
      <c r="J199" s="26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5"/>
      <c r="B200" s="26"/>
      <c r="C200" s="26"/>
      <c r="D200" s="26"/>
      <c r="E200" s="26"/>
      <c r="F200" s="27"/>
      <c r="G200" s="26"/>
      <c r="H200" s="28"/>
      <c r="I200" s="29"/>
      <c r="J200" s="26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5"/>
      <c r="B201" s="26"/>
      <c r="C201" s="26"/>
      <c r="D201" s="26"/>
      <c r="E201" s="26"/>
      <c r="F201" s="27"/>
      <c r="G201" s="26"/>
      <c r="H201" s="28"/>
      <c r="I201" s="29"/>
      <c r="J201" s="26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5"/>
      <c r="B202" s="26"/>
      <c r="C202" s="26"/>
      <c r="D202" s="26"/>
      <c r="E202" s="26"/>
      <c r="F202" s="27"/>
      <c r="G202" s="26"/>
      <c r="H202" s="28"/>
      <c r="I202" s="29"/>
      <c r="J202" s="26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5"/>
      <c r="B203" s="26"/>
      <c r="C203" s="26"/>
      <c r="D203" s="26"/>
      <c r="E203" s="26"/>
      <c r="F203" s="27"/>
      <c r="G203" s="26"/>
      <c r="H203" s="28"/>
      <c r="I203" s="29"/>
      <c r="J203" s="26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5"/>
      <c r="B204" s="26"/>
      <c r="C204" s="26"/>
      <c r="D204" s="26"/>
      <c r="E204" s="26"/>
      <c r="F204" s="27"/>
      <c r="G204" s="26"/>
      <c r="H204" s="28"/>
      <c r="I204" s="29"/>
      <c r="J204" s="26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5"/>
      <c r="B205" s="26"/>
      <c r="C205" s="26"/>
      <c r="D205" s="26"/>
      <c r="E205" s="26"/>
      <c r="F205" s="27"/>
      <c r="G205" s="26"/>
      <c r="H205" s="28"/>
      <c r="I205" s="29"/>
      <c r="J205" s="26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5"/>
      <c r="B206" s="26"/>
      <c r="C206" s="26"/>
      <c r="D206" s="26"/>
      <c r="E206" s="26"/>
      <c r="F206" s="27"/>
      <c r="G206" s="26"/>
      <c r="H206" s="28"/>
      <c r="I206" s="29"/>
      <c r="J206" s="26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5"/>
      <c r="B207" s="26"/>
      <c r="C207" s="26"/>
      <c r="D207" s="26"/>
      <c r="E207" s="26"/>
      <c r="F207" s="27"/>
      <c r="G207" s="26"/>
      <c r="H207" s="28"/>
      <c r="I207" s="29"/>
      <c r="J207" s="26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5"/>
      <c r="B208" s="26"/>
      <c r="C208" s="26"/>
      <c r="D208" s="26"/>
      <c r="E208" s="26"/>
      <c r="F208" s="27"/>
      <c r="G208" s="26"/>
      <c r="H208" s="28"/>
      <c r="I208" s="29"/>
      <c r="J208" s="26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5"/>
      <c r="B209" s="26"/>
      <c r="C209" s="26"/>
      <c r="D209" s="26"/>
      <c r="E209" s="26"/>
      <c r="F209" s="27"/>
      <c r="G209" s="26"/>
      <c r="H209" s="28"/>
      <c r="I209" s="29"/>
      <c r="J209" s="26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5"/>
      <c r="B210" s="26"/>
      <c r="C210" s="26"/>
      <c r="D210" s="26"/>
      <c r="E210" s="26"/>
      <c r="F210" s="27"/>
      <c r="G210" s="26"/>
      <c r="H210" s="28"/>
      <c r="I210" s="29"/>
      <c r="J210" s="26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5"/>
      <c r="B211" s="26"/>
      <c r="C211" s="26"/>
      <c r="D211" s="26"/>
      <c r="E211" s="26"/>
      <c r="F211" s="27"/>
      <c r="G211" s="26"/>
      <c r="H211" s="28"/>
      <c r="I211" s="29"/>
      <c r="J211" s="26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5"/>
      <c r="B212" s="26"/>
      <c r="C212" s="26"/>
      <c r="D212" s="26"/>
      <c r="E212" s="26"/>
      <c r="F212" s="27"/>
      <c r="G212" s="26"/>
      <c r="H212" s="28"/>
      <c r="I212" s="29"/>
      <c r="J212" s="26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5"/>
      <c r="B213" s="26"/>
      <c r="C213" s="26"/>
      <c r="D213" s="26"/>
      <c r="E213" s="26"/>
      <c r="F213" s="27"/>
      <c r="G213" s="26"/>
      <c r="H213" s="28"/>
      <c r="I213" s="29"/>
      <c r="J213" s="26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5"/>
      <c r="B214" s="26"/>
      <c r="C214" s="26"/>
      <c r="D214" s="26"/>
      <c r="E214" s="26"/>
      <c r="F214" s="27"/>
      <c r="G214" s="26"/>
      <c r="H214" s="28"/>
      <c r="I214" s="29"/>
      <c r="J214" s="26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5"/>
      <c r="B215" s="26"/>
      <c r="C215" s="26"/>
      <c r="D215" s="26"/>
      <c r="E215" s="26"/>
      <c r="F215" s="27"/>
      <c r="G215" s="26"/>
      <c r="H215" s="28"/>
      <c r="I215" s="29"/>
      <c r="J215" s="26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5"/>
      <c r="B216" s="27"/>
      <c r="C216" s="27"/>
      <c r="D216" s="26"/>
      <c r="E216" s="26"/>
      <c r="F216" s="27"/>
      <c r="G216" s="26"/>
      <c r="H216" s="28"/>
      <c r="I216" s="33"/>
      <c r="J216" s="26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5"/>
      <c r="B217" s="26"/>
      <c r="C217" s="26"/>
      <c r="D217" s="26"/>
      <c r="E217" s="26"/>
      <c r="F217" s="27"/>
      <c r="G217" s="26"/>
      <c r="H217" s="28"/>
      <c r="I217" s="29"/>
      <c r="J217" s="26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7"/>
      <c r="B218" s="27"/>
      <c r="C218" s="27"/>
      <c r="D218" s="26"/>
      <c r="E218" s="26"/>
      <c r="F218" s="27"/>
      <c r="G218" s="26"/>
      <c r="H218" s="27"/>
      <c r="I218" s="33"/>
      <c r="J218" s="27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7"/>
      <c r="B219" s="27"/>
      <c r="C219" s="27"/>
      <c r="D219" s="26"/>
      <c r="E219" s="26"/>
      <c r="F219" s="27"/>
      <c r="G219" s="26"/>
      <c r="H219" s="27"/>
      <c r="I219" s="33"/>
      <c r="J219" s="27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7"/>
      <c r="B220" s="27"/>
      <c r="C220" s="27"/>
      <c r="D220" s="26"/>
      <c r="E220" s="26"/>
      <c r="F220" s="27"/>
      <c r="G220" s="26"/>
      <c r="H220" s="27"/>
      <c r="I220" s="33"/>
      <c r="J220" s="27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4"/>
      <c r="C221" s="24"/>
      <c r="D221" s="26"/>
      <c r="E221" s="26"/>
      <c r="F221" s="24"/>
      <c r="G221" s="26"/>
      <c r="H221" s="24"/>
      <c r="I221" s="33"/>
      <c r="J221" s="27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4"/>
      <c r="C222" s="24"/>
      <c r="D222" s="26"/>
      <c r="E222" s="26"/>
      <c r="F222" s="24"/>
      <c r="G222" s="26"/>
      <c r="H222" s="24"/>
      <c r="I222" s="33"/>
      <c r="J222" s="27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4"/>
      <c r="C223" s="24"/>
      <c r="D223" s="26"/>
      <c r="E223" s="26"/>
      <c r="F223" s="24"/>
      <c r="G223" s="26"/>
      <c r="H223" s="24"/>
      <c r="I223" s="33"/>
      <c r="J223" s="27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4"/>
      <c r="C224" s="24"/>
      <c r="D224" s="26"/>
      <c r="E224" s="26"/>
      <c r="F224" s="24"/>
      <c r="G224" s="26"/>
      <c r="H224" s="24"/>
      <c r="I224" s="33"/>
      <c r="J224" s="27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4"/>
      <c r="C225" s="24"/>
      <c r="D225" s="26"/>
      <c r="E225" s="26"/>
      <c r="F225" s="24"/>
      <c r="G225" s="26"/>
      <c r="H225" s="24"/>
      <c r="I225" s="33"/>
      <c r="J225" s="27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4"/>
      <c r="C226" s="24"/>
      <c r="D226" s="26"/>
      <c r="E226" s="26"/>
      <c r="F226" s="24"/>
      <c r="G226" s="26"/>
      <c r="H226" s="24"/>
      <c r="I226" s="3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4"/>
      <c r="C227" s="24"/>
      <c r="D227" s="26"/>
      <c r="E227" s="26"/>
      <c r="F227" s="24"/>
      <c r="G227" s="26"/>
      <c r="H227" s="24"/>
      <c r="I227" s="3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4"/>
      <c r="C228" s="24"/>
      <c r="D228" s="26"/>
      <c r="E228" s="26"/>
      <c r="F228" s="24"/>
      <c r="G228" s="26"/>
      <c r="H228" s="24"/>
      <c r="I228" s="3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4"/>
      <c r="C229" s="24"/>
      <c r="D229" s="26"/>
      <c r="E229" s="26"/>
      <c r="F229" s="24"/>
      <c r="G229" s="26"/>
      <c r="H229" s="24"/>
      <c r="I229" s="3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4"/>
      <c r="C230" s="24"/>
      <c r="D230" s="26"/>
      <c r="E230" s="26"/>
      <c r="F230" s="24"/>
      <c r="G230" s="26"/>
      <c r="H230" s="24"/>
      <c r="I230" s="3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3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3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3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3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3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3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3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3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3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3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3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3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3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3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3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3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3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3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3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3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3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3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3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3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3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3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3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3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3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3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3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3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3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3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3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3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3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3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3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3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3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3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3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3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3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3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3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3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3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3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3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3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3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3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3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3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3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3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3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3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3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3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3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3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3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3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3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3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3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3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3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3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3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3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3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3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3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3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3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3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3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3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3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3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3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3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3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3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3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3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3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3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3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3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3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3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3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3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3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3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3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3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3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3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3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3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3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3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3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3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3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3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3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3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3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3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3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3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3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3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3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3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3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3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3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3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3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3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3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3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3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3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3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3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3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3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3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3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3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3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3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3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3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3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3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3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3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3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3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3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3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3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3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3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3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3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3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3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3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3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3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3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3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3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3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3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3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3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3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3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3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3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3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3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3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3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3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3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3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3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3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3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3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3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3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3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3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3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3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3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3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3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3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3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3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3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3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3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3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3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3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3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3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3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3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3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3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3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3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3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3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3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3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3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3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3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3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3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3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3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3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3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3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3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3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3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3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3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3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3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3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3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3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3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3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3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3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3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3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3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3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3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3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3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3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3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3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3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3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3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3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3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3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3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3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3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3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3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3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3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3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3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3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3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3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3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3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3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3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3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3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3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3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3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3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3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3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3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3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3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3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3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3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3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3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3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3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3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3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3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3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3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3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3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3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3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3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3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3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3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3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3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3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3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3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3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3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3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3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3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3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3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3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3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3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3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3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3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3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3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3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3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3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3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3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3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3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3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3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3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3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3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3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3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3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3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3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3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3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3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3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3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3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3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3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3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3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3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3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3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3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3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3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3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3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3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3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3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3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3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3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3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3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3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3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3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3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3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3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3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3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3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3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3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3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3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3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3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3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3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3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3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3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3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3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3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3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3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3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3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3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3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3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3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3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3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3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3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3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3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3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3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3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3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3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3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3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3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3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3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3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3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3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3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3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3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3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3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3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3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3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3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3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3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3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3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3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3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3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3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3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3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3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3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3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3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3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3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3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3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3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3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3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3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3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3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3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3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3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3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3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3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3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3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3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3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3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3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3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3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3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3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3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3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3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3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3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3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3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3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3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3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3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3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3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3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3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3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3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3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3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3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3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3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3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3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3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3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3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3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3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3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3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3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3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3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3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3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3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3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3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3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3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3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3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3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3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3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3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3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3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3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3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3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3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3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3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3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3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3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3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3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3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3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3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3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3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3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3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3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3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3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3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3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3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3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3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3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3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3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3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3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3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3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3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3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3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3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3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3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3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3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3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3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3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3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3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3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3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3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3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3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3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3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3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3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3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3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3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3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3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3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3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3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3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3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3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3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3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3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3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3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3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3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3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3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3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3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3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3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3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3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3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3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3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3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3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3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3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3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3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3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3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3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3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3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3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3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3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3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3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3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3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3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3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3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3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3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3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3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3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3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3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3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3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3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3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3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3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3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3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3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3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3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3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3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3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3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3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3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3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3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3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3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3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3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3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3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3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3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3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3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3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3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3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3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3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3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3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3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3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3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3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3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3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3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3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3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3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3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3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3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3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3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3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3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3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3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3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3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3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3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3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3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3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3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3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3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3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3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3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3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3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3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3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3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3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3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3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3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3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3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3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3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3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3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3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3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3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3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3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3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3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3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3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3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3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3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3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3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3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3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3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3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3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</sheetData>
  <autoFilter ref="$A$1:$AA$992"/>
  <dataValidations>
    <dataValidation type="list" allowBlank="1" showErrorMessage="1" sqref="D76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BERNA,SPRINGER SPANIEL"</formula1>
    </dataValidation>
    <dataValidation type="list" allowBlank="1" showErrorMessage="1" sqref="D2:D14 D16:D75 D77:D94 D96:D230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,PASTOR BELGA ,DALMATA,TERRANOVA,SPRINGER SPANIEL,CAVA"&amp;"POO"</formula1>
    </dataValidation>
    <dataValidation type="list" allowBlank="1" showErrorMessage="1" sqref="D15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FRISE,BOYERO DE BERNA,COTON DE TULEAR "</formula1>
    </dataValidation>
    <dataValidation type="list" allowBlank="1" showErrorMessage="1" sqref="G2:G230">
      <formula1>"LARGO,CORTO"</formula1>
    </dataValidation>
    <dataValidation type="list" allowBlank="1" showErrorMessage="1" sqref="K2:L128">
      <formula1>"SI,NO"</formula1>
    </dataValidation>
    <dataValidation type="list" allowBlank="1" showErrorMessage="1" sqref="J2:J225">
      <formula1>"MOÑO,MOÑOS,CORBATÍN,PAÑOLETA,NO"</formula1>
    </dataValidation>
    <dataValidation type="list" allowBlank="1" showErrorMessage="1" sqref="E2:E230">
      <formula1>"BAÑO EVA,FLASH BATH,CAT LOVER,EVA PRIMITIVO,EVA ALTERNATIVO,EVA'S GROOMING,STRIPPING,CORTE DE UÑAS,PEINADO,EVA LISO PERFECTO,SESIÓN DESENREDO,LIMPIEZA DENTAL PROFUNDA"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