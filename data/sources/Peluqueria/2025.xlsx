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eltranseunte/UAO - Mi unidad/1er Semestre/ETL/Proyecto final/Peluqueria/"/>
    </mc:Choice>
  </mc:AlternateContent>
  <xr:revisionPtr revIDLastSave="0" documentId="8_{725872EE-AFA1-4C48-99DF-E4555CC6D16D}" xr6:coauthVersionLast="47" xr6:coauthVersionMax="47" xr10:uidLastSave="{00000000-0000-0000-0000-000000000000}"/>
  <bookViews>
    <workbookView xWindow="0" yWindow="780" windowWidth="36000" windowHeight="22600" activeTab="11" xr2:uid="{00000000-000D-0000-FFFF-FFFF00000000}"/>
  </bookViews>
  <sheets>
    <sheet name="ENERO" sheetId="1" r:id="rId1"/>
    <sheet name="FEBRERO" sheetId="2" r:id="rId2"/>
    <sheet name="MARZO" sheetId="3" r:id="rId3"/>
    <sheet name="ABRIL 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1" r:id="rId10"/>
    <sheet name="NOVIEMBRE" sheetId="12" r:id="rId11"/>
    <sheet name="DICIEMBRE" sheetId="13" r:id="rId12"/>
  </sheets>
  <definedNames>
    <definedName name="_xlnm._FilterDatabase" localSheetId="3" hidden="1">'ABRIL '!$A$1:$J$228</definedName>
    <definedName name="_xlnm._FilterDatabase" localSheetId="7" hidden="1">AGOSTO!$A$1:$J$222</definedName>
    <definedName name="_xlnm._FilterDatabase" localSheetId="11" hidden="1">DICIEMBRE!$A$1:$Z$1008</definedName>
    <definedName name="_xlnm._FilterDatabase" localSheetId="0" hidden="1">ENERO!$A$1:$J$221</definedName>
    <definedName name="_xlnm._FilterDatabase" localSheetId="1" hidden="1">FEBRERO!$A$1:$J$227</definedName>
    <definedName name="_xlnm._FilterDatabase" localSheetId="6" hidden="1">JULIO!$A$1:$J$254</definedName>
    <definedName name="_xlnm._FilterDatabase" localSheetId="5" hidden="1">JUNIO!$A$1:$J$197</definedName>
    <definedName name="_xlnm._FilterDatabase" localSheetId="2" hidden="1">MARZO!$A$1:$J$254</definedName>
    <definedName name="_xlnm._FilterDatabase" localSheetId="4" hidden="1">MAYO!$A$1:$J$245</definedName>
    <definedName name="_xlnm._FilterDatabase" localSheetId="9" hidden="1">OCTUBRE!$A$1:$J$189</definedName>
    <definedName name="_xlnm._FilterDatabase" localSheetId="8" hidden="1">SEPTIEMBRE!$A$1:$K$194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12" l="1"/>
  <c r="H69" i="12"/>
  <c r="I227" i="11"/>
  <c r="H176" i="11"/>
  <c r="H167" i="9"/>
  <c r="H152" i="9"/>
  <c r="H126" i="9"/>
  <c r="H9" i="9"/>
  <c r="H251" i="7"/>
  <c r="H221" i="7"/>
  <c r="H104" i="5"/>
  <c r="H97" i="5"/>
  <c r="H128" i="4"/>
  <c r="H72" i="4"/>
  <c r="H9" i="4"/>
  <c r="H151" i="3"/>
  <c r="H224" i="2"/>
  <c r="H167" i="1"/>
  <c r="H121" i="1"/>
  <c r="H120" i="1"/>
  <c r="H38" i="1"/>
  <c r="H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tc={aa14268d-3a25-4305-9eba-89c4a9da1de7}</author>
    <author>tc={81b47262-d94d-4955-873d-db7b12c56b51}</author>
    <author>tc={25ec8193-96f4-4238-804d-e6719a45218e}</author>
    <author>tc={8bb2b1a4-d3e7-4210-b5ac-d6e4eb5a4067}</author>
    <author>tc={8bce9c8c-953c-4531-aafe-57aa7a06f9d0}</author>
    <author>tc={9e2d97cd-be62-4859-bf00-f4ab13eeec14}</author>
    <author>tc={1b6e9272-8e21-44ba-a671-926315e55bac}</author>
    <author>tc={ffe92fd9-9b5a-41bd-85c2-1bd8e0c12327}</author>
    <author>tc={a4de710d-b7db-482f-9595-d0e8d4e8f436}</author>
    <author>tc={2b1158bf-e7e5-4094-a758-a0d6128d053a}</author>
    <author>tc={7b276a58-c682-4eaa-b466-e01600175286}</author>
    <author>tc={c56a5e67-49a4-48fd-81b9-ce035eea73f4}</author>
    <author>tc={c9a8e7a9-5492-4757-ae1b-200ded847c47}</author>
    <author>tc={e2ee90a8-9bf1-41ce-ab7c-ed1933b6ef9b}</author>
    <author>tc={a35ad5d3-296f-433b-8a15-b3895c934ba5}</author>
    <author>tc={ae5c384a-c74f-4ad6-8bc5-78c57f6a9003}</author>
    <author>tc={223aeb68-5c2e-4b3f-9d5a-52851f6fd58c}</author>
    <author>tc={a6f9f1ba-ddab-4a7b-8500-3011e74d28fc}</author>
    <author>tc={20239bc0-d73b-4264-bc66-f226f69ecc96}</author>
    <author>tc={3e155d3a-7664-4d78-937c-a72332e76f1b}</author>
    <author>tc={7baf9c95-023a-495a-ad11-22c7ac2f8e65}</author>
    <author>tc={e2d8303d-7414-4cc8-8c1b-0dff521749fd}</author>
    <author>tc={2cb7b56c-1eaa-42a4-9ef0-73150bbdd003}</author>
    <author>tc={354c2ebc-594f-4573-af85-90c5879e3f1f}</author>
    <author>tc={8bd1a08d-29ea-431f-927d-47d3c3529b80}</author>
    <author>tc={34aa81b8-5f21-410e-ba6a-b4ea4388d42c}</author>
    <author>tc={7686137f-ae90-4965-8391-2a8657b41c93}</author>
    <author>tc={352ea7f5-6fbf-4527-8c94-b6122599b3a2}</author>
    <author>tc={1fb63f94-6061-4b9f-bd40-caa4af8da5c3}</author>
    <author>tc={08a7b4f6-33f4-4c28-b96b-110fcfb89861}</author>
    <author>tc={d4d0c4ca-b4b0-40b0-882c-8cef34b6b2ae}</author>
    <author>tc={9c28dc40-da79-4a40-8a0e-80729f370404}</author>
    <author>tc={13866ead-6d6a-4067-bdcc-d911655332cc}</author>
    <author>tc={2c4da2ea-4895-48e8-baad-5595ce47987c}</author>
    <author>tc={c6bd963f-324e-4a52-b6fa-158550093dff}</author>
    <author>tc={a4e58be6-759d-441f-924f-dee7930a735c}</author>
    <author>tc={226fa81b-de0c-4b15-8de5-8e382131bd67}</author>
    <author>tc={10ea166e-d8a6-488c-b194-d624f6135f6e}</author>
    <author>tc={c64777d5-705f-4239-9e39-e850b476a1d9}</author>
    <author>tc={4f48d631-108a-4e32-83ef-98a34437ea13}</author>
    <author>tc={72fb5692-d36f-4525-afc6-83d85c399e7b}</author>
    <author>tc={e4e813d2-0e15-407e-a719-0b4ba5a2381b}</author>
    <author>tc={29683b6e-0426-42f1-9c79-7209c4abe78e}</author>
    <author>tc={ab19227d-4a17-4149-8012-25350a87d86a}</author>
    <author>tc={f22b69fd-44b5-483b-b16b-2e810f61794b}</author>
    <author>tc={bda05bfe-8c28-456f-9eb7-2027a870c728}</author>
    <author>tc={777c3e22-81e6-4411-b629-1cf5ea48d335}</author>
    <author>tc={5fb47ee2-c9cd-4491-bbd8-8da46228fcef}</author>
    <author>tc={0470fe4c-b8df-43f5-9044-e5a8e02084e8}</author>
    <author>tc={0cf0cad8-adbf-44b1-b24a-75daa603bc0d}</author>
    <author>tc={deb17e25-9f2c-4185-a77f-0fe5f6d1a5d9}</author>
    <author>tc={56f8ae38-fb40-4b7d-9988-1239c01a8738}</author>
    <author>tc={a748d436-598d-4898-8a92-fac873199834}</author>
    <author>tc={0725f3e9-3e83-4164-8ed2-dec9e7e03bf6}</author>
    <author>tc={5fc8bd17-b692-4c80-a4f7-815c37d07643}</author>
    <author>tc={ed344f58-8aa0-460a-aab9-67f5df68eb0d}</author>
    <author>tc={bdb93b8b-70fb-4db4-ae4f-e8c045d12768}</author>
    <author>tc={22bd03ec-1e83-4abf-a16e-6ddb5e525813}</author>
    <author>tc={db8a7e3e-73a5-403f-953a-3b964b9f5ffb}</author>
    <author>tc={21010b9a-14f9-4e1f-85cb-400c5be22a1f}</author>
    <author>tc={082963eb-7119-4fab-9113-ace4214a7e3b}</author>
    <author>tc={5e04d4e5-9638-40a8-85df-d4c91f3464b3}</author>
    <author>tc={ca6b7a2c-20be-4f76-898f-eb51e461db0d}</author>
    <author>tc={6f21a81e-835c-436e-b2f6-6a75ac8acc1a}</author>
    <author>tc={6bd24e03-baf9-482d-9ad4-13def04e9e63}</author>
    <author>tc={85956909-d414-468d-b78c-2d762e0fe967}</author>
    <author>tc={7f935206-7244-4c46-a16c-e13ab25fdb38}</author>
    <author>tc={308f9060-6b8a-4da8-9150-a658ee016faf}</author>
    <author>tc={91982383-1929-41e6-9f42-7823d26884c3}</author>
    <author>tc={f1b6bb9c-d330-4a83-9cf8-9f1a4c4b8070}</author>
    <author>tc={2344f1db-d8bc-4d48-bf2c-20d528eef18e}</author>
    <author>tc={a92b350f-e98d-4b89-bf96-883d9fd7d9c3}</author>
    <author>tc={8d2697c9-500c-4bea-b52d-429551a981a5}</author>
    <author>tc={31d125c3-9ba3-49a2-a029-bee13d9134dc}</author>
    <author>tc={eabc20f1-463e-4419-81fa-5133cdc15b81}</author>
    <author>tc={594d6bc0-9633-46f6-8b9e-e3d1ee498a9c}</author>
    <author>tc={f193ec34-dff9-4143-bee8-c6e6354142fb}</author>
    <author>tc={fb9cbbd1-6e4b-4c51-9497-cfedf617b911}</author>
    <author>tc={4aaf6ced-51c2-44fe-9ec0-70546c4a33a8}</author>
    <author>tc={ee061f2c-ae17-4566-aa80-3b1da8bd08ae}</author>
    <author>tc={0a8add0a-bda5-48d6-9433-4d5f1fa2a923}</author>
    <author>tc={626f92aa-7093-4d8e-9012-1cf6283c1585}</author>
    <author>tc={fd5fe728-adb1-444f-bd05-b8a6de41016a}</author>
    <author>tc={380c9f54-e6c3-44c8-83d5-5135ec4a4cd5}</author>
    <author>tc={e02ce073-0dda-47db-b2cf-b9a5e92e7f1b}</author>
    <author>tc={6de8e020-7a63-436e-ab23-e3ec32df2881}</author>
    <author>tc={20ee5edd-ceaf-4f74-801d-a4b7f02f86df}</author>
    <author>tc={c6c76ef1-05ca-4ce1-adca-476fe698b5e8}</author>
    <author>tc={80fdb154-b0fd-4bab-98d5-a4b876169243}</author>
    <author>tc={d9970585-9851-45d2-9783-ea5026cddba9}</author>
    <author>tc={17b4600f-cb70-4939-8feb-ce9555e3228c}</author>
    <author>tc={026150de-d0a4-4630-88c2-5e71d1ee6a5c}</author>
    <author>tc={97454399-7748-4eca-a770-fcd4843743ff}</author>
    <author>tc={c8bdf476-2653-4125-a346-d95c0a70a4fd}</author>
  </authors>
  <commentList>
    <comment ref="A1" authorId="0" shapeId="0" xr:uid="{AA14268D-3A25-4305-9EBA-89C4A9DA1DE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" authorId="1" shapeId="0" xr:uid="{81B47262-D94D-4955-873D-DB7B12C56B5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" authorId="2" shapeId="0" xr:uid="{25EC8193-96F4-4238-804D-E6719A4521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" authorId="3" shapeId="0" xr:uid="{8BB2B1A4-D3E7-4210-B5AC-D6E4EB5A40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" authorId="4" shapeId="0" xr:uid="{8BCE9C8C-953C-4531-AAFE-57AA7A06F9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" authorId="5" shapeId="0" xr:uid="{9E2D97CD-BE62-4859-BF00-F4AB13EEEC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25 transferencia 
35 efectivo</t>
      </text>
    </comment>
    <comment ref="H17" authorId="6" shapeId="0" xr:uid="{1B6E9272-8E21-44BA-A671-926315E55BA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" authorId="7" shapeId="0" xr:uid="{FFE92FD9-9B5A-41BD-85C2-1BD8E0C123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" authorId="8" shapeId="0" xr:uid="{A4DE710D-B7DB-482F-9595-D0E8D4E8F4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25 TRANSFERENCIA
110 EFECTIVO</t>
      </text>
    </comment>
    <comment ref="H32" authorId="9" shapeId="0" xr:uid="{2B1158BF-E7E5-4094-A758-A0D6128D05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4" authorId="10" shapeId="0" xr:uid="{7B276A58-C682-4EAA-B466-E0160017528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5" authorId="11" shapeId="0" xr:uid="{C56A5E67-49A4-48FD-81B9-CE035EEA73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6" authorId="12" shapeId="0" xr:uid="{C9A8E7A9-5492-4757-AE1B-200DED847C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8" authorId="13" shapeId="0" xr:uid="{E2EE90A8-9BF1-41CE-AB7C-ED1933B6EF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1" authorId="14" shapeId="0" xr:uid="{A35AD5D3-296F-433B-8A15-B3895C934B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2" authorId="15" shapeId="0" xr:uid="{AE5C384A-C74F-4AD6-8BC5-78C57F6A90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6" authorId="16" shapeId="0" xr:uid="{223AEB68-5C2E-4B3F-9D5A-52851F6FD5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100 EFECTIVO
20 TRANSFERENCIA</t>
      </text>
    </comment>
    <comment ref="H52" authorId="17" shapeId="0" xr:uid="{A6F9F1BA-DDAB-4A7B-8500-3011E74D28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3" authorId="18" shapeId="0" xr:uid="{20239BC0-D73B-4264-BC66-F226F69ECC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8" authorId="19" shapeId="0" xr:uid="{3E155D3A-7664-4D78-937C-A72332E76F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9" authorId="20" shapeId="0" xr:uid="{7BAF9C95-023A-495A-AD11-22C7AC2F8E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0" authorId="21" shapeId="0" xr:uid="{E2D8303D-7414-4CC8-8C1B-0DFF521749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3" authorId="22" shapeId="0" xr:uid="{2CB7B56C-1EAA-42A4-9EF0-73150BBDD0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6" authorId="23" shapeId="0" xr:uid="{354C2EBC-594F-4573-AF85-90C5879E3F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7" authorId="24" shapeId="0" xr:uid="{8BD1A08D-29EA-431F-927D-47D3C3529B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2" authorId="25" shapeId="0" xr:uid="{34AA81B8-5F21-410E-BA6A-B4EA4388D4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25.000 transferencia
55.000 efectivo</t>
      </text>
    </comment>
    <comment ref="H76" authorId="26" shapeId="0" xr:uid="{7686137F-AE90-4965-8391-2A8657B41C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9" authorId="27" shapeId="0" xr:uid="{352EA7F5-6FBF-4527-8C94-B6122599B3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1" authorId="28" shapeId="0" xr:uid="{1FB63F94-6061-4B9F-BD40-CAA4AF8DA5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4" authorId="29" shapeId="0" xr:uid="{08A7B4F6-33F4-4C28-B96B-110FCFB898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184.000 efectivo
16.000 Transferencia</t>
      </text>
    </comment>
    <comment ref="H85" authorId="30" shapeId="0" xr:uid="{D4D0C4CA-B4B0-40B0-882C-8CEF34B6B2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184.000 Efectivo
16.000 Transferencia</t>
      </text>
    </comment>
    <comment ref="H86" authorId="31" shapeId="0" xr:uid="{9C28DC40-DA79-4A40-8A0E-80729F3704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184.000 Efectivo
16.000 Transferencia</t>
      </text>
    </comment>
    <comment ref="H87" authorId="32" shapeId="0" xr:uid="{13866EAD-6D6A-4067-BDCC-D911655332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184.000 Efectivo
16.000 Transferencia</t>
      </text>
    </comment>
    <comment ref="H96" authorId="33" shapeId="0" xr:uid="{2C4DA2EA-4895-48E8-BAAD-5595CE4798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7" authorId="34" shapeId="0" xr:uid="{C6BD963F-324E-4A52-B6FA-158550093D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3" authorId="35" shapeId="0" xr:uid="{A4E58BE6-759D-441F-924F-DEE7930A73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4" authorId="36" shapeId="0" xr:uid="{226FA81B-DE0C-4B15-8DE5-8E382131BD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5" authorId="37" shapeId="0" xr:uid="{10EA166E-D8A6-488C-B194-D624F6135F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7" authorId="38" shapeId="0" xr:uid="{C64777D5-705F-4239-9E39-E850B476A1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8" authorId="39" shapeId="0" xr:uid="{4F48D631-108A-4E32-83EF-98A34437EA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9" authorId="40" shapeId="0" xr:uid="{72FB5692-D36F-4525-AFC6-83D85C399E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1" authorId="41" shapeId="0" xr:uid="{E4E813D2-0E15-407E-A719-0B4BA5A238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4" authorId="42" shapeId="0" xr:uid="{29683B6E-0426-42F1-9C79-7209C4ABE7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6" authorId="43" shapeId="0" xr:uid="{AB19227D-4A17-4149-8012-25350A87D8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0" authorId="44" shapeId="0" xr:uid="{F22B69FD-44B5-483B-B16B-2E810F6179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1" authorId="45" shapeId="0" xr:uid="{BDA05BFE-8C28-456F-9EB7-2027A870C7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3" authorId="46" shapeId="0" xr:uid="{777C3E22-81E6-4411-B629-1CF5EA48D3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6" authorId="47" shapeId="0" xr:uid="{5FB47EE2-C9CD-4491-BBD8-8DA46228FC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8" authorId="48" shapeId="0" xr:uid="{0470FE4C-B8DF-43F5-9044-E5A8E02084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49" shapeId="0" xr:uid="{0CF0CAD8-ADBF-44B1-B24A-75DAA603BC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50.000 efectivo 
15.000 transferencia</t>
      </text>
    </comment>
    <comment ref="H137" authorId="50" shapeId="0" xr:uid="{DEB17E25-9F2C-4185-A77F-0FE5F6D1A5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3" authorId="51" shapeId="0" xr:uid="{56F8AE38-FB40-4B7D-9988-1239C01A87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4" authorId="52" shapeId="0" xr:uid="{A748D436-598D-4898-8A92-FAC8731998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6" authorId="53" shapeId="0" xr:uid="{0725F3E9-3E83-4164-8ED2-DEC9E7E03B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7" authorId="54" shapeId="0" xr:uid="{5FC8BD17-B692-4C80-A4F7-815C37D076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8" authorId="55" shapeId="0" xr:uid="{ED344F58-8AA0-460A-AAB9-67F5DF68EB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5" authorId="56" shapeId="0" xr:uid="{BDB93B8B-70FB-4DB4-AE4F-E8C045D127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6" authorId="57" shapeId="0" xr:uid="{22BD03EC-1E83-4ABF-A16E-6DDB5E5258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7" authorId="58" shapeId="0" xr:uid="{DB8A7E3E-73A5-403F-953A-3B964B9F5F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8" authorId="59" shapeId="0" xr:uid="{21010B9A-14F9-4E1F-85CB-400C5BE22A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3" authorId="60" shapeId="0" xr:uid="{082963EB-7119-4FAB-9113-ACE4214A7E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7" authorId="61" shapeId="0" xr:uid="{5E04D4E5-9638-40A8-85DF-D4C91F3464B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9" authorId="62" shapeId="0" xr:uid="{CA6B7A2C-20BE-4F76-898F-EB51E461DB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1" authorId="63" shapeId="0" xr:uid="{6F21A81E-835C-436E-B2F6-6A75AC8ACC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6" authorId="64" shapeId="0" xr:uid="{6BD24E03-BAF9-482D-9AD4-13DEF04E9E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7" authorId="65" shapeId="0" xr:uid="{85956909-D414-468D-B78C-2D762E0FE9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9" authorId="66" shapeId="0" xr:uid="{7F935206-7244-4C46-A16C-E13AB25FDB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0" authorId="67" shapeId="0" xr:uid="{308F9060-6B8A-4DA8-9150-A658EE016F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4" authorId="68" shapeId="0" xr:uid="{91982383-1929-41E6-9F42-7823D26884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6" authorId="69" shapeId="0" xr:uid="{F1B6BB9C-D330-4A83-9CF8-9F1A4C4B807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7" authorId="70" shapeId="0" xr:uid="{2344F1DB-D8BC-4D48-BF2C-20D528EEF1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2" authorId="71" shapeId="0" xr:uid="{A92B350F-E98D-4B89-BF96-883D9FD7D9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0" authorId="72" shapeId="0" xr:uid="{8D2697C9-500C-4BEA-B52D-429551A981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1" authorId="73" shapeId="0" xr:uid="{31D125C3-9BA3-49A2-A029-BEE13D9134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3" authorId="74" shapeId="0" xr:uid="{EABC20F1-463E-4419-81FA-5133CDC15B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4" authorId="75" shapeId="0" xr:uid="{594D6BC0-9633-46F6-8B9E-E3D1EE498A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5" authorId="76" shapeId="0" xr:uid="{F193EC34-DFF9-4143-BEE8-C6E6354142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6" authorId="77" shapeId="0" xr:uid="{FB9CBBD1-6E4B-4C51-9497-CFEDF617B9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7" authorId="78" shapeId="0" xr:uid="{4AAF6CED-51C2-44FE-9EC0-70546C4A33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8" authorId="79" shapeId="0" xr:uid="{EE061F2C-AE17-4566-AA80-3B1DA8BD08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9" authorId="80" shapeId="0" xr:uid="{0A8ADD0A-BDA5-48D6-9433-4D5F1FA2A9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0" authorId="81" shapeId="0" xr:uid="{626F92AA-7093-4D8E-9012-1CF6283C15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1" authorId="82" shapeId="0" xr:uid="{FD5FE728-ADB1-444F-BD05-B8A6DE4101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3" authorId="83" shapeId="0" xr:uid="{380C9F54-E6C3-44C8-83D5-5135EC4A4C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4" authorId="84" shapeId="0" xr:uid="{E02CE073-0DDA-47DB-B2CF-B9A5E92E7F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215" authorId="85" shapeId="0" xr:uid="{6DE8E020-7A63-436E-AB23-E3EC32DF28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6" authorId="86" shapeId="0" xr:uid="{20EE5EDD-CEAF-4F74-801D-A4B7F02F86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7" authorId="87" shapeId="0" xr:uid="{C6C76EF1-05CA-4CE1-ADCA-476FE698B5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0" authorId="88" shapeId="0" xr:uid="{80FDB154-B0FD-4BAB-98D5-A4B8761692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3" authorId="89" shapeId="0" xr:uid="{D9970585-9851-45D2-9783-EA5026CDDB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9" authorId="90" shapeId="0" xr:uid="{17B4600F-CB70-4939-8FEB-CE9555E322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0" authorId="91" shapeId="0" xr:uid="{026150DE-D0A4-4630-88C2-5E71D1EE6A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2" authorId="92" shapeId="0" xr:uid="{97454399-7748-4ECA-A770-FCD4843743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3" authorId="93" shapeId="0" xr:uid="{C8BDF476-2653-4125-A346-D95C0A70A4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tc={86cb2013-690b-4fba-862d-8f227d9d6021}</author>
    <author>tc={5c5f215f-cf91-4254-8e7c-c17fbe0f9a9c}</author>
    <author>tc={c6a9a4ce-0857-46c8-915f-26e0a2dfb5db}</author>
    <author>tc={5d5b0b53-5a46-4ef9-ae44-332f6519c915}</author>
    <author>tc={b9eddac1-2c9c-4de5-a46c-80fbac94a510}</author>
    <author>tc={31892bf1-8f55-4928-88bf-cf3ed87886ea}</author>
    <author>tc={584a323b-224d-4315-8822-04657deb1cdf}</author>
    <author>tc={7bd723a7-42e0-4256-8ae6-6edc82e8c1b2}</author>
    <author>tc={7ed32821-ca0f-43f3-a9dd-09e52d5d0916}</author>
    <author>tc={0d7e3c9a-b037-426b-b7cf-6885e418d723}</author>
    <author>tc={3a0ba0e1-00ec-4729-ad30-bdd7fd4b0db2}</author>
    <author>tc={5e98d8a5-7fc1-4cc8-91dd-3040d1533a44}</author>
    <author>tc={7239b0ea-7aca-422f-8e45-b8e8170b832a}</author>
    <author>tc={b6214385-7632-4d87-8993-5016735a858f}</author>
    <author>tc={3a8b7a8a-6aa8-43b9-80de-0f4a4f566d6e}</author>
    <author>tc={1885913e-7d83-42c2-a26e-317308d030ac}</author>
    <author>tc={fb3f2f0b-af28-4fb6-a882-51e54a761136}</author>
    <author>tc={b12a7c33-34b7-4267-a3a4-011c9da64f21}</author>
    <author>tc={d80b97ec-bd0f-4222-b72f-0e03583d6f01}</author>
    <author>tc={7ac87adb-9a32-4f83-9306-7b966732504a}</author>
    <author>tc={1db7546b-8c9a-44e6-a618-5cae026744d6}</author>
    <author>tc={a2fddf7b-2350-4ab5-8aaf-b0843f38684c}</author>
    <author>tc={3682da4e-ab57-4e80-8678-275c394e693a}</author>
    <author>tc={08bc8829-46e1-404c-a796-e53d8899f852}</author>
    <author>tc={cb775045-0622-4cbe-bde5-50c5a37a8bbe}</author>
    <author>tc={4429a569-af1b-4b0a-83bc-5e8cde137616}</author>
    <author>tc={ff017cc4-afac-454e-a5f0-0435919a7def}</author>
    <author>tc={705d59b4-dc09-4491-a2e2-911b8d6fcaca}</author>
    <author>tc={71ebc115-64b9-469d-a03e-180ab8f0013b}</author>
    <author>tc={992e5f8d-da2e-4406-84b7-35ec2f7c4e97}</author>
    <author>tc={0a69fac7-f73c-4df9-83ea-920fbacc4f94}</author>
    <author>tc={20d93164-d88e-4e3f-9a50-4a74609aa313}</author>
    <author>tc={f3bac027-c052-4bda-9bcb-54bdbbb2e2d5}</author>
    <author>tc={99aad722-e2ff-471f-bc44-45cabf4e34c7}</author>
    <author>tc={542a6bfb-5986-4125-bb30-ab8a26f79a3c}</author>
    <author>tc={9d14dd07-fa23-4d71-bbbb-440cd21fc460}</author>
    <author>tc={4de6fe3b-62d4-4301-b796-216640a688b5}</author>
    <author>tc={03c7e9f1-783f-48e7-a7d5-f32615a9467d}</author>
    <author>tc={c6793e05-7dff-49e4-97cc-515f4f162183}</author>
    <author>tc={93607487-b335-4744-b3b6-17cbf706399f}</author>
    <author>tc={2db097bd-1238-4532-bf6b-a53038328556}</author>
    <author>tc={4a5c096a-f3de-404c-b301-b5761d695a04}</author>
    <author>tc={0e63c540-1bed-4a75-a0ab-c810031e95d8}</author>
    <author>tc={eef6ae1b-11d6-45c5-894a-4c151068e5eb}</author>
    <author>tc={37f166e8-4fb4-4e8c-bb2c-cdb3a243dd42}</author>
    <author>tc={bffd88f5-dc1a-45b5-8ccd-3f08892980dd}</author>
    <author>tc={62d5acd6-ea3d-4df5-82f3-c3eecbb36a35}</author>
    <author>tc={10a03e5c-7a3e-4499-829e-b745bbf7d2f0}</author>
    <author>tc={359c431a-bf64-4081-971c-ed2fe542a847}</author>
    <author>tc={c927e242-b8b5-4d69-b0b9-250fa437afeb}</author>
    <author>tc={e8ed9b21-cafd-443e-a813-1d87c91c2e12}</author>
    <author>tc={36ad478c-bc4d-49c2-b71a-9d207a84b112}</author>
    <author>tc={383e73a6-eb0a-4af7-89a4-e84e846cba18}</author>
    <author>tc={426a417f-c0f5-4d27-a644-0e7b1a8cfddb}</author>
    <author>tc={e5c30a79-5260-4165-be4f-ad7d31ee85dd}</author>
    <author>tc={5bc394df-4f04-4696-864a-315da17215f9}</author>
    <author>tc={5e89ac90-1cc8-41f0-9d2a-b18e84d43eba}</author>
    <author>tc={9d1ac7a3-d636-49fe-b394-d8abbe650d64}</author>
    <author>tc={ef21efff-4da0-4e1f-913a-d6164a388cbc}</author>
    <author>tc={01c7c42f-591e-4ebb-8f56-a14748f74ba6}</author>
    <author>tc={5428146d-670b-4aa3-bad4-37a7a45302db}</author>
    <author>tc={d9714571-699a-46fd-9ce3-99372abba6d3}</author>
    <author>tc={0d182453-c924-4cfa-b193-f80d90fa6b1f}</author>
    <author>tc={65064e75-17e6-4db5-ab7e-021f071e2995}</author>
    <author>tc={9b6b3de1-0c96-4e13-a2da-c7d008438972}</author>
    <author>tc={479ad462-bb64-499a-8aa3-c806ecc72c4c}</author>
    <author>tc={897ce154-b9cc-46c3-b40d-ed86256bbbfe}</author>
    <author>tc={253501a2-c2d1-4f0e-a3cd-094c94a89667}</author>
    <author>tc={9c7b03c4-b699-4e76-b52b-f6ace4203e7b}</author>
    <author>tc={9218e400-0249-4d5c-a95a-6b8c8c026b8e}</author>
    <author>tc={89eb5cfb-24fd-4748-8a5f-8bc16c01c25f}</author>
    <author>tc={674e874e-3543-40ad-b4d8-20f1c19aa322}</author>
    <author>tc={03445dd7-2d57-4625-a4fe-6e0def0fe3c1}</author>
    <author>tc={b4d5c07c-b796-45e7-a68d-a80a9b7f9a55}</author>
    <author>tc={6cda4172-9fa4-4b09-bea3-85426e44dc69}</author>
    <author>tc={3d190d5e-bac2-4913-9bd5-3f877d0d39fa}</author>
    <author>tc={98088ee8-176c-441d-8e10-d1f090b19c04}</author>
    <author>tc={acc3fde4-ed00-4630-b7c5-5a539dffdb8f}</author>
    <author>tc={f07edfb1-7874-4a70-b22f-891491f2987a}</author>
    <author>tc={eaecf223-b401-4bd9-a06f-930f019d823c}</author>
    <author>tc={814c1a49-c5a4-4530-8339-7c8e9c701fd4}</author>
    <author>tc={d0d292dc-9306-4eb1-9c85-bf1f415ff512}</author>
    <author>tc={c2488d45-316f-4afe-9641-3cc840323748}</author>
    <author>tc={b1d2450d-54bd-4470-aba7-22ffbcc39e7a}</author>
    <author>tc={a0248867-efa9-4a03-884e-16d8f224cd28}</author>
    <author>tc={dedc7892-ea3b-40aa-931a-04e8c4937997}</author>
    <author>tc={35c935e4-09a7-4b12-b25e-dda5fa28968e}</author>
    <author>tc={6fc2a740-d909-4362-8d00-00c93e25e033}</author>
    <author>tc={d38525fa-154d-47c1-9256-c2464e3d0adf}</author>
    <author>tc={426acad9-88df-47fe-9bd4-92e742ad0852}</author>
    <author>tc={15bbb87d-ca14-4516-8f4b-d1ebc28f45c3}</author>
    <author>tc={4c99af32-55a4-43de-b133-03330cb14043}</author>
    <author>tc={6f2b3dad-5ad7-4d68-b1f8-4d49f11d3946}</author>
    <author>tc={437ede84-997e-4283-a27b-c8c7e20dfd85}</author>
    <author>tc={396327de-0cf5-47d0-814b-7775622e13d0}</author>
    <author>tc={9ead9226-727a-4ba6-83fa-713aa093d521}</author>
  </authors>
  <commentList>
    <comment ref="H2" authorId="0" shapeId="0" xr:uid="{86CB2013-690B-4FBA-862D-8F227D9D60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" authorId="1" shapeId="0" xr:uid="{5C5F215F-CF91-4254-8E7C-C17FBE0F9A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" authorId="2" shapeId="0" xr:uid="{C6A9A4CE-0857-46C8-915F-26E0A2DFB5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" authorId="3" shapeId="0" xr:uid="{5D5B0B53-5A46-4EF9-AE44-332F6519C9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4" shapeId="0" xr:uid="{B9EDDAC1-2C9C-4DE5-A46C-80FBAC94A5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1" authorId="5" shapeId="0" xr:uid="{31892BF1-8F55-4928-88BF-CF3ED87886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5" authorId="6" shapeId="0" xr:uid="{584A323B-224D-4315-8822-04657DEB1C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6" authorId="7" shapeId="0" xr:uid="{7BD723A7-42E0-4256-8AE6-6EDC82E8C1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7" authorId="8" shapeId="0" xr:uid="{7ED32821-CA0F-43F3-A9DD-09E52D5D09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8" authorId="9" shapeId="0" xr:uid="{0D7E3C9A-B037-426B-B7CF-6885E418D7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9" authorId="10" shapeId="0" xr:uid="{3A0BA0E1-00EC-4729-AD30-BDD7FD4B0D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0" authorId="11" shapeId="0" xr:uid="{5E98D8A5-7FC1-4CC8-91DD-3040D1533A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2" authorId="12" shapeId="0" xr:uid="{7239B0EA-7ACA-422F-8E45-B8E8170B83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3" authorId="13" shapeId="0" xr:uid="{B6214385-7632-4D87-8993-5016735A85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0" authorId="14" shapeId="0" xr:uid="{3A8B7A8A-6AA8-43B9-80DE-0F4A4F566D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1" authorId="15" shapeId="0" xr:uid="{1885913E-7D83-42C2-A26E-317308D030A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2" authorId="16" shapeId="0" xr:uid="{FB3F2F0B-AF28-4FB6-A882-51E54A7611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4" authorId="17" shapeId="0" xr:uid="{B12A7C33-34B7-4267-A3A4-011C9DA64F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6" authorId="18" shapeId="0" xr:uid="{D80B97EC-BD0F-4222-B72F-0E03583D6F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9" authorId="19" shapeId="0" xr:uid="{7AC87ADB-9A32-4F83-9306-7B96673250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4" authorId="20" shapeId="0" xr:uid="{1DB7546B-8C9A-44E6-A618-5CAE026744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5" authorId="21" shapeId="0" xr:uid="{A2FDDF7B-2350-4AB5-8AAF-B0843F3868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8" authorId="22" shapeId="0" xr:uid="{3682DA4E-AB57-4E80-8678-275C394E69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0" authorId="23" shapeId="0" xr:uid="{08BC8829-46E1-404C-A796-E53D8899F8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1" authorId="24" shapeId="0" xr:uid="{CB775045-0622-4CBE-BDE5-50C5A37A8B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2" authorId="25" shapeId="0" xr:uid="{4429A569-AF1B-4B0A-83BC-5E8CDE1376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6" authorId="26" shapeId="0" xr:uid="{FF017CC4-AFAC-454E-A5F0-0435919A7D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7" authorId="27" shapeId="0" xr:uid="{705D59B4-DC09-4491-A2E2-911B8D6FCA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8" authorId="28" shapeId="0" xr:uid="{71EBC115-64B9-469D-A03E-180AB8F001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9" authorId="29" shapeId="0" xr:uid="{992E5F8D-DA2E-4406-84B7-35EC2F7C4E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0" authorId="30" shapeId="0" xr:uid="{0A69FAC7-F73C-4DF9-83EA-920FBACC4F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1" authorId="31" shapeId="0" xr:uid="{20D93164-D88E-4E3F-9A50-4A74609AA3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2" authorId="32" shapeId="0" xr:uid="{F3BAC027-C052-4BDA-9BCB-54BDBBB2E2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1" authorId="33" shapeId="0" xr:uid="{99AAD722-E2FF-471F-BC44-45CABF4E34C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2" authorId="34" shapeId="0" xr:uid="{542A6BFB-5986-4125-BB30-AB8A26F79A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3" authorId="35" shapeId="0" xr:uid="{9D14DD07-FA23-4D71-BBBB-440CD21FC4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4" authorId="36" shapeId="0" xr:uid="{4DE6FE3B-62D4-4301-B796-216640A688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6" authorId="37" shapeId="0" xr:uid="{03C7E9F1-783F-48E7-A7D5-F32615A946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2" authorId="38" shapeId="0" xr:uid="{C6793E05-7DFF-49E4-97CC-515F4F1621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3" authorId="39" shapeId="0" xr:uid="{93607487-B335-4744-B3B6-17CBF70639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4" authorId="40" shapeId="0" xr:uid="{2DB097BD-1238-4532-BF6B-A530383285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5" authorId="41" shapeId="0" xr:uid="{4A5C096A-F3DE-404C-B301-B5761D695A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0" authorId="42" shapeId="0" xr:uid="{0E63C540-1BED-4A75-A0AB-C810031E95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1" authorId="43" shapeId="0" xr:uid="{EEF6AE1B-11D6-45C5-894A-4C151068E5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4" authorId="44" shapeId="0" xr:uid="{37F166E8-4FB4-4E8C-BB2C-CDB3A243DD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8" authorId="45" shapeId="0" xr:uid="{BFFD88F5-DC1A-45B5-8CCD-3F08892980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0" authorId="46" shapeId="0" xr:uid="{62D5ACD6-EA3D-4DF5-82F3-C3EECBB36A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2" authorId="47" shapeId="0" xr:uid="{10A03E5C-7A3E-4499-829E-B745BBF7D2F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8" authorId="48" shapeId="0" xr:uid="{359C431A-BF64-4081-971C-ED2FE542A8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9" authorId="49" shapeId="0" xr:uid="{C927E242-B8B5-4D69-B0B9-250FA437AF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1" authorId="50" shapeId="0" xr:uid="{E8ED9B21-CAFD-443E-A813-1D87C91C2E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3" authorId="51" shapeId="0" xr:uid="{36AD478C-BC4D-49C2-B71A-9D207A84B1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8" authorId="52" shapeId="0" xr:uid="{383E73A6-EB0A-4AF7-89A4-E84E846CBA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9" authorId="53" shapeId="0" xr:uid="{426A417F-C0F5-4D27-A644-0E7B1A8CFD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1" authorId="54" shapeId="0" xr:uid="{E5C30A79-5260-4165-BE4F-AD7D31EE85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2" authorId="55" shapeId="0" xr:uid="{5BC394DF-4F04-4696-864A-315DA17215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3" authorId="56" shapeId="0" xr:uid="{5E89AC90-1CC8-41F0-9D2A-B18E84D43E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4" authorId="57" shapeId="0" xr:uid="{9D1AC7A3-D636-49FE-B394-D8ABBE650D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6" authorId="58" shapeId="0" xr:uid="{EF21EFFF-4DA0-4E1F-913A-D6164A388C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8" authorId="59" shapeId="0" xr:uid="{01C7C42F-591E-4EBB-8F56-A14748F74B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9" authorId="60" shapeId="0" xr:uid="{5428146D-670B-4AA3-BAD4-37A7A45302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0" authorId="61" shapeId="0" xr:uid="{D9714571-699A-46FD-9CE3-99372ABBA6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1" authorId="62" shapeId="0" xr:uid="{0D182453-C924-4CFA-B193-F80D90FA6B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6" authorId="63" shapeId="0" xr:uid="{65064E75-17E6-4DB5-AB7E-021F071E29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7" authorId="64" shapeId="0" xr:uid="{9B6B3DE1-0C96-4E13-A2DA-C7D0084389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8" authorId="65" shapeId="0" xr:uid="{479AD462-BB64-499A-8AA3-C806ECC72C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9" authorId="66" shapeId="0" xr:uid="{897CE154-B9CC-46C3-B40D-ED86256BBB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0" authorId="67" shapeId="0" xr:uid="{253501A2-C2D1-4F0E-A3CD-094C94A896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6" authorId="68" shapeId="0" xr:uid="{9C7B03C4-B699-4E76-B52B-F6ACE4203E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7" authorId="69" shapeId="0" xr:uid="{9218E400-0249-4D5C-A95A-6B8C8C026B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8" authorId="70" shapeId="0" xr:uid="{89EB5CFB-24FD-4748-8A5F-8BC16C01C2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70.000 Transferencia
20.000 Efectivo</t>
      </text>
    </comment>
    <comment ref="H169" authorId="71" shapeId="0" xr:uid="{674E874E-3543-40AD-B4D8-20F1C19AA3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4" authorId="72" shapeId="0" xr:uid="{03445DD7-2D57-4625-A4FE-6E0DEF0FE3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5" authorId="73" shapeId="0" xr:uid="{B4D5C07C-B796-45E7-A68D-A80A9B7F9A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9" authorId="74" shapeId="0" xr:uid="{6CDA4172-9FA4-4B09-BEA3-85426E44DC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0" authorId="75" shapeId="0" xr:uid="{3D190D5E-BAC2-4913-9BD5-3F877D0D39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1" authorId="76" shapeId="0" xr:uid="{98088EE8-176C-441D-8E10-D1F090B19C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2" authorId="77" shapeId="0" xr:uid="{ACC3FDE4-ED00-4630-B7C5-5A539DFFDB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7" authorId="78" shapeId="0" xr:uid="{F07EDFB1-7874-4A70-B22F-891491F298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1" authorId="79" shapeId="0" xr:uid="{EAECF223-B401-4BD9-A06F-930F019D82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3" authorId="80" shapeId="0" xr:uid="{814C1A49-C5A4-4530-8339-7C8E9C701F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94" authorId="81" shapeId="0" xr:uid="{D0D292DC-9306-4EB1-9C85-BF1F415FF5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factra</t>
      </text>
    </comment>
    <comment ref="H197" authorId="82" shapeId="0" xr:uid="{C2488D45-316F-4AFE-9641-3CC8403237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8" authorId="83" shapeId="0" xr:uid="{B1D2450D-54BD-4470-ABA7-22FFBCC39E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3" authorId="84" shapeId="0" xr:uid="{A0248867-EFA9-4A03-884E-16D8F224CD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 - TRANSFERENCIA</t>
      </text>
    </comment>
    <comment ref="H204" authorId="85" shapeId="0" xr:uid="{DEDC7892-EA3B-40AA-931A-04E8C49379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TRANSFRECIA</t>
      </text>
    </comment>
    <comment ref="H210" authorId="86" shapeId="0" xr:uid="{35C935E4-09A7-4B12-B25E-DDA5FA2896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1" authorId="87" shapeId="0" xr:uid="{6FC2A740-D909-4362-8D00-00C93E25E0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2" authorId="88" shapeId="0" xr:uid="{D38525FA-154D-47C1-9256-C2464E3D0A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3" authorId="89" shapeId="0" xr:uid="{426ACAD9-88DF-47FE-9BD4-92E742AD08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8" authorId="90" shapeId="0" xr:uid="{15BBB87D-CA14-4516-8F4B-D1EBC28F45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2" authorId="91" shapeId="0" xr:uid="{4C99AF32-55A4-43DE-B133-03330CB140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4" authorId="92" shapeId="0" xr:uid="{6F2B3DAD-5AD7-4D68-B1F8-4D49F11D39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5" authorId="93" shapeId="0" xr:uid="{437EDE84-997E-4283-A27B-C8C7E20DFD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6" authorId="94" shapeId="0" xr:uid="{396327DE-0CF5-47D0-814B-7775622E13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7" authorId="95" shapeId="0" xr:uid="{9EAD9226-727A-4BA6-83FA-713AA093D5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tc={15049db1-48a0-4bed-860d-7df31b2eaf76}</author>
    <author>tc={8e3c7541-37fc-413a-897f-9b42e2e55f96}</author>
    <author>tc={d1e74b89-5332-4b03-b0d5-767bab0a3e17}</author>
    <author>tc={510b4fee-bf95-48c3-87e7-fe60f37a7b3e}</author>
    <author>tc={5acbeeea-de0b-4694-b072-b1e480a9f737}</author>
    <author>tc={29087860-ba00-4eeb-ac0e-c521fbccd0b9}</author>
    <author>tc={408658e8-704b-4533-a2cb-27029d054b5e}</author>
    <author>tc={db199a73-7946-4de8-8be5-e7b2e541230a}</author>
    <author>tc={2aa41d28-274f-4098-bed6-6e8fa2dba50a}</author>
    <author>tc={cfb6fed5-46ee-4031-b788-47928cb7a546}</author>
    <author>tc={333f72d9-8644-427a-b6ba-6630a6d8c192}</author>
    <author>tc={9320aa4e-f8f1-49f6-a424-a1f9d5966799}</author>
    <author>tc={b3d59cc8-52bb-4874-9783-ee601967b328}</author>
    <author>tc={302d42cb-376e-4e0d-8b79-36339e9d840c}</author>
    <author>tc={510cf129-748d-4ade-9b24-5971e4d16791}</author>
    <author>tc={e81fe49b-6e58-4744-88be-72d8117e7ea4}</author>
    <author>tc={16f5191c-4a58-41cc-935d-a92f826a70a4}</author>
    <author>tc={6738736d-d398-4655-b19d-5e5bdb54655a}</author>
    <author>tc={2b7c88f5-dc8b-41e9-b225-f46e7143399f}</author>
    <author>tc={bd311a35-b1c4-4ce4-b481-069d96dcd7e3}</author>
    <author>tc={e3bd5e44-d22e-41ab-8ee6-541985d7f637}</author>
    <author>tc={9ebc2475-9cc2-412f-847c-152187a42387}</author>
    <author>tc={f391ac51-0a78-40d8-8868-c75010e60b5b}</author>
    <author>tc={f8b5543b-e9bf-49a2-bcaf-4110a4e7e954}</author>
    <author>tc={a38753e0-da53-4b98-8ec3-4ce53f7cf27d}</author>
    <author>tc={8b1e89a5-7945-44db-9320-3f69d1bbdc05}</author>
    <author>tc={38d27597-be6a-4eee-840d-6082497815b1}</author>
    <author>tc={0637bbf2-f197-42be-8b4b-da05088c3d9b}</author>
    <author>tc={5e92ec32-4575-4def-86ea-34f87ce47c53}</author>
    <author>tc={a65e0435-eb4b-4ccf-962a-8a7a8213370a}</author>
    <author>tc={89e551b0-b5d1-4256-80bd-484b98ad065f}</author>
    <author>tc={9395f6fb-652e-49fb-a95b-80acaf886379}</author>
    <author>tc={e3e3df96-456d-4859-99a6-c9f15c0a4e0b}</author>
    <author>tc={0ae5202e-a551-4e7b-8665-4d5799512fa4}</author>
    <author>tc={3c047d7c-1a16-423e-827a-ff5c1d786c12}</author>
    <author>tc={43da7675-d0a7-4449-b473-2dae458f7343}</author>
    <author>tc={d1e92fe7-a153-437b-a582-55762c0ed094}</author>
    <author>tc={cf6ff999-f37f-43df-847a-db92becad45b}</author>
    <author>tc={eda5bd21-d04d-410d-9a25-0f2494710309}</author>
    <author>tc={84e5d29c-3348-489c-a94c-facba55df090}</author>
    <author>tc={4495ba10-a81c-4ac6-95de-6e5116dba48c}</author>
    <author>tc={b3f60cbf-df2f-43c5-890d-591aa3a889b4}</author>
    <author>tc={80215bb0-065a-4231-acc6-3d7f1e98a5c6}</author>
    <author>tc={ce1fb1b2-e1dc-4155-94f0-5297a8e2a3f5}</author>
    <author>tc={bf6024e3-c2bb-42c9-8b45-cd765f9a9a38}</author>
    <author>tc={144a8bcb-e235-41ee-9365-c6003a5cb334}</author>
    <author>tc={cde3299f-2064-4652-b3c3-a82e5c3b7d4d}</author>
    <author>tc={a2239c3f-64dd-4806-b029-f15ded993403}</author>
    <author>tc={3304bb41-42dd-4f77-92a5-f16eb6d44ae4}</author>
    <author>tc={6cdabe49-282a-4341-9e47-d9506be0d643}</author>
    <author>tc={63047f78-076b-4343-9065-c62b2cc2e017}</author>
    <author>tc={1706efa1-55a3-4fd0-b707-97cfe6a72c93}</author>
    <author>tc={8bb4a954-e05d-478f-96c8-3a48c2232d37}</author>
    <author>tc={d15f7ec8-c8b6-4d70-8a4a-3c508face03f}</author>
    <author>tc={e4eaae8b-71c0-4097-9dac-d7579e5e0468}</author>
    <author>tc={a9d9287e-21a1-4fea-b397-47a2c83dc443}</author>
    <author>tc={6d065948-5eb9-48fe-9283-9f375b9c4160}</author>
    <author>tc={d4fb76e0-a26a-4c67-abc3-583383d008b8}</author>
    <author>tc={4a4efa90-22a4-40d6-9e26-68d5f1c93c56}</author>
    <author>tc={33584d9e-20a1-4ffd-aced-cec448baa9e9}</author>
    <author>tc={05438607-d2a7-43c2-89cd-a21e803a407e}</author>
    <author>tc={03f7aaca-bdb8-442c-9679-9c82d4427a09}</author>
    <author>tc={6406e959-e9cf-46d6-8a63-606bf3fc6c2b}</author>
    <author>tc={fcfc15b9-e202-4bf5-8916-8e2a0994e44b}</author>
    <author>tc={25fe3317-549a-4cca-bc52-282d7c6980d2}</author>
    <author>tc={71aab482-44ef-49ad-952d-fddba9fcd807}</author>
    <author>tc={1440b1d1-5e24-4ec2-9e41-d0e1d3a16cf9}</author>
    <author>tc={b25f9da0-95f1-435e-a958-72353591031a}</author>
    <author>tc={d79a5b34-ecc9-4159-9a03-9ed609d1d0ba}</author>
    <author>tc={bc92607b-2e00-4a88-b11c-077e16db1fc9}</author>
    <author>tc={1bad792b-283d-460f-81e4-f4c82983f406}</author>
    <author>tc={f3cdd2da-ce51-48c3-913b-719acd0216a8}</author>
    <author>tc={525e5b9b-945b-4fda-93c8-4c0666fd83fb}</author>
    <author>tc={8c5fc727-dc52-4799-bc06-81c55bbdde27}</author>
    <author>tc={a5c7c778-925f-40be-9652-3006505811ae}</author>
    <author>tc={cf9389b3-10f1-49ab-a89b-5e213d3f326a}</author>
    <author>tc={c53eaed0-6ae8-4f8f-86cd-2eaee0eede43}</author>
    <author>tc={8ea2857b-1304-4235-952b-7b13bafddde6}</author>
    <author>tc={e6a2dc28-4cd1-4625-a387-514c8e23e233}</author>
    <author>tc={d46316e8-41a3-4274-a592-2524841e1177}</author>
    <author>tc={380100c5-c61f-4960-8c59-3a8b047dd2da}</author>
    <author>tc={a24d42a8-0cc7-479a-b777-1d22c6567a94}</author>
    <author>tc={59e86e27-8c1b-469a-9a1c-b8b7c6f18dc1}</author>
    <author/>
    <author>tc={ecf8eb18-1e11-4492-93ba-60c4a46d8e0e}</author>
    <author>tc={9585db74-c5f6-46c1-9f2c-ebd95e03f595}</author>
    <author>tc={391660cc-f8c1-4d88-bab8-1267257baf8e}</author>
    <author>tc={8a57ad11-b3ac-439b-a0a8-22f39d19f212}</author>
    <author>tc={4a67527c-b688-4552-a46d-6a43d202d396}</author>
    <author>tc={70ea2b0f-2490-43a3-8455-7039dc9e4444}</author>
    <author>tc={7e97c5ec-a4ea-4598-8cf8-949af111c7fc}</author>
    <author>tc={5ac42f15-4567-4f79-a279-6d8a56eefab3}</author>
    <author>tc={4db15f7d-edd9-4c64-bc4b-a92738051863}</author>
    <author>tc={b768f296-7222-4aa0-a681-868f5ce0818c}</author>
    <author>tc={2271e6b7-8724-4901-92af-dcc5355a5d89}</author>
    <author>tc={67ae956a-2982-4332-9a3e-48c6c13fcefe}</author>
    <author>tc={33a1ad80-4c7d-4d3a-a386-14d24abc7755}</author>
    <author>tc={20da4e2b-fb75-4149-b718-6f30310a3f33}</author>
  </authors>
  <commentList>
    <comment ref="H4" authorId="0" shapeId="0" xr:uid="{15049DB1-48A0-4BED-860D-7DF31B2EAF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" authorId="1" shapeId="0" xr:uid="{8E3C7541-37FC-413A-897F-9B42E2E55F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FACTURA</t>
      </text>
    </comment>
    <comment ref="H9" authorId="2" shapeId="0" xr:uid="{D1E74B89-5332-4B03-B0D5-767BAB0A3E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transferencia+tarjeta</t>
      </text>
    </comment>
    <comment ref="H12" authorId="3" shapeId="0" xr:uid="{510B4FEE-BF95-48C3-87E7-FE60F37A7B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" authorId="4" shapeId="0" xr:uid="{5ACBEEEA-DE0B-4694-B072-B1E480A9F7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5" shapeId="0" xr:uid="{29087860-BA00-4EEB-AC0E-C521FBCCD0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" authorId="6" shapeId="0" xr:uid="{408658E8-704B-4533-A2CB-27029D054B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" authorId="7" shapeId="0" xr:uid="{DB199A73-7946-4DE8-8BE5-E7B2E54123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" authorId="8" shapeId="0" xr:uid="{2AA41D28-274F-4098-BED6-6E8FA2DBA5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" authorId="9" shapeId="0" xr:uid="{CFB6FED5-46EE-4031-B788-47928CB7A5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" authorId="10" shapeId="0" xr:uid="{333F72D9-8644-427A-B6BA-6630A6D8C19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" authorId="11" shapeId="0" xr:uid="{9320AA4E-F8F1-49F6-A424-A1F9D59667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" authorId="12" shapeId="0" xr:uid="{B3D59CC8-52BB-4874-9783-EE601967B3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8" authorId="13" shapeId="0" xr:uid="{302D42CB-376E-4E0D-8B79-36339E9D84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9" authorId="14" shapeId="0" xr:uid="{510CF129-748D-4ADE-9B24-5971E4D167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0" authorId="15" shapeId="0" xr:uid="{E81FE49B-6E58-4744-88BE-72D8117E7E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transfrencia</t>
      </text>
    </comment>
    <comment ref="H31" authorId="16" shapeId="0" xr:uid="{16F5191C-4A58-41CC-935D-A92F826A70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2" authorId="17" shapeId="0" xr:uid="{6738736D-D398-4655-B19D-5E5BDB54655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6" authorId="18" shapeId="0" xr:uid="{2B7C88F5-DC8B-41E9-B225-F46E714339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7" authorId="19" shapeId="0" xr:uid="{BD311A35-B1C4-4CE4-B481-069D96DCD7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8" authorId="20" shapeId="0" xr:uid="{E3BD5E44-D22E-41AB-8EE6-541985D7F6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5" authorId="21" shapeId="0" xr:uid="{9EBC2475-9CC2-412F-847C-152187A423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7" authorId="22" shapeId="0" xr:uid="{F391AC51-0A78-40D8-8868-C75010E60B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3" authorId="23" shapeId="0" xr:uid="{F8B5543B-E9BF-49A2-BCAF-4110A4E7E9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5" authorId="24" shapeId="0" xr:uid="{A38753E0-DA53-4B98-8EC3-4CE53F7CF2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9" authorId="25" shapeId="0" xr:uid="{8B1E89A5-7945-44DB-9320-3F69D1BBDC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2" authorId="26" shapeId="0" xr:uid="{38D27597-BE6A-4EEE-840D-6082497815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3" authorId="27" shapeId="0" xr:uid="{0637BBF2-F197-42BE-8B4B-DA05088C3D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8" authorId="28" shapeId="0" xr:uid="{5E92EC32-4575-4DEF-86EA-34F87CE47C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9" authorId="29" shapeId="0" xr:uid="{A65E0435-EB4B-4CCF-962A-8A7A821337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1" authorId="30" shapeId="0" xr:uid="{89E551B0-B5D1-4256-80BD-484B98AD06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2" authorId="31" shapeId="0" xr:uid="{9395F6FB-652E-49FB-A95B-80ACAF8863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6" authorId="32" shapeId="0" xr:uid="{E3E3DF96-456D-4859-99A6-C9F15C0A4E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9" authorId="33" shapeId="0" xr:uid="{0AE5202E-A551-4E7B-8665-4D5799512F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1" authorId="34" shapeId="0" xr:uid="{3C047D7C-1A16-423E-827A-FF5C1D786C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2" authorId="35" shapeId="0" xr:uid="{43DA7675-D0A7-4449-B473-2DAE458F73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3" authorId="36" shapeId="0" xr:uid="{D1E92FE7-A153-437B-A582-55762C0ED0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4" authorId="37" shapeId="0" xr:uid="{CF6FF999-F37F-43DF-847A-DB92BECAD4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3" authorId="38" shapeId="0" xr:uid="{EDA5BD21-D04D-410D-9A25-0F24947103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5" authorId="39" shapeId="0" xr:uid="{84E5D29C-3348-489C-A94C-FACBA55DF0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7" authorId="40" shapeId="0" xr:uid="{4495BA10-A81C-4AC6-95DE-6E5116DBA4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8" authorId="41" shapeId="0" xr:uid="{B3F60CBF-DF2F-43C5-890D-591AA3A889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9" authorId="42" shapeId="0" xr:uid="{80215BB0-065A-4231-ACC6-3D7F1E98A5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0" authorId="43" shapeId="0" xr:uid="{CE1FB1B2-E1DC-4155-94F0-5297A8E2A3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1" authorId="44" shapeId="0" xr:uid="{BF6024E3-C2BB-42C9-8B45-CD765F9A9A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2" authorId="45" shapeId="0" xr:uid="{144A8BCB-E235-41EE-9365-C6003A5CB3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3" authorId="46" shapeId="0" xr:uid="{CDE3299F-2064-4652-B3C3-A82E5C3B7D4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4" authorId="47" shapeId="0" xr:uid="{A2239C3F-64DD-4806-B029-F15DED9934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5" authorId="48" shapeId="0" xr:uid="{3304BB41-42DD-4F77-92A5-F16EB6D44A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6" authorId="49" shapeId="0" xr:uid="{6CDABE49-282A-4341-9E47-D9506BE0D6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7" authorId="50" shapeId="0" xr:uid="{63047F78-076B-4343-9065-C62B2CC2E0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8" authorId="51" shapeId="0" xr:uid="{1706EFA1-55A3-4FD0-B707-97CFE6A72C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26" authorId="52" shapeId="0" xr:uid="{8BB4A954-E05D-478F-96C8-3A48C2232D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4" authorId="53" shapeId="0" xr:uid="{D15F7EC8-C8B6-4D70-8A4A-3C508FACE0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5" authorId="54" shapeId="0" xr:uid="{E4EAAE8B-71C0-4097-9DAC-D7579E5E04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55" shapeId="0" xr:uid="{A9D9287E-21A1-4FEA-B397-47A2C83DC4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8" authorId="56" shapeId="0" xr:uid="{6D065948-5EB9-48FE-9283-9F375B9C41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0" authorId="57" shapeId="0" xr:uid="{D4FB76E0-A26A-4C67-ABC3-583383D008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1" authorId="58" shapeId="0" xr:uid="{4A4EFA90-22A4-40D6-9E26-68D5F1C93C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2" authorId="59" shapeId="0" xr:uid="{33584D9E-20A1-4FFD-ACED-CEC448BAA9E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3" authorId="60" shapeId="0" xr:uid="{05438607-D2A7-43C2-89CD-A21E803A40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4" authorId="61" shapeId="0" xr:uid="{03F7AACA-BDB8-442C-9679-9C82D4427A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2" authorId="62" shapeId="0" xr:uid="{6406E959-E9CF-46D6-8A63-606BF3FC6C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25 transferencia
40 efectivo</t>
      </text>
    </comment>
    <comment ref="H156" authorId="63" shapeId="0" xr:uid="{FCFC15B9-E202-4BF5-8916-8E2A0994E4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7" authorId="64" shapeId="0" xr:uid="{25FE3317-549A-4CCA-BC52-282D7C6980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1" authorId="65" shapeId="0" xr:uid="{71AAB482-44EF-49AD-952D-FDDBA9FCD8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2" authorId="66" shapeId="0" xr:uid="{1440B1D1-5E24-4EC2-9E41-D0E1D3A16C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8" authorId="67" shapeId="0" xr:uid="{B25F9DA0-95F1-435E-A958-7235359103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5" authorId="68" shapeId="0" xr:uid="{D79A5B34-ECC9-4159-9A03-9ED609D1D0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8" authorId="69" shapeId="0" xr:uid="{BC92607B-2E00-4A88-B11C-077E16DB1FC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tarejta</t>
      </text>
    </comment>
    <comment ref="H181" authorId="70" shapeId="0" xr:uid="{1BAD792B-283D-460F-81E4-F4C82983F4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7" authorId="71" shapeId="0" xr:uid="{F3CDD2DA-CE51-48C3-913B-719ACD0216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9" authorId="72" shapeId="0" xr:uid="{525E5B9B-945B-4FDA-93C8-4C0666FD83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3" authorId="73" shapeId="0" xr:uid="{8C5FC727-DC52-4799-BC06-81C55BBDDE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4" authorId="74" shapeId="0" xr:uid="{A5C7C778-925F-40BE-9652-3006505811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5" authorId="75" shapeId="0" xr:uid="{CF9389B3-10F1-49AB-A89B-5E213D3F32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60 tarjeta
10 efectivo</t>
      </text>
    </comment>
    <comment ref="H197" authorId="76" shapeId="0" xr:uid="{C53EAED0-6AE8-4F8F-86CD-2EAEE0EEDE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tarjjeta</t>
      </text>
    </comment>
    <comment ref="H200" authorId="77" shapeId="0" xr:uid="{8EA2857B-1304-4235-952B-7B13BAFDDD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1" authorId="78" shapeId="0" xr:uid="{E6A2DC28-4CD1-4625-A387-514C8E23E2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2" authorId="79" shapeId="0" xr:uid="{D46316E8-41A3-4274-A592-2524841E11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3" authorId="80" shapeId="0" xr:uid="{380100C5-C61F-4960-8C59-3A8B047DD2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7" authorId="81" shapeId="0" xr:uid="{A24D42A8-0CC7-479A-B777-1D22C6567A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2" authorId="82" shapeId="0" xr:uid="{59E86E27-8C1B-469A-9A1C-B8B7C6F18D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5" authorId="83" shapeId="0" xr:uid="{00000000-0006-0000-0200-000001000000}">
      <text>
        <r>
          <rPr>
            <sz val="10"/>
            <color rgb="FF000000"/>
            <rFont val="Arial"/>
            <scheme val="minor"/>
          </rPr>
          <t>tarjeta</t>
        </r>
      </text>
    </comment>
    <comment ref="H216" authorId="84" shapeId="0" xr:uid="{ECF8EB18-1E11-4492-93BA-60C4A46D8E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7" authorId="85" shapeId="0" xr:uid="{9585DB74-C5F6-46C1-9F2C-EBD95E03F5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8" authorId="86" shapeId="0" xr:uid="{391660CC-F8C1-4D88-BAB8-1267257BAF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3" authorId="87" shapeId="0" xr:uid="{8A57AD11-B3AC-439B-A0A8-22F39D19F2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5" authorId="88" shapeId="0" xr:uid="{4A67527C-B688-4552-A46D-6A43D202D3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1" authorId="89" shapeId="0" xr:uid="{70EA2B0F-2490-43A3-8455-7039DC9E44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4" authorId="90" shapeId="0" xr:uid="{7E97C5EC-A4EA-4598-8CF8-949AF111C7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5" authorId="91" shapeId="0" xr:uid="{5AC42F15-4567-4F79-A279-6D8A56EEFAB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6" authorId="92" shapeId="0" xr:uid="{4DB15F7D-EDD9-4C64-BC4B-A927380518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8" authorId="93" shapeId="0" xr:uid="{B768F296-7222-4AA0-A681-868F5CE081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0" authorId="94" shapeId="0" xr:uid="{2271E6B7-8724-4901-92AF-DCC5355A5D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1" authorId="95" shapeId="0" xr:uid="{67AE956A-2982-4332-9A3E-48C6C13FCE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3" authorId="96" shapeId="0" xr:uid="{33A1AD80-4C7D-4D3A-A386-14D24ABC77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8" authorId="97" shapeId="0" xr:uid="{20DA4E2B-FB75-4149-B718-6F30310A3F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tc={41bf0ae9-fb20-4d74-807b-bd695ec877c6}</author>
    <author>tc={e1906dd8-326b-4af7-805b-fb3db5e9e00d}</author>
    <author>tc={42d74292-c53d-4ef1-b5fe-aa34d0b060e2}</author>
    <author>tc={7dcbb5b6-629f-43b9-836e-a298d2525606}</author>
    <author>tc={48187ab2-6c76-4562-bee0-2ba9076f9d43}</author>
    <author>tc={56253172-5762-4a1b-9a71-c1a525f14a43}</author>
    <author>tc={0be8c24a-281d-4c67-8c3f-e8d905af037b}</author>
    <author>tc={b7cfd4fc-cacb-41c8-ae6e-11b93212d76d}</author>
    <author>tc={0fbbb475-4284-4d31-91e3-365647e2c2d8}</author>
    <author>tc={5cc97781-036d-47bd-b74c-5a3eb74412e6}</author>
    <author>tc={79cd4e8a-b2fa-4bf2-bf79-ddcd19344f2c}</author>
    <author>tc={75b1466c-c719-486b-9b0f-3c5f8b368244}</author>
    <author>tc={f6b7a513-381f-4f06-a2ee-6d2e0bd31a36}</author>
    <author>tc={8b99589f-4e4a-406b-8ad7-666c322fc934}</author>
    <author>tc={e663c864-c735-4dd2-aa2d-fd9432e59a99}</author>
    <author>tc={d3bc972b-ce7f-4576-81fb-6041dea6ae99}</author>
    <author>tc={34b023c2-9772-48c7-82e5-23d5970c8ad4}</author>
    <author>tc={8d33f002-a0ac-42ec-8b7a-7dbc92ee2b83}</author>
    <author>tc={3ab05a4c-a21c-4f23-ae8d-9cef97f18818}</author>
    <author>tc={efcec8fd-0376-48e7-87b0-39db942419ee}</author>
    <author>tc={e7f0dc6a-61d7-4055-b5b4-61b8e025858b}</author>
    <author>tc={0212c715-deb3-419f-8372-ba7535a8b4d8}</author>
    <author>tc={2a4ac061-111e-4913-bc08-ecc89bb5c5b4}</author>
    <author>tc={36513520-8986-409c-9391-33d932ca92d3}</author>
    <author>tc={7a1e0e19-808f-413b-b9f5-d6880be4b6d3}</author>
    <author>tc={8c2b9e43-37af-4ba6-a239-56f1fdcfc280}</author>
    <author>tc={e068c59e-ac1e-42bd-9a16-89b8732c5d7e}</author>
    <author>tc={6c4483c7-b9db-4397-9a81-fa82fcdf5ce8}</author>
    <author>tc={7f55f58c-46d8-4670-adb8-cb3d39566a1c}</author>
    <author>tc={647cbeb9-6b8c-47ac-94c7-46a6e1f80e79}</author>
    <author>tc={f22d42f3-18f0-4b1b-a5c5-26af314914d2}</author>
    <author>tc={ecdd0f35-064e-4088-83c0-c3f9f57196c3}</author>
    <author>tc={aefdd096-8e60-4dd2-be33-a7b880c3f31a}</author>
    <author>tc={db311947-3867-4b69-9285-28cc35bdb813}</author>
    <author>tc={e5be875a-418d-433e-8427-9227086564fe}</author>
    <author>tc={d7ea2b29-939b-4af9-ac59-4e74282d1f73}</author>
    <author>tc={d4afd33a-bd64-41e0-b3a5-6ce9d65f5d05}</author>
    <author>tc={42e1dd17-fdd9-4142-8152-1a9d3a0e126b}</author>
    <author>tc={71b37908-cb8c-4b62-aa90-7aeef60bc01e}</author>
    <author>tc={c2884795-4701-499a-837e-ca8db7811239}</author>
    <author>tc={7bc10332-2145-4d7d-a016-e6d5a0a4509a}</author>
    <author>tc={8c4da847-e259-4354-be54-b231648795d5}</author>
    <author>tc={9ab21197-ede4-4b23-8742-5ad5b189e36f}</author>
    <author>tc={53aff88f-8e13-4297-9360-276c69ac6cdf}</author>
    <author>tc={d24e0640-f043-4fa1-a944-dc20f65d7858}</author>
    <author>tc={efd12471-2956-490b-a1fe-59db3c8a9dda}</author>
    <author>tc={f846d9b2-8d02-4a39-92ba-bbe623f874c5}</author>
    <author>tc={bd6f74c8-e763-42f0-9be5-1df37f0c7a40}</author>
    <author>tc={700c894f-8f7b-4b6f-b7cb-00c986d9c626}</author>
    <author>tc={f4dd2cf1-149c-4c99-b251-b952d25c2568}</author>
    <author>tc={a04b350b-0cbc-478a-b873-07754cef3612}</author>
    <author>tc={ee084e4c-ca53-4714-adc1-b19b7313b26d}</author>
    <author>tc={768dbdf4-222f-4a61-a959-7b6563ef4ba4}</author>
    <author>tc={74c56390-03e4-46d0-a9e4-2061253140e2}</author>
    <author>tc={39b61f67-cfc2-49e6-83a8-c1cec46c5a0b}</author>
    <author>tc={1023f325-6304-4b3f-b810-f2b7e42b9100}</author>
    <author>tc={ce938cc5-2fdc-4514-a0b0-fe0c362d798f}</author>
    <author>tc={89e16e3c-31db-4a5d-9770-f2f1a848e3ca}</author>
    <author>tc={0ab404b4-29e3-474d-8be0-a582e0aaf8e3}</author>
    <author>tc={1a411b22-db3d-447c-8761-0331a9500e93}</author>
    <author>tc={c2b4bd0d-2a16-44e7-a6f8-94147d7918a1}</author>
    <author>tc={de94ddff-4aa5-443b-a0d3-24274f9e0dea}</author>
    <author>tc={e186ec92-8b82-4ba8-926c-fdd471bdfde3}</author>
    <author>tc={eb9e8d55-7447-46f6-8e08-b9ad987d028d}</author>
    <author>tc={c381e7d0-41cb-469c-9da9-f6d5d7032857}</author>
    <author>tc={ab5a0a1d-ed8c-4a4e-aa72-f0760e526419}</author>
    <author>tc={a1182084-104b-48c9-92a6-ee8c49f5e523}</author>
    <author>tc={bd0cb5b6-eb8c-4791-a98b-b775ed618fcc}</author>
    <author>tc={5220fb91-1932-4bf3-b7a8-68625f49ef6d}</author>
    <author>tc={e48e165f-4dff-4047-8750-4b2c8375947b}</author>
    <author>tc={a64b181c-00fa-4511-8a12-cec0a50c09b0}</author>
    <author>tc={2e83d81e-0dc3-4622-b112-ca545432f36b}</author>
    <author>tc={90319eae-034e-4025-bf74-7793d2d6ad2f}</author>
    <author>tc={819c2848-75b7-43e6-b6c0-ce8c2d57d1d1}</author>
    <author>tc={51d11721-435f-41fd-bbc9-df90d6b0eaae}</author>
    <author>tc={a07188bc-ea1d-4338-bf6d-a0467266e254}</author>
    <author>tc={0094cf9d-d29d-4e65-a54f-651920bc948f}</author>
    <author>tc={12a097ca-666e-4b4d-9333-04b488e52821}</author>
    <author>tc={5450ea82-d47e-421b-b5ac-30d2ec1e5e46}</author>
    <author>tc={99877945-b98b-4dca-823b-07aa40a549e5}</author>
    <author>tc={59d4da9c-a539-4f78-b147-af33af27d97a}</author>
    <author>tc={85a9a578-fa04-4991-8933-9fb3ef174cfc}</author>
    <author>tc={3655dfea-7cb3-4b8c-9342-fb36784127c6}</author>
    <author>tc={5c97d627-cbb1-43d6-9e3c-29b785a05cd3}</author>
    <author>tc={b98527aa-6060-47c9-9503-3c3be9a0a1f4}</author>
    <author>tc={0cc55047-7717-47d8-a260-3efaef493f4e}</author>
    <author>tc={d4d3eb3d-6688-4605-add0-be73222dbfe5}</author>
    <author>tc={25fc798c-6ced-4d92-aee4-d5a140dcb375}</author>
    <author>tc={9a3aedb3-e61e-417f-b1f3-d2e5233f61ed}</author>
    <author>tc={ba9e621e-17e7-484d-8196-ff56a2d7c21f}</author>
    <author>tc={8d0c6168-2a2d-4c5b-b91d-92018f4b09ec}</author>
    <author>tc={b9fdc26e-6700-434b-b670-5b6d3f881d6b}</author>
    <author>tc={4eba2bcf-2d6f-4bd7-9c86-a8d8c91e1aa2}</author>
    <author>tc={33388de7-7633-4965-85c4-76d140ccdd2e}</author>
    <author>tc={82c467d0-564b-43e0-9827-71453e96839b}</author>
    <author>tc={3b43774d-1dd6-42f3-972e-e8ded5bc7409}</author>
    <author>tc={15b5789a-4805-49b0-8de9-882af66b8337}</author>
  </authors>
  <commentList>
    <comment ref="H7" authorId="0" shapeId="0" xr:uid="{41BF0AE9-FB20-4D74-807B-BD695EC877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" authorId="1" shapeId="0" xr:uid="{E1906DD8-326B-4AF7-805B-FB3DB5E9E0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" authorId="2" shapeId="0" xr:uid="{42D74292-C53D-4EF1-B5FE-AA34D0B060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" authorId="3" shapeId="0" xr:uid="{7DCBB5B6-629F-43B9-836E-A298D25256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" authorId="4" shapeId="0" xr:uid="{48187AB2-6C76-4562-BEE0-2BA9076F9D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" authorId="5" shapeId="0" xr:uid="{56253172-5762-4A1B-9A71-C1A525F14A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" authorId="6" shapeId="0" xr:uid="{0BE8C24A-281D-4C67-8C3F-E8D905AF03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" authorId="7" shapeId="0" xr:uid="{B7CFD4FC-CACB-41C8-AE6E-11B93212D7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" authorId="8" shapeId="0" xr:uid="{0FBBB475-4284-4D31-91E3-365647E2C2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" authorId="9" shapeId="0" xr:uid="{5CC97781-036D-47BD-B74C-5A3EB74412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" authorId="10" shapeId="0" xr:uid="{79CD4E8A-B2FA-4BF2-BF79-DDCD19344F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" authorId="11" shapeId="0" xr:uid="{75B1466C-C719-486B-9B0F-3C5F8B3682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5" authorId="12" shapeId="0" xr:uid="{F6B7A513-381F-4F06-A2EE-6D2E0BD31A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9" authorId="13" shapeId="0" xr:uid="{8B99589F-4E4A-406B-8AD7-666C322FC9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9" authorId="14" shapeId="0" xr:uid="{E663C864-C735-4DD2-AA2D-FD9432E59A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2" authorId="15" shapeId="0" xr:uid="{D3BC972B-CE7F-4576-81FB-6041DEA6AE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3" authorId="16" shapeId="0" xr:uid="{34B023C2-9772-48C7-82E5-23D5970C8A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4" authorId="17" shapeId="0" xr:uid="{8D33F002-A0AC-42EC-8B7A-7DBC92EE2B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8" authorId="18" shapeId="0" xr:uid="{3AB05A4C-A21C-4F23-AE8D-9CEF97F188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61" authorId="19" shapeId="0" xr:uid="{EFCEC8FD-0376-48E7-87B0-39DB942419E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3" authorId="20" shapeId="0" xr:uid="{E7F0DC6A-61D7-4055-B5B4-61B8E02585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4" authorId="21" shapeId="0" xr:uid="{0212C715-DEB3-419F-8372-BA7535A8B4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6" authorId="22" shapeId="0" xr:uid="{2A4AC061-111E-4913-BC08-ECC89BB5C5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2" authorId="23" shapeId="0" xr:uid="{36513520-8986-409C-9391-33D932CA92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4" authorId="24" shapeId="0" xr:uid="{7A1E0E19-808F-413B-B9F5-D6880BE4B6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6" authorId="25" shapeId="0" xr:uid="{8C2B9E43-37AF-4BA6-A239-56F1FDCFC2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7" authorId="26" shapeId="0" xr:uid="{E068C59E-AC1E-42BD-9A16-89B8732C5D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8" authorId="27" shapeId="0" xr:uid="{6C4483C7-B9DB-4397-9A81-FA82FCDF5C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9" authorId="28" shapeId="0" xr:uid="{7F55F58C-46D8-4670-ADB8-CB3D39566A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0" authorId="29" shapeId="0" xr:uid="{647CBEB9-6B8C-47AC-94C7-46A6E1F80E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1" authorId="30" shapeId="0" xr:uid="{F22D42F3-18F0-4B1B-A5C5-26AF314914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4" authorId="31" shapeId="0" xr:uid="{ECDD0F35-064E-4088-83C0-C3F9F57196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6" authorId="32" shapeId="0" xr:uid="{AEFDD096-8E60-4DD2-BE33-A7B880C3F3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88" authorId="33" shapeId="0" xr:uid="{DB311947-3867-4B69-9285-28CC35BDB8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4" authorId="34" shapeId="0" xr:uid="{E5BE875A-418D-433E-8427-9227086564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0" authorId="35" shapeId="0" xr:uid="{D7EA2B29-939B-4AF9-AC59-4E74282D1F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1" authorId="36" shapeId="0" xr:uid="{D4AFD33A-BD64-41E0-B3A5-6CE9D65F5D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3" authorId="37" shapeId="0" xr:uid="{42E1DD17-FDD9-4142-8152-1A9D3A0E12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6" authorId="38" shapeId="0" xr:uid="{71B37908-CB8C-4B62-AA90-7AEEF60BC0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7" authorId="39" shapeId="0" xr:uid="{C2884795-4701-499A-837E-CA8DB781123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8" authorId="40" shapeId="0" xr:uid="{7BC10332-2145-4D7D-A016-E6D5A0A450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9" authorId="41" shapeId="0" xr:uid="{8C4DA847-E259-4354-BE54-B231648795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1" authorId="42" shapeId="0" xr:uid="{9AB21197-EDE4-4B23-8742-5AD5B189E3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2" authorId="43" shapeId="0" xr:uid="{53AFF88F-8E13-4297-9360-276C69AC6CD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8" authorId="44" shapeId="0" xr:uid="{D24E0640-F043-4FA1-A944-DC20F65D785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9" authorId="45" shapeId="0" xr:uid="{EFD12471-2956-490B-A1FE-59DB3C8A9D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0" authorId="46" shapeId="0" xr:uid="{F846D9B2-8D02-4A39-92BA-BBE623F874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1" authorId="47" shapeId="0" xr:uid="{BD6F74C8-E763-42F0-9BE5-1DF37F0C7A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5" authorId="48" shapeId="0" xr:uid="{700C894F-8F7B-4B6F-B7CB-00C986D9C6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6" authorId="49" shapeId="0" xr:uid="{F4DD2CF1-149C-4C99-B251-B952D25C25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8" authorId="50" shapeId="0" xr:uid="{A04B350B-0CBC-478A-B873-07754CEF36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9" authorId="51" shapeId="0" xr:uid="{EE084E4C-CA53-4714-ADC1-B19B7313B2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0" authorId="52" shapeId="0" xr:uid="{768DBDF4-222F-4A61-A959-7B6563EF4B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1" authorId="53" shapeId="0" xr:uid="{74C56390-03E4-46D0-A9E4-2061253140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2" authorId="54" shapeId="0" xr:uid="{39B61F67-CFC2-49E6-83A8-C1CEC46C5A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5" authorId="55" shapeId="0" xr:uid="{1023F325-6304-4B3F-B810-F2B7E42B91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6" authorId="56" shapeId="0" xr:uid="{CE938CC5-2FDC-4514-A0B0-FE0C362D79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7" authorId="57" shapeId="0" xr:uid="{89E16E3C-31DB-4A5D-9770-F2F1A848E3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9" authorId="58" shapeId="0" xr:uid="{0AB404B4-29E3-474D-8BE0-A582E0AAF8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0" authorId="59" shapeId="0" xr:uid="{1A411B22-DB3D-447C-8761-0331A9500E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1" authorId="60" shapeId="0" xr:uid="{C2B4BD0D-2A16-44E7-A6F8-94147D7918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2" authorId="61" shapeId="0" xr:uid="{DE94DDFF-4AA5-443B-A0D3-24274F9E0D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3" authorId="62" shapeId="0" xr:uid="{E186EC92-8B82-4BA8-926C-FDD471BDFD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4" authorId="63" shapeId="0" xr:uid="{EB9E8D55-7447-46F6-8E08-B9AD987D028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64" shapeId="0" xr:uid="{C381E7D0-41CB-469C-9DA9-F6D5D70328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 - TARJETA</t>
      </text>
    </comment>
    <comment ref="H146" authorId="65" shapeId="0" xr:uid="{AB5A0A1D-ED8C-4A4E-AA72-F0760E5264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9" authorId="66" shapeId="0" xr:uid="{A1182084-104B-48C9-92A6-EE8C49F5E5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0" authorId="67" shapeId="0" xr:uid="{BD0CB5B6-EB8C-4791-A98B-B775ED618F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1" authorId="68" shapeId="0" xr:uid="{5220FB91-1932-4BF3-B7A8-68625F49EF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3" authorId="69" shapeId="0" xr:uid="{E48E165F-4DFF-4047-8750-4B2C837594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0" authorId="70" shapeId="0" xr:uid="{A64B181C-00FA-4511-8A12-CEC0A50C09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75.000 Transferencia
5.000 Efectivo</t>
      </text>
    </comment>
    <comment ref="H164" authorId="71" shapeId="0" xr:uid="{2E83D81E-0DC3-4622-B112-CA545432F3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7" authorId="72" shapeId="0" xr:uid="{90319EAE-034E-4025-BF74-7793D2D6AD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9" authorId="73" shapeId="0" xr:uid="{819C2848-75B7-43E6-B6C0-CE8C2D57D1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0" authorId="74" shapeId="0" xr:uid="{51D11721-435F-41FD-BBC9-DF90D6B0EA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6" authorId="75" shapeId="0" xr:uid="{A07188BC-EA1D-4338-BF6D-A0467266E2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0" authorId="76" shapeId="0" xr:uid="{0094CF9D-D29D-4E65-A54F-651920BC94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2" authorId="77" shapeId="0" xr:uid="{12A097CA-666E-4B4D-9333-04B488E528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3" authorId="78" shapeId="0" xr:uid="{5450EA82-D47E-421B-B5AC-30D2EC1E5E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6" authorId="79" shapeId="0" xr:uid="{99877945-B98B-4DCA-823B-07AA40A549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7" authorId="80" shapeId="0" xr:uid="{59D4DA9C-A539-4F78-B147-AF33AF27D9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1" authorId="81" shapeId="0" xr:uid="{85A9A578-FA04-4991-8933-9FB3EF174C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4" authorId="82" shapeId="0" xr:uid="{3655DFEA-7CB3-4B8C-9342-FB36784127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5" authorId="83" shapeId="0" xr:uid="{5C97D627-CBB1-43D6-9E3C-29B785A05C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6" authorId="84" shapeId="0" xr:uid="{B98527AA-6060-47C9-9503-3C3BE9A0A1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7" authorId="85" shapeId="0" xr:uid="{0CC55047-7717-47D8-A260-3EFAEF493F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8" authorId="86" shapeId="0" xr:uid="{D4D3EB3D-6688-4605-ADD0-BE73222DBF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3" authorId="87" shapeId="0" xr:uid="{25FC798C-6CED-4D92-AEE4-D5A140DCB3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9" authorId="88" shapeId="0" xr:uid="{9A3AEDB3-E61E-417F-B1F3-D2E5233F61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3" authorId="89" shapeId="0" xr:uid="{BA9E621E-17E7-484D-8196-FF56A2D7C2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4" authorId="90" shapeId="0" xr:uid="{8D0C6168-2A2D-4C5B-B91D-92018F4B09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5" authorId="91" shapeId="0" xr:uid="{B9FDC26E-6700-434B-B670-5B6D3F881D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6" authorId="92" shapeId="0" xr:uid="{4EBA2BCF-2D6F-4BD7-9C86-A8D8C91E1A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0" authorId="93" shapeId="0" xr:uid="{33388DE7-7633-4965-85C4-76D140CCDD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2" authorId="94" shapeId="0" xr:uid="{82C467D0-564B-43E0-9827-71453E96839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6" authorId="95" shapeId="0" xr:uid="{3B43774D-1DD6-42F3-972E-E8DED5BC74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7" authorId="96" shapeId="0" xr:uid="{15B5789A-4805-49B0-8DE9-882AF66B83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tc={64a0ae14-7891-4894-8ecb-3b8138c17130}</author>
    <author>tc={a504a817-0efb-42bc-af59-d8c3ee39ea54}</author>
    <author>tc={81b5bd12-07b1-4f0f-b974-0c80ddcfc91e}</author>
    <author>tc={ae5853bd-61e7-4231-a6a9-1f6907b86408}</author>
    <author>tc={a22cec7d-6c16-4732-8cdf-966e10df43db}</author>
    <author>tc={613df056-e4e2-49c1-9046-c0d60975b00a}</author>
    <author>tc={d7404faa-38c7-45f6-8258-9fbb190c0428}</author>
    <author>tc={402b4eda-4373-477b-9e87-086358962d89}</author>
    <author>tc={72d254ea-f9b3-40f1-984c-ef24c7a1c382}</author>
    <author>tc={b644997c-ccb1-4493-852d-3e6d33d5ea13}</author>
    <author>tc={7ed6ec40-c741-4371-97e1-decc77cb3622}</author>
    <author>tc={40951db5-e03f-46fb-b613-ca26a22a5300}</author>
    <author>tc={ccb5a1d5-bae8-4254-b976-d46efa3440c8}</author>
    <author>tc={4cc5cdab-0d6f-47c0-a319-d8bc24fe7222}</author>
    <author>tc={f5ef8ab9-62e5-4627-9641-aad271eb9887}</author>
    <author>tc={31113ad9-37c2-492f-9a5a-c3d658f33222}</author>
    <author>tc={56dd3155-c11e-4293-9eb8-0717bc531159}</author>
    <author>tc={4d8a2990-8113-432f-ba66-5bc4721c8c03}</author>
    <author>tc={645c95ea-9c99-49a2-a3ce-c78221372ff7}</author>
    <author>tc={888f9905-04ad-416c-8bbb-9bb77a136483}</author>
    <author>tc={36cf0c46-c299-4389-b05a-8f2897c45a49}</author>
    <author>tc={74dc18a2-0b53-4473-b53b-3b58a5d7c8bb}</author>
    <author>tc={d1dbbf84-530f-47e1-83f5-dfde3397d9c1}</author>
    <author>tc={a4107ea4-533d-402d-a673-54466689e739}</author>
    <author>tc={cc872bd7-5b6d-4186-8e43-9b65147061ab}</author>
    <author>tc={8d05a127-3b09-4831-b556-5289b6bf26cf}</author>
    <author>tc={ed2d3749-2cd2-4953-a7e1-683bf9a760fc}</author>
    <author>tc={5542be15-1f32-4f03-94f9-a981fbf4e46d}</author>
    <author>tc={ad62252f-cbfb-4e0e-abf8-f64374063bd4}</author>
    <author>tc={270ea3ae-f736-4d6e-bd07-e58401d96f8b}</author>
    <author>tc={a4bbce94-f8b7-411b-9a2f-4813c71ba70e}</author>
    <author>tc={c62fcad4-a6f6-4e4b-8aed-ba86076de866}</author>
    <author>tc={a8eba5e8-49c9-49a1-aa1d-93e25cd160d4}</author>
    <author>tc={43f90ca2-5419-4649-88c9-da07bf9e8f17}</author>
    <author>tc={f0a6de1b-3e43-4182-a5fd-b1237204881d}</author>
    <author>tc={a53f48cf-a9b2-4784-8bf8-94dd193076d2}</author>
    <author>tc={f72e1151-c710-4fbd-9b42-02fd0f5ff54b}</author>
    <author>tc={79deb09f-12f0-483e-bfdc-aedf3cb0bd4a}</author>
    <author>tc={3221abb1-35de-402e-a681-429418f35395}</author>
    <author>tc={a025a161-6a6f-4c49-a442-53d512efade9}</author>
    <author>tc={ffa3de38-96d5-42b1-9eec-e24a6d1f41bb}</author>
    <author>tc={e51d1bd8-9f7b-415a-a9a6-35dedf63da73}</author>
    <author>tc={c7b2307d-fca4-401e-8a51-a7bfd6600fbe}</author>
    <author>tc={5822caf5-6d07-4b72-b7cc-af7a1d960267}</author>
    <author>tc={e7588a26-871e-44b7-af5c-38adf5d9b633}</author>
    <author>tc={ca006340-077d-458b-83e4-179c4519e3a6}</author>
    <author>tc={07152783-985b-4986-baa1-1cb00725fcb0}</author>
    <author>tc={82adfc4c-d006-445c-b849-3d453c2fa48b}</author>
    <author>tc={fcf04ef0-1b68-4447-90cd-fef99a1331ef}</author>
    <author>tc={517b3ec6-5f37-4bf1-8793-2f34afdfe25a}</author>
    <author>tc={a0d194dc-0357-461a-a9c2-57b198995579}</author>
    <author>tc={c7525c9b-17e1-49ad-b3c5-3ba572ce553a}</author>
    <author>tc={9bdcfbd5-646e-40f4-9c6c-22072f498b55}</author>
    <author>tc={efdc18aa-c152-462c-a151-565e985a19b0}</author>
    <author>tc={66a2fafc-1747-4a50-8b0d-85c2e53a323b}</author>
    <author>tc={01fa553a-b3e9-4998-86a6-cf1a79bf5fa1}</author>
    <author>tc={af29a538-91a3-4742-8d0e-6cc261bdcead}</author>
    <author>tc={5fb772e0-97d6-412c-bbcb-766be7bf29cc}</author>
    <author>tc={97f76d23-2389-4b50-94a6-1e7a67501933}</author>
    <author>tc={4211ca69-cb42-4d19-b076-6e1390647b79}</author>
    <author>tc={00ff7b23-a5ac-497a-925f-be73f77e1530}</author>
    <author>tc={3a0b66fc-3171-4065-90dc-724f860ced20}</author>
    <author>tc={b4171602-43c6-4b72-bdac-79ab93e04d38}</author>
    <author>tc={35f6370f-9606-4029-b836-97bae8e56893}</author>
    <author>tc={ee017ff0-0fd4-4b72-bc8d-0b7890b5e763}</author>
    <author>tc={29d56fe0-3d5d-4252-9d83-37f4f5311c59}</author>
    <author>tc={6591aec0-301d-47a7-8549-7e8180947fbb}</author>
    <author>tc={6b678e87-4027-4fc2-a675-24c978659bcc}</author>
    <author>tc={6d4c59e7-65ab-42fd-ba8e-5aac18fcafb8}</author>
    <author>tc={0a01a5b2-6de6-4dc1-8f4e-df7d323d62ea}</author>
    <author>tc={6a8ab1e6-1f29-4f3f-84f0-4957ed43fee4}</author>
    <author>tc={586b39d3-9c27-4f0d-8d6c-62c9afaa971f}</author>
    <author>tc={ac0174fb-e828-4e80-976b-767396dc283c}</author>
    <author>tc={b28f3b03-8e1f-4fcd-ae6f-6cba47e6c523}</author>
    <author>tc={163a53a7-8e07-44d4-939a-da0144f59c9a}</author>
    <author>tc={a35cd541-98fd-4302-8266-84f24e36679a}</author>
    <author>tc={b541da61-be77-40d1-885e-046ff4807e7c}</author>
    <author>tc={28c42188-7193-4889-b15d-5b18300d8a68}</author>
    <author>tc={9ee1496e-aa52-4b5d-b881-4620f6f3be46}</author>
    <author>tc={fab16d0a-7069-4141-93d6-cf879c9fe931}</author>
    <author>tc={219a6263-5376-4ab4-91c0-203255a4d859}</author>
    <author>tc={ddbfcac5-6945-4e3f-9cc6-04f45bf3abd8}</author>
    <author>tc={f3655532-bd75-4b53-b02e-89c5f410f89d}</author>
    <author>tc={8029dd35-800f-4648-a725-c4d2e98485b4}</author>
    <author>tc={6ac831bd-fdfa-4b27-a823-aa61d68bfcf1}</author>
    <author>tc={9009fb97-3c04-4935-afda-6ca681d2e14e}</author>
    <author>tc={013cdc3f-6be9-45ba-8ef6-a73e996f10a9}</author>
    <author>tc={d85a46bf-7495-4b19-96ff-95e714fbfacd}</author>
    <author>tc={ec73d790-55f7-470f-9919-a349e8b2c044}</author>
    <author>tc={829c3b8f-018b-4cb2-907e-608d35cb09d2}</author>
    <author>tc={00c22556-bfeb-481d-b964-22b8125c5f90}</author>
    <author>tc={a75d1cc0-98bb-40f7-ac22-3e74a2d3a397}</author>
    <author>tc={86810655-d348-4c20-ad19-0882b680769f}</author>
    <author>tc={58fdbba2-896f-41e9-963f-f468f69d186f}</author>
    <author>tc={9fe86e56-0be1-48c6-a7e6-502dad9261b3}</author>
    <author>tc={d9d99f93-622d-4466-8f19-dd9eb6811f6f}</author>
    <author>tc={e59a80e0-b1c0-4428-bba9-6aa5aab008a4}</author>
    <author>tc={bb7bdf46-16c9-4aa6-ae79-b42b477038b5}</author>
    <author>tc={86ea508d-cfd2-4704-a824-1eef88b93799}</author>
    <author>tc={3bbdcc78-b475-4903-bd50-d4231405ddd6}</author>
    <author>tc={86027a60-f29e-428c-a6c7-7ad914586759}</author>
    <author>tc={a69ac208-df13-4e81-8073-e13df5c8fec5}</author>
    <author>tc={2afa5254-42a3-4fd1-9af7-71663bd31c43}</author>
    <author>tc={18f006be-759a-4997-8242-53b4ee23b6cb}</author>
    <author>tc={24b70249-8dd0-4ef7-8afb-a9077338da75}</author>
    <author>tc={2235b6df-57b7-4d6a-9c27-0199631cf957}</author>
    <author>tc={0367ec57-bfff-44db-880b-7762ef69c728}</author>
    <author>tc={21472db0-36be-40df-b966-d2f78af3f267}</author>
  </authors>
  <commentList>
    <comment ref="H2" authorId="0" shapeId="0" xr:uid="{64A0AE14-7891-4894-8ECB-3B8138C171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" authorId="1" shapeId="0" xr:uid="{A504A817-0EFB-42BC-AF59-D8C3EE39EA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" authorId="2" shapeId="0" xr:uid="{81B5BD12-07B1-4F0F-B974-0C80DDCFC9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" authorId="3" shapeId="0" xr:uid="{AE5853BD-61E7-4231-A6A9-1F6907B864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" authorId="4" shapeId="0" xr:uid="{A22CEC7D-6C16-4732-8CDF-966E10DF43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DATAFONO</t>
      </text>
    </comment>
    <comment ref="H14" authorId="5" shapeId="0" xr:uid="{613DF056-E4E2-49C1-9046-C0D60975B0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" authorId="6" shapeId="0" xr:uid="{D7404FAA-38C7-45F6-8258-9FBB190C04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" authorId="7" shapeId="0" xr:uid="{402B4EDA-4373-477B-9E87-086358962D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8" shapeId="0" xr:uid="{72D254EA-F9B3-40F1-984C-EF24C7A1C3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" authorId="9" shapeId="0" xr:uid="{B644997C-CCB1-4493-852D-3E6D33D5EA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" authorId="10" shapeId="0" xr:uid="{7ED6EC40-C741-4371-97E1-DECC77CB36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7" authorId="11" shapeId="0" xr:uid="{40951DB5-E03F-46FB-B613-CA26A22A53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9" authorId="12" shapeId="0" xr:uid="{CCB5A1D5-BAE8-4254-B976-D46EFA3440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0" authorId="13" shapeId="0" xr:uid="{4CC5CDAB-0D6F-47C0-A319-D8BC24FE72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1" authorId="14" shapeId="0" xr:uid="{F5EF8AB9-62E5-4627-9641-AAD271EB98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2" authorId="15" shapeId="0" xr:uid="{31113AD9-37C2-492F-9A5A-C3D658F332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TAREJETA</t>
      </text>
    </comment>
    <comment ref="H34" authorId="16" shapeId="0" xr:uid="{56DD3155-C11E-4293-9EB8-0717BC5311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6" authorId="17" shapeId="0" xr:uid="{4D8A2990-8113-432F-BA66-5BC4721C8C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7" authorId="18" shapeId="0" xr:uid="{645C95EA-9C99-49A2-A3CE-C78221372FF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1" authorId="19" shapeId="0" xr:uid="{888F9905-04AD-416C-8BBB-9BB77A1364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7" authorId="20" shapeId="0" xr:uid="{36CF0C46-C299-4389-B05A-8F2897C45A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0" authorId="21" shapeId="0" xr:uid="{74DC18A2-0B53-4473-B53B-3B58A5D7C8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1" authorId="22" shapeId="0" xr:uid="{D1DBBF84-530F-47E1-83F5-DFDE3397D9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4" authorId="23" shapeId="0" xr:uid="{A4107EA4-533D-402D-A673-54466689E73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6" authorId="24" shapeId="0" xr:uid="{CC872BD7-5B6D-4186-8E43-9B65147061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factura</t>
      </text>
    </comment>
    <comment ref="H68" authorId="25" shapeId="0" xr:uid="{8D05A127-3B09-4831-B556-5289B6BF26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9" authorId="26" shapeId="0" xr:uid="{ED2D3749-2CD2-4953-A7E1-683BF9A760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0" authorId="27" shapeId="0" xr:uid="{5542BE15-1F32-4F03-94F9-A981FBF4E4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1" authorId="28" shapeId="0" xr:uid="{AD62252F-CBFB-4E0E-ABF8-F64374063B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2" authorId="29" shapeId="0" xr:uid="{270EA3AE-F736-4D6E-BD07-E58401D96F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3" authorId="30" shapeId="0" xr:uid="{A4BBCE94-F8B7-411B-9A2F-4813C71BA70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0" authorId="31" shapeId="0" xr:uid="{C62FCAD4-A6F6-4E4B-8AED-BA86076DE8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2" authorId="32" shapeId="0" xr:uid="{A8EBA5E8-49C9-49A1-AA1D-93E25CD160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5" authorId="33" shapeId="0" xr:uid="{43F90CA2-5419-4649-88C9-DA07BF9E8F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8" authorId="34" shapeId="0" xr:uid="{F0A6DE1B-3E43-4182-A5FD-B123720488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1" authorId="35" shapeId="0" xr:uid="{A53F48CF-A9B2-4784-8BF8-94DD193076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4" authorId="36" shapeId="0" xr:uid="{F72E1151-C710-4FBD-9B42-02FD0F5FF5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6" authorId="37" shapeId="0" xr:uid="{79DEB09F-12F0-483E-BFDC-AEDF3CB0BD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7" authorId="38" shapeId="0" xr:uid="{3221ABB1-35DE-402E-A681-429418F353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9" authorId="39" shapeId="0" xr:uid="{A025A161-6A6F-4C49-A442-53D512EFADE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4" authorId="40" shapeId="0" xr:uid="{FFA3DE38-96D5-42B1-9EEC-E24A6D1F41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5" authorId="41" shapeId="0" xr:uid="{E51D1BD8-9F7B-415A-A9A6-35DEDF63DA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 + tarjeta</t>
      </text>
    </comment>
    <comment ref="H108" authorId="42" shapeId="0" xr:uid="{C7B2307D-FCA4-401E-8A51-A7BFD6600F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0" authorId="43" shapeId="0" xr:uid="{5822CAF5-6D07-4B72-B7CC-AF7A1D9602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1" authorId="44" shapeId="0" xr:uid="{E7588A26-871E-44B7-AF5C-38ADF5D9B6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3" authorId="45" shapeId="0" xr:uid="{CA006340-077D-458B-83E4-179C4519E3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4" authorId="46" shapeId="0" xr:uid="{07152783-985B-4986-BAA1-1CB00725FC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5" authorId="47" shapeId="0" xr:uid="{82ADFC4C-D006-445C-B849-3D453C2FA4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8" authorId="48" shapeId="0" xr:uid="{FCF04EF0-1B68-4447-90CD-FEF99A1331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9" authorId="49" shapeId="0" xr:uid="{517B3EC6-5F37-4BF1-8793-2F34AFDFE25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0" authorId="50" shapeId="0" xr:uid="{A0D194DC-0357-461A-A9C2-57B1989955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8" authorId="51" shapeId="0" xr:uid="{C7525C9B-17E1-49AD-B3C5-3BA572CE55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0" authorId="52" shapeId="0" xr:uid="{9BDCFBD5-646E-40F4-9C6C-22072F498B5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1" authorId="53" shapeId="0" xr:uid="{EFDC18AA-C152-462C-A151-565E985A19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54" shapeId="0" xr:uid="{66A2FAFC-1747-4A50-8B0D-85C2E53A32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7" authorId="55" shapeId="0" xr:uid="{01FA553A-B3E9-4998-86A6-CF1A79BF5F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1" authorId="56" shapeId="0" xr:uid="{AF29A538-91A3-4742-8D0E-6CC261BDCE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2" authorId="57" shapeId="0" xr:uid="{5FB772E0-97D6-412C-BBCB-766BE7BF29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3" authorId="58" shapeId="0" xr:uid="{97F76D23-2389-4B50-94A6-1E7A675019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59" shapeId="0" xr:uid="{4211CA69-CB42-4D19-B076-6E1390647B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6" authorId="60" shapeId="0" xr:uid="{00FF7B23-A5AC-497A-925F-BE73F77E15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7" authorId="61" shapeId="0" xr:uid="{3A0B66FC-3171-4065-90DC-724F860CED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8" authorId="62" shapeId="0" xr:uid="{B4171602-43C6-4B72-BDAC-79AB93E04D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45.000 TRANSFERENCIA
30.000 EFECTIVO</t>
      </text>
    </comment>
    <comment ref="H149" authorId="63" shapeId="0" xr:uid="{35F6370F-9606-4029-B836-97BAE8E568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4" authorId="64" shapeId="0" xr:uid="{EE017FF0-0FD4-4B72-BC8D-0B7890B5E7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8" authorId="65" shapeId="0" xr:uid="{29D56FE0-3D5D-4252-9D83-37F4F5311C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9" authorId="66" shapeId="0" xr:uid="{6591AEC0-301D-47A7-8549-7E8180947FB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6" authorId="67" shapeId="0" xr:uid="{6B678E87-4027-4FC2-A675-24C978659B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transfrencia</t>
      </text>
    </comment>
    <comment ref="H167" authorId="68" shapeId="0" xr:uid="{6D4C59E7-65AB-42FD-BA8E-5AAC18FCAF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9" authorId="69" shapeId="0" xr:uid="{0A01A5B2-6DE6-4DC1-8F4E-DF7D323D62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1" authorId="70" shapeId="0" xr:uid="{6A8AB1E6-1F29-4F3F-84F0-4957ED43FE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2" authorId="71" shapeId="0" xr:uid="{586B39D3-9C27-4F0D-8D6C-62C9AFAA97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3" authorId="72" shapeId="0" xr:uid="{AC0174FB-E828-4E80-976B-767396DC28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4" authorId="73" shapeId="0" xr:uid="{B28F3B03-8E1F-4FCD-AE6F-6CBA47E6C5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5" authorId="74" shapeId="0" xr:uid="{163A53A7-8E07-44D4-939A-DA0144F59C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6" authorId="75" shapeId="0" xr:uid="{A35CD541-98FD-4302-8266-84F24E3667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0" authorId="76" shapeId="0" xr:uid="{B541DA61-BE77-40D1-885E-046FF4807E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2" authorId="77" shapeId="0" xr:uid="{28C42188-7193-4889-B15D-5B18300D8A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3" authorId="78" shapeId="0" xr:uid="{9EE1496E-AA52-4B5D-B881-4620F6F3BE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7" authorId="79" shapeId="0" xr:uid="{FAB16D0A-7069-4141-93D6-CF879C9FE9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1" authorId="80" shapeId="0" xr:uid="{219A6263-5376-4AB4-91C0-203255A4D8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2" authorId="81" shapeId="0" xr:uid="{DDBFCAC5-6945-4E3F-9CC6-04F45BF3AB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3" authorId="82" shapeId="0" xr:uid="{F3655532-BD75-4B53-B02E-89C5F410F8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5" authorId="83" shapeId="0" xr:uid="{8029DD35-800F-4648-A725-C4D2E98485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6" authorId="84" shapeId="0" xr:uid="{6AC831BD-FDFA-4B27-A823-AA61D68BFC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7" authorId="85" shapeId="0" xr:uid="{9009FB97-3C04-4935-AFDA-6CA681D2E1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8" authorId="86" shapeId="0" xr:uid="{013CDC3F-6BE9-45BA-8EF6-A73E996F10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9" authorId="87" shapeId="0" xr:uid="{D85A46BF-7495-4B19-96FF-95E714FBFA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1" authorId="88" shapeId="0" xr:uid="{EC73D790-55F7-470F-9919-A349E8B2C0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2" authorId="89" shapeId="0" xr:uid="{829C3B8F-018B-4CB2-907E-608D35CB09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- FACTURA</t>
      </text>
    </comment>
    <comment ref="H207" authorId="90" shapeId="0" xr:uid="{00C22556-BFEB-481D-B964-22B8125C5F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0" authorId="91" shapeId="0" xr:uid="{A75D1CC0-98BB-40F7-AC22-3E74A2D3A3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1" authorId="92" shapeId="0" xr:uid="{86810655-D348-4C20-AD19-0882B68076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6" authorId="93" shapeId="0" xr:uid="{58FDBBA2-896F-41E9-963F-F468F69D18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7" authorId="94" shapeId="0" xr:uid="{9FE86E56-0BE1-48C6-A7E6-502DAD9261B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9" authorId="95" shapeId="0" xr:uid="{D9D99F93-622D-4466-8F19-DD9EB6811F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2" authorId="96" shapeId="0" xr:uid="{E59A80E0-B1C0-4428-BBA9-6AA5AAB008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3" authorId="97" shapeId="0" xr:uid="{BB7BDF46-16C9-4AA6-AE79-B42B477038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4" authorId="98" shapeId="0" xr:uid="{86EA508D-CFD2-4704-A824-1EEF88B937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5" authorId="99" shapeId="0" xr:uid="{3BBDCC78-B475-4903-BD50-D4231405DD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6" authorId="100" shapeId="0" xr:uid="{86027A60-F29E-428C-A6C7-7AD9145867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0" authorId="101" shapeId="0" xr:uid="{A69AC208-DF13-4E81-8073-E13DF5C8FE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1" authorId="102" shapeId="0" xr:uid="{2AFA5254-42A3-4FD1-9AF7-71663BD31C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2" authorId="103" shapeId="0" xr:uid="{18F006BE-759A-4997-8242-53B4EE23B6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5" authorId="104" shapeId="0" xr:uid="{24B70249-8DD0-4EF7-8AFB-A9077338DA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2" authorId="105" shapeId="0" xr:uid="{2235B6DF-57B7-4D6A-9C27-0199631CF9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3" authorId="106" shapeId="0" xr:uid="{0367EC57-BFFF-44DB-880B-7762EF69C7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4" authorId="107" shapeId="0" xr:uid="{21472DB0-36BE-40DF-B966-D2F78AF3F2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tc={1d8fe894-5e21-4abf-92a4-943f5fb1e740}</author>
    <author>tc={6d4f0f72-8156-4f1d-8734-c1ace47c9154}</author>
    <author>tc={573409c6-c199-499d-ac0d-e441b9cb9fea}</author>
    <author>tc={416f224d-8142-4c8f-9500-b460a500059f}</author>
    <author>tc={673e5015-631f-49f3-b642-bff5380bc945}</author>
    <author>tc={34b82ddd-0270-40fb-b787-f6c5e3ce7eaf}</author>
    <author>tc={c7b5785c-5358-4092-b9bd-bc0b093f47e6}</author>
    <author>tc={f6e0df5d-b3fe-4c1a-bbe3-784fa1a43994}</author>
    <author>tc={00d9a605-55c4-4ff2-8a7b-f86d2195624a}</author>
    <author>tc={e7c6ffb8-a0c8-4e95-a779-c48d5c1dbf0d}</author>
    <author>tc={cc57aefb-7608-4808-88ac-e378885f5133}</author>
    <author>tc={a990c357-c68d-4cfa-b9ab-42689d2d0ca2}</author>
    <author>tc={945ccc70-6af9-4390-a2f9-ddf4f6767960}</author>
    <author>tc={249e2828-dad5-4c77-9bf5-9ad4635be887}</author>
    <author>tc={ce211950-20d0-4135-86b9-0a8b9d6f6880}</author>
    <author>tc={5831a802-1871-4db4-9f23-11793fae99ce}</author>
    <author>tc={c36eaad7-2eb7-4e57-8432-27e6a81fff1d}</author>
    <author>tc={68ec00b5-220d-44a5-9c3f-3ca3ddc45754}</author>
    <author>tc={666af481-698b-4936-b439-aec955135b36}</author>
    <author>tc={a25f08dc-0729-4edc-b2c1-4bf41aa58577}</author>
    <author>tc={af9b3b5f-b202-4096-96cb-ba4a7ce771b4}</author>
    <author>tc={8f7dc84a-8b9c-48a0-9d51-cdce8ce96d76}</author>
    <author>tc={f41005be-8383-41e1-8b93-c2f0c2c977a4}</author>
    <author>tc={ac746c4c-4fa7-4076-bc40-4141e83f85ad}</author>
    <author>tc={716cc1ef-832b-4744-985a-d92b8d51e9d0}</author>
    <author>tc={b462beef-b13a-4564-9d87-b36c4468f109}</author>
    <author>tc={3220c1a9-1048-4431-b0b1-939701d96b1d}</author>
    <author>tc={fd814505-433d-4ff6-a41c-c2238826b0fd}</author>
    <author>tc={d805a905-4710-4835-a4d3-72cce6b24c3a}</author>
    <author>tc={094e4a60-8f94-4e5a-9723-3a4bf5bc9a0b}</author>
    <author>tc={19b02639-d746-4f30-ab15-0d304b8edebd}</author>
    <author>tc={28c683f4-0968-4728-8a0a-fef2386c825b}</author>
    <author>tc={99ecb6bd-2ac0-4a70-b87e-34ab3290b9dc}</author>
    <author>tc={cb76be93-a110-4f67-88d9-41cff6ee63cd}</author>
    <author>tc={fbfb8559-75a3-4598-8003-a7cd75b3d129}</author>
    <author>tc={61db4174-29cd-4b7e-8e39-e541f52d0c77}</author>
    <author>tc={d8ea870b-c03c-4a6e-bee7-8fa9535d487b}</author>
    <author>tc={1be40d62-bc73-4954-a2ac-04027f56fd08}</author>
    <author>tc={e80955e6-ff3b-421e-ac32-664c44e6471b}</author>
    <author>tc={38ab08e3-fe23-4850-bcfe-a4490e4977e1}</author>
    <author>tc={4d32f513-e0b3-454e-9e67-efd3c32f9683}</author>
    <author>tc={018354ea-c408-4d98-addb-a58f1ab5b594}</author>
    <author>tc={39880006-a7be-451d-bfc9-c33774b4f05d}</author>
    <author>tc={fdd5fc17-5f82-4116-a10e-c21754b2a7c8}</author>
    <author>tc={4373d590-c45e-4751-9c26-5dc6da663ca8}</author>
    <author>tc={96030011-afd6-4704-8697-f68243b2bf11}</author>
    <author>tc={c8f34486-cd08-4e78-b7f1-b67d7f61a417}</author>
    <author>tc={b4bc2bad-402f-4176-b05d-9f519366c9d7}</author>
    <author>tc={e0c307f2-247f-4f3e-b533-5b7c16364838}</author>
    <author>tc={bc07d66f-8ff8-4fa1-9a84-087666041e99}</author>
    <author>tc={9e5c8e6f-838d-47a6-8c96-d4b3fea188e1}</author>
    <author>tc={0d360862-5b8f-4b95-8fee-29ae63a51118}</author>
    <author>tc={ee510aaf-9e38-434c-b301-8b48d89e9d0f}</author>
    <author>tc={4e0d3a13-8943-454f-a17d-2310eae0347a}</author>
    <author>tc={83944b7f-c086-492d-9c05-999caddc70f3}</author>
    <author>tc={a6510544-c074-4ebb-85d5-7063ce18eea7}</author>
    <author>tc={5b1b0769-2d54-4800-a407-ae1c52980396}</author>
    <author>tc={434160a0-bbaf-4fb5-a483-8be515d37db7}</author>
    <author>tc={d3e8782a-9eff-4a5f-bc8b-6f6daa1310c4}</author>
    <author>tc={8b3cd602-e9fb-4cef-8578-9caf835234a7}</author>
    <author>tc={1fb7d473-9695-4643-9c22-655ef1ddd988}</author>
    <author>tc={cb19c0f2-7f9e-4fd8-98ff-f10ce9510dd5}</author>
    <author>tc={2244dfbb-7708-4923-bdfd-dd786bc1e600}</author>
    <author>tc={f2d4e431-5383-4ccc-9a0a-e1fa946d0378}</author>
    <author>tc={3d3a7d75-3e35-46bf-97c3-387ae093793f}</author>
    <author>tc={5071c7c0-2238-4227-bc6a-1715cae976e1}</author>
    <author>tc={79826db7-28f0-4b8e-a2ff-199fcaebd20d}</author>
    <author>tc={ef807b7d-ea4f-46bf-85fa-a849e805df6c}</author>
    <author>tc={85edbd52-3537-4bab-9f7a-1c761c2e7125}</author>
    <author>tc={77daaf83-9146-4c0f-9155-b8a38dd3abf8}</author>
    <author>tc={4b5dc177-5d29-4f9a-8cdd-f40f601fb2c3}</author>
    <author>tc={66781eef-7d06-451e-a3c7-4f0b7f14b08a}</author>
    <author>tc={f851b70c-b5e6-4388-af9c-74d254b5100b}</author>
    <author>tc={fc46a8ec-7b41-4b82-bf33-babf8a3cbe84}</author>
    <author>tc={f99b8132-0d10-435f-977d-0ddaf9b8b38e}</author>
    <author>tc={d8cc0178-b11d-4fae-95a6-ddbb7a13e427}</author>
    <author>tc={99abd894-040c-496d-91b1-a2d262aadec2}</author>
    <author>tc={c7ba005a-7ba9-4051-9fd0-25561c48ff87}</author>
    <author>tc={99c16eea-6e25-4766-a335-aa906a316cc3}</author>
    <author>tc={c9a4c1c0-c380-4ed0-860a-74a8ecf9563e}</author>
    <author>tc={76337446-6375-4a3c-89fb-37199ed31a0f}</author>
    <author>tc={9c8df397-275b-4e6e-95a3-551d31037ff6}</author>
    <author>tc={0831095d-cbc2-4834-aa9a-c79bf9e4b5fa}</author>
  </authors>
  <commentList>
    <comment ref="H3" authorId="0" shapeId="0" xr:uid="{1D8FE894-5E21-4ABF-92A4-943F5FB1E7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" authorId="1" shapeId="0" xr:uid="{6D4F0F72-8156-4F1D-8734-C1ACE47C91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" authorId="2" shapeId="0" xr:uid="{573409C6-C199-499D-AC0D-E441B9CB9F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" authorId="3" shapeId="0" xr:uid="{416F224D-8142-4C8F-9500-B460A50005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4" shapeId="0" xr:uid="{673E5015-631F-49F3-B642-BFF5380BC9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" authorId="5" shapeId="0" xr:uid="{34B82DDD-0270-40FB-B787-F6C5E3CE7E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" authorId="6" shapeId="0" xr:uid="{C7B5785C-5358-4092-B9BD-BC0B093F47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23" authorId="7" shapeId="0" xr:uid="{F6E0DF5D-B3FE-4C1A-BBE3-784FA1A439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6" authorId="8" shapeId="0" xr:uid="{00D9A605-55C4-4FF2-8A7B-F86D219562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" authorId="9" shapeId="0" xr:uid="{E7C6FFB8-A0C8-4E95-A779-C48D5C1DBF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3" authorId="10" shapeId="0" xr:uid="{CC57AEFB-7608-4808-88AC-E378885F51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4" authorId="11" shapeId="0" xr:uid="{A990C357-C68D-4CFA-B9AB-42689D2D0C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5" authorId="12" shapeId="0" xr:uid="{945CCC70-6AF9-4390-A2F9-DDF4F67679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7" authorId="13" shapeId="0" xr:uid="{249E2828-DAD5-4C77-9BF5-9AD4635BE8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8" authorId="14" shapeId="0" xr:uid="{CE211950-20D0-4135-86B9-0A8B9D6F68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0" authorId="15" shapeId="0" xr:uid="{5831A802-1871-4DB4-9F23-11793FAE99C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4" authorId="16" shapeId="0" xr:uid="{C36EAAD7-2EB7-4E57-8432-27E6A81FFF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5" authorId="17" shapeId="0" xr:uid="{68EC00B5-220D-44A5-9C3F-3CA3DDC457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6" authorId="18" shapeId="0" xr:uid="{666AF481-698B-4936-B439-AEC955135B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7" authorId="19" shapeId="0" xr:uid="{A25F08DC-0729-4EDC-B2C1-4BF41AA585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8" authorId="20" shapeId="0" xr:uid="{AF9B3B5F-B202-4096-96CB-BA4A7CE771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1" authorId="21" shapeId="0" xr:uid="{8F7DC84A-8B9C-48A0-9D51-CDCE8CE96D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3" authorId="22" shapeId="0" xr:uid="{F41005BE-8383-41E1-8B93-C2F0C2C977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5" authorId="23" shapeId="0" xr:uid="{AC746C4C-4FA7-4076-BC40-4141E83F85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8" authorId="24" shapeId="0" xr:uid="{716CC1EF-832B-4744-985A-D92B8D51E9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9" authorId="25" shapeId="0" xr:uid="{B462BEEF-B13A-4564-9D87-B36C4468F1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4" authorId="26" shapeId="0" xr:uid="{3220C1A9-1048-4431-B0B1-939701D96B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5" authorId="27" shapeId="0" xr:uid="{FD814505-433D-4FF6-A41C-C2238826B0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6" authorId="28" shapeId="0" xr:uid="{D805A905-4710-4835-A4D3-72CCE6B24C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8" authorId="29" shapeId="0" xr:uid="{094E4A60-8F94-4E5A-9723-3A4BF5BC9A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0" authorId="30" shapeId="0" xr:uid="{19B02639-D746-4F30-AB15-0D304B8EDEB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4" authorId="31" shapeId="0" xr:uid="{28C683F4-0968-4728-8A0A-FEF2386C82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5" authorId="32" shapeId="0" xr:uid="{99ECB6BD-2AC0-4A70-B87E-34AB3290B9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6" authorId="33" shapeId="0" xr:uid="{CB76BE93-A110-4F67-88D9-41CFF6EE63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7" authorId="34" shapeId="0" xr:uid="{FBFB8559-75A3-4598-8003-A7CD75B3D1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0" authorId="35" shapeId="0" xr:uid="{61DB4174-29CD-4B7E-8E39-E541F52D0C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1" authorId="36" shapeId="0" xr:uid="{D8EA870B-C03C-4A6E-BEE7-8FA9535D48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4" authorId="37" shapeId="0" xr:uid="{1BE40D62-BC73-4954-A2AC-04027F56FD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5" authorId="38" shapeId="0" xr:uid="{E80955E6-FF3B-421E-AC32-664C44E647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7" authorId="39" shapeId="0" xr:uid="{38AB08E3-FE23-4850-BCFE-A4490E4977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0" authorId="40" shapeId="0" xr:uid="{4D32F513-E0B3-454E-9E67-EFD3C32F96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1" authorId="41" shapeId="0" xr:uid="{018354EA-C408-4D98-ADDB-A58F1AB5B5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5" authorId="42" shapeId="0" xr:uid="{39880006-A7BE-451D-BFC9-C33774B4F0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6" authorId="43" shapeId="0" xr:uid="{FDD5FC17-5F82-4116-A10E-C21754B2A7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4" authorId="44" shapeId="0" xr:uid="{4373D590-C45E-4751-9C26-5DC6DA663C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5" authorId="45" shapeId="0" xr:uid="{96030011-AFD6-4704-8697-F68243B2BF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6" authorId="46" shapeId="0" xr:uid="{C8F34486-CD08-4E78-B7F1-B67D7F61A4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8" authorId="47" shapeId="0" xr:uid="{B4BC2BAD-402F-4176-B05D-9F519366C9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9" authorId="48" shapeId="0" xr:uid="{E0C307F2-247F-4F3E-B533-5B7C163648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0" authorId="49" shapeId="0" xr:uid="{BC07D66F-8FF8-4FA1-9A84-087666041E9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11" authorId="50" shapeId="0" xr:uid="{9E5C8E6F-838D-47A6-8C96-D4B3FEA188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3" authorId="51" shapeId="0" xr:uid="{0D360862-5B8F-4B95-8FEE-29AE63A511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1" authorId="52" shapeId="0" xr:uid="{EE510AAF-9E38-434C-B301-8B48D89E9D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2" authorId="53" shapeId="0" xr:uid="{4E0D3A13-8943-454F-A17D-2310EAE034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3" authorId="54" shapeId="0" xr:uid="{83944B7F-C086-492D-9C05-999CADDC70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4" authorId="55" shapeId="0" xr:uid="{A6510544-C074-4EBB-85D5-7063CE18EE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5" authorId="56" shapeId="0" xr:uid="{5B1B0769-2D54-4800-A407-AE1C529803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TRANSFEERNCIA</t>
      </text>
    </comment>
    <comment ref="H130" authorId="57" shapeId="0" xr:uid="{434160A0-BBAF-4FB5-A483-8BE515D37D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1" authorId="58" shapeId="0" xr:uid="{D3E8782A-9EFF-4A5F-BC8B-6F6DAA1310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7" authorId="59" shapeId="0" xr:uid="{8B3CD602-E9FB-4CEF-8578-9CAF835234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8" authorId="60" shapeId="0" xr:uid="{1FB7D473-9695-4643-9C22-655EF1DDD9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1" authorId="61" shapeId="0" xr:uid="{CB19C0F2-7F9E-4FD8-98FF-F10CE9510D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4" authorId="62" shapeId="0" xr:uid="{2244DFBB-7708-4923-BDFD-DD786BC1E6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63" shapeId="0" xr:uid="{F2D4E431-5383-4CCC-9A0A-E1FA946D03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tarejta</t>
      </text>
    </comment>
    <comment ref="H147" authorId="64" shapeId="0" xr:uid="{3D3A7D75-3E35-46BF-97C3-387AE09379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9" authorId="65" shapeId="0" xr:uid="{5071C7C0-2238-4227-BC6A-1715CAE976E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1" authorId="66" shapeId="0" xr:uid="{79826DB7-28F0-4B8E-A2FF-199FCAEBD2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2" authorId="67" shapeId="0" xr:uid="{EF807B7D-EA4F-46BF-85FA-A849E805DF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3" authorId="68" shapeId="0" xr:uid="{85EDBD52-3537-4BAB-9F7A-1C761C2E71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4" authorId="69" shapeId="0" xr:uid="{77DAAF83-9146-4C0F-9155-B8A38DD3ABF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5" authorId="70" shapeId="0" xr:uid="{4B5DC177-5D29-4F9A-8CDD-F40F601FB2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trasnsferencia</t>
      </text>
    </comment>
    <comment ref="H156" authorId="71" shapeId="0" xr:uid="{66781EEF-7D06-451E-A3C7-4F0B7F14B0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1" authorId="72" shapeId="0" xr:uid="{F851B70C-B5E6-4388-AF9C-74D254B510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2" authorId="73" shapeId="0" xr:uid="{FC46A8EC-7B41-4B82-BF33-BABF8A3CBE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3" authorId="74" shapeId="0" xr:uid="{F99B8132-0D10-435F-977D-0DDAF9B8B38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5" authorId="75" shapeId="0" xr:uid="{D8CC0178-B11D-4FAE-95A6-DDBB7A13E4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3" authorId="76" shapeId="0" xr:uid="{99ABD894-040C-496D-91B1-A2D262AADE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5" authorId="77" shapeId="0" xr:uid="{C7BA005A-7BA9-4051-9FD0-25561C48FF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9" authorId="78" shapeId="0" xr:uid="{99C16EEA-6E25-4766-A335-AA906A316C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0" authorId="79" shapeId="0" xr:uid="{C9A4C1C0-C380-4ED0-860A-74A8ECF956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3" authorId="80" shapeId="0" xr:uid="{76337446-6375-4A3C-89FB-37199ED31A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7" authorId="81" shapeId="0" xr:uid="{9C8DF397-275B-4E6E-95A3-551D31037F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7" authorId="82" shapeId="0" xr:uid="{0831095D-CBC2-4834-AA9A-C79BF9E4B5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tc={eed1e1ac-5f68-4e36-868e-4cdcf17fb905}</author>
    <author>tc={fa0610ba-121f-43c7-8880-b70fd8626a25}</author>
    <author>tc={a9044a52-f439-4aaf-a149-97b7e8b47295}</author>
    <author>tc={29614a3d-900f-494c-8405-e6beb41719e0}</author>
    <author>tc={bf7f017f-de98-4cc7-9413-e3a0b966de88}</author>
    <author>tc={c5470599-d5c0-487d-be14-dbe171a36838}</author>
    <author>tc={67ccada9-4a1d-4a38-8f5a-8bf13771d96c}</author>
    <author>tc={3b4afebe-d5ad-4593-85c5-04698bfe50fa}</author>
    <author>tc={93a0cf13-5fd8-448f-a4f4-15b020893e29}</author>
    <author>tc={b020c8ee-024a-4811-8964-c60afa2d7112}</author>
    <author>tc={c2c56b72-1b3a-4208-8a07-00f0f23f533a}</author>
    <author>tc={e44c7382-f0d5-469b-b2ef-0ec077b1a43e}</author>
    <author>tc={fda910e7-6c4b-4a54-93bb-534f86856e9d}</author>
    <author>tc={e0117344-c4b8-4380-8440-779bc5d36fa4}</author>
    <author>tc={0e4c2ed2-3bef-496e-946e-6a16c2633c35}</author>
    <author>tc={801bc2a3-8e80-4db5-9fa3-6a5016057fb9}</author>
    <author>tc={f772e587-c571-482d-b11d-9e147794a88f}</author>
    <author>tc={455d5e51-4fd6-4614-bbae-4b015a3e35bf}</author>
    <author>tc={756a8351-8483-44bb-9e74-4195caeb6969}</author>
    <author>tc={e712c9ad-5267-4cd9-b831-194d9b022826}</author>
    <author>tc={6a7040d2-0617-4225-9e64-0c492c0055d5}</author>
    <author>tc={306bd30a-5221-4457-94d6-22803b3d7fda}</author>
    <author>tc={5e5b0916-569e-4488-b866-4be3537720b1}</author>
    <author>tc={719e549e-38c5-46e3-a8c4-2a04984e10ee}</author>
    <author>tc={74726e7b-7ec6-4ccd-95b7-55327f2aaf78}</author>
    <author>tc={af025e4c-b9ec-4316-8a07-533b62609e1b}</author>
    <author>tc={3197696e-b98a-4c24-b282-75664e27b1f4}</author>
    <author>tc={3d76c438-2ae2-4120-a666-c5f36f50a7dd}</author>
    <author>tc={25fac22b-0cf7-48fd-bd0f-5ae52f901816}</author>
    <author>tc={3ea58424-83df-476b-ba7f-1b24b45ad445}</author>
    <author>tc={dbc19c91-accf-4c06-bdd7-bbe7eb9b2a15}</author>
    <author>tc={4b15112f-f84b-4aa2-9ae1-004dd4d5c8d7}</author>
    <author>tc={5e84c7b2-d2d9-43ea-a9df-4830d61a2269}</author>
    <author>tc={476fab31-5b73-49cf-973f-2670f993ae10}</author>
    <author>tc={4e5ed243-0ebd-47a8-af32-e2155212b020}</author>
    <author>tc={429ae2b2-48e3-4808-9558-c576baaf4415}</author>
    <author>tc={0f67605f-f8ea-44f4-835a-cfed3b880a31}</author>
    <author>tc={7460f9e5-27c9-4681-9b0b-ca800a438805}</author>
    <author>tc={d22b1681-7fda-4276-9a93-6ec972db5b06}</author>
    <author>tc={35e62589-4a54-4923-8d70-aa862929de1c}</author>
    <author>tc={7f19be7f-df28-4478-a2e2-41faddae3004}</author>
    <author>tc={33873284-d34c-45d2-9fea-a64f2cb0cc3a}</author>
    <author>tc={626df9b0-c967-4c8f-aa18-394e2ab6a8e3}</author>
    <author>tc={2b25cca6-bdf0-436f-a5d5-0de3546722a2}</author>
    <author>tc={d9c06c73-cddd-4622-95f1-be3fd44d83cb}</author>
    <author>tc={4480a9aa-d455-4206-9cf3-ecc1f2d8d146}</author>
    <author>tc={b05ae2e6-8208-4b11-9524-36e0d1c65509}</author>
    <author>tc={0eeee3a7-0812-4260-83c0-ade77eeb4190}</author>
    <author>tc={bfb2c177-8955-4926-9497-ad8ec567fade}</author>
    <author>tc={05986554-0d58-4b9d-8671-056b84335e07}</author>
    <author>tc={3ee7dec8-46df-41ec-a213-57ef83117c04}</author>
    <author>tc={66802eb1-1db7-48eb-af74-868c7a9a305c}</author>
    <author>tc={0e682d0e-00fa-43c9-aa1e-8bf8a30a0c8b}</author>
    <author>tc={fb7dcfb5-54a9-4e79-acb8-180a8f02bcfc}</author>
    <author>tc={799fff51-f1b1-454d-88cf-699dbb5e59a6}</author>
    <author>tc={df20d6c8-629d-456b-8056-6f963e86beba}</author>
    <author>tc={a3b83ac0-2fad-4cda-a142-0de7c9febcca}</author>
    <author>tc={e46013e7-e97f-459e-9c5a-6bff3474d80f}</author>
    <author>tc={aeee30b4-2d90-4e97-87c7-130d2ff32288}</author>
    <author>tc={781a9da0-9629-461a-b26c-652871ac9198}</author>
    <author>tc={baee5a65-ab9d-4026-8e7d-c40076cfa29d}</author>
    <author>tc={e882b4d8-7755-47bb-9305-5ff2b1f9182d}</author>
    <author>tc={8c6aabe9-f793-45ff-a470-751c5d3e0659}</author>
    <author>tc={f47d2416-08aa-4247-974b-8d63bb504ffb}</author>
    <author>tc={a4f87f03-1e8e-416c-8180-3186050cd619}</author>
    <author>tc={d8d84702-c2ab-408c-82e7-4c92f0c2baa7}</author>
    <author>tc={9e865f64-f237-44dd-a444-be5e5bca9120}</author>
    <author>tc={e9e95521-b791-4613-bc2d-a1fdf3d3c8e2}</author>
    <author>tc={457267dd-b746-4f5f-9b84-8863eece9c61}</author>
    <author>tc={afafbbde-bf2c-4bff-ac91-2866cf938728}</author>
    <author>tc={3039cfac-07d9-4a0a-89a0-96bdc2215c3d}</author>
    <author>tc={e38f5603-98c1-4ad4-a4d1-a4be02870e0f}</author>
    <author>tc={ac83d723-b0e8-4c14-88c8-6b96b4bac63a}</author>
    <author>tc={5e1760d1-75da-42ae-ae34-5c21d61ce3c8}</author>
    <author>tc={31f2b9ff-8144-4af2-a03f-43af10b003fe}</author>
    <author>tc={5cee57f8-8a59-41fe-abda-83715be57ef5}</author>
    <author>tc={bc22a7bf-cecb-4571-be08-c06406f2c0a3}</author>
    <author>tc={1faa760e-6e9a-438e-bea7-2a3473cdf7e4}</author>
    <author>tc={883d96f3-3374-404f-ba43-a77993bb0d86}</author>
    <author>tc={7d1bf468-2a43-4470-9df5-bfa927e7b53f}</author>
    <author>tc={2e832b62-aecf-4c80-898f-d94c9764ca24}</author>
    <author>tc={346b7f39-0b76-4fc1-b789-8a69f77270d2}</author>
    <author>tc={a3567b78-864e-42b4-a405-31cb10e88d2d}</author>
    <author>tc={2aee0050-dae1-45ce-ad91-2b9f6620fdba}</author>
    <author>tc={801af8fa-1013-439b-9aea-069d7bea7959}</author>
    <author>tc={d6537820-c46b-496e-af6a-77b867adf498}</author>
    <author>tc={236dcee3-ee9c-4497-82b1-53ce30167efd}</author>
    <author>tc={14675b39-cfaf-4984-b2e4-52e792b7b245}</author>
    <author>tc={ad635c83-3b91-46b6-9b90-aee4e40680fb}</author>
    <author>tc={84d8f096-5752-47b0-b03f-4e9399d010cf}</author>
    <author>tc={e5de330e-4e51-4c73-a6a9-89891489c313}</author>
    <author>tc={9f9734c1-79b1-49d7-a18e-e8e226014da7}</author>
    <author>tc={c176f9dc-71ff-457d-8da1-e5513532c314}</author>
    <author>tc={03a9ca7d-bbb7-4af8-946a-6a526761e908}</author>
    <author>tc={a4e06318-01ae-4bdd-85d4-9894be7e466e}</author>
    <author>tc={0af55998-4651-4097-86e8-4d74d4d23343}</author>
    <author>tc={6e869780-5388-4d19-8e0a-e9d519ba1f5b}</author>
    <author>tc={64cb1850-9107-45c5-b0af-0326127ed772}</author>
    <author>tc={c2724106-2b1e-4970-96fe-c3206094484f}</author>
    <author>tc={a493a747-0fbf-4b6d-a650-b622e178810a}</author>
    <author>tc={808520c5-46b2-4a96-b826-3444336a2785}</author>
    <author>tc={28bd2cb5-27f6-4f91-9153-6447139765cb}</author>
    <author>tc={3e8d8f2e-b2b8-4b90-9410-e9fe9f73d0cf}</author>
    <author>tc={53eb6bf4-7401-4acc-9ed8-4623809bd37b}</author>
    <author>tc={8cff15c2-7e87-464b-a3a2-12350c772c2f}</author>
    <author>tc={d3541471-fe18-439a-b3bd-3402bcdf889c}</author>
    <author>tc={75ae8b7d-0d23-4b6e-907e-b3afc00acbc2}</author>
    <author>tc={4a38d94c-3447-4668-b4da-b905d1113d81}</author>
    <author>tc={1d794948-6223-4ae5-a218-30fe804f2649}</author>
    <author>tc={bb5f87b3-6600-40c8-990e-916792cd6589}</author>
    <author>tc={58b966c4-ab62-4034-8cd6-fdd9f816fa01}</author>
    <author>tc={d59515eb-2af4-406e-a92e-1b88be84a81e}</author>
    <author>tc={5fd22d60-12b8-4226-adf5-0273a3433896}</author>
    <author>tc={7ad2ab5b-a12b-48d1-8519-0cc42a085962}</author>
    <author>tc={8692332e-1e1c-428e-b311-e1f416d98946}</author>
    <author>tc={d362f0af-db4c-4212-913a-cde686819091}</author>
    <author>tc={d6f17cc6-04e5-48ad-9974-e664f2bf0249}</author>
  </authors>
  <commentList>
    <comment ref="H3" authorId="0" shapeId="0" xr:uid="{EED1E1AC-5F68-4E36-868E-4CDCF17FB9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" authorId="1" shapeId="0" xr:uid="{FA0610BA-121F-43C7-8880-B70FD8626A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" authorId="2" shapeId="0" xr:uid="{A9044A52-F439-4AAF-A149-97B7E8B472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" authorId="3" shapeId="0" xr:uid="{29614A3D-900F-494C-8405-E6BEB41719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" authorId="4" shapeId="0" xr:uid="{BF7F017F-DE98-4CC7-9413-E3A0B966DE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" authorId="5" shapeId="0" xr:uid="{C5470599-D5C0-487D-BE14-DBE171A368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" authorId="6" shapeId="0" xr:uid="{67CCADA9-4A1D-4A38-8F5A-8BF13771D9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" authorId="7" shapeId="0" xr:uid="{3B4AFEBE-D5AD-4593-85C5-04698BFE50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" authorId="8" shapeId="0" xr:uid="{93A0CF13-5FD8-448F-A4F4-15B020893E2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" authorId="9" shapeId="0" xr:uid="{B020C8EE-024A-4811-8964-C60AFA2D71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" authorId="10" shapeId="0" xr:uid="{C2C56B72-1B3A-4208-8A07-00F0F23F53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11" shapeId="0" xr:uid="{E44C7382-F0D5-469B-B2EF-0EC077B1A4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" authorId="12" shapeId="0" xr:uid="{FDA910E7-6C4B-4A54-93BB-534F86856E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6" authorId="13" shapeId="0" xr:uid="{E0117344-C4B8-4380-8440-779BC5D36F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7" authorId="14" shapeId="0" xr:uid="{0E4C2ED2-3BEF-496E-946E-6A16C2633C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8" authorId="15" shapeId="0" xr:uid="{801BC2A3-8E80-4DB5-9FA3-6A5016057F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9" authorId="16" shapeId="0" xr:uid="{F772E587-C571-482D-B11D-9E147794A8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3" authorId="17" shapeId="0" xr:uid="{455D5E51-4FD6-4614-BBAE-4B015A3E35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4" authorId="18" shapeId="0" xr:uid="{756A8351-8483-44BB-9E74-4195CAEB69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5" authorId="19" shapeId="0" xr:uid="{E712C9AD-5267-4CD9-B831-194D9B0228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6" authorId="20" shapeId="0" xr:uid="{6A7040D2-0617-4225-9E64-0C492C0055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7" authorId="21" shapeId="0" xr:uid="{306BD30A-5221-4457-94D6-22803B3D7FD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0" authorId="22" shapeId="0" xr:uid="{5E5B0916-569E-4488-B866-4BE3537720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1" authorId="23" shapeId="0" xr:uid="{719E549E-38C5-46E3-A8C4-2A04984E10E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5" authorId="24" shapeId="0" xr:uid="{74726E7B-7EC6-4CCD-95B7-55327F2AAF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6" authorId="25" shapeId="0" xr:uid="{AF025E4C-B9EC-4316-8A07-533B62609E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8" authorId="26" shapeId="0" xr:uid="{3197696E-B98A-4C24-B282-75664E27B1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9" authorId="27" shapeId="0" xr:uid="{3D76C438-2AE2-4120-A666-C5F36F50A7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0" authorId="28" shapeId="0" xr:uid="{25FAC22B-0CF7-48FD-BD0F-5AE52F9018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55 tarjeta 25 efectivo</t>
      </text>
    </comment>
    <comment ref="H52" authorId="29" shapeId="0" xr:uid="{3EA58424-83DF-476B-BA7F-1B24B45AD4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4" authorId="30" shapeId="0" xr:uid="{DBC19C91-ACCF-4C06-BDD7-BBE7EB9B2A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5" authorId="31" shapeId="0" xr:uid="{4B15112F-F84B-4AA2-9AE1-004DD4D5C8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6" authorId="32" shapeId="0" xr:uid="{5E84C7B2-D2D9-43EA-A9DF-4830D61A226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7" authorId="33" shapeId="0" xr:uid="{476FAB31-5B73-49CF-973F-2670F993AE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8" authorId="34" shapeId="0" xr:uid="{4E5ED243-0EBD-47A8-AF32-E2155212B0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 - max 04</t>
      </text>
    </comment>
    <comment ref="H59" authorId="35" shapeId="0" xr:uid="{429AE2B2-48E3-4808-9558-C576BAAF44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tarejeta</t>
      </text>
    </comment>
    <comment ref="H61" authorId="36" shapeId="0" xr:uid="{0F67605F-F8EA-44F4-835A-CFED3B880A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2" authorId="37" shapeId="0" xr:uid="{7460F9E5-27C9-4681-9B0B-CA800A4388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4" authorId="38" shapeId="0" xr:uid="{D22B1681-7FDA-4276-9A93-6EC972DB5B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5" authorId="39" shapeId="0" xr:uid="{35E62589-4A54-4923-8D70-AA862929DE1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6" authorId="40" shapeId="0" xr:uid="{7F19BE7F-DF28-4478-A2E2-41FADDAE30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7" authorId="41" shapeId="0" xr:uid="{33873284-D34C-45D2-9FEA-A64F2CB0CC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9" authorId="42" shapeId="0" xr:uid="{626DF9B0-C967-4C8F-AA18-394E2AB6A8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0" authorId="43" shapeId="0" xr:uid="{2B25CCA6-BDF0-436F-A5D5-0DE3546722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2" authorId="44" shapeId="0" xr:uid="{D9C06C73-CDDD-4622-95F1-BE3FD44D83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6" authorId="45" shapeId="0" xr:uid="{4480A9AA-D455-4206-9CF3-ECC1F2D8D1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7" authorId="46" shapeId="0" xr:uid="{B05AE2E6-8208-4B11-9524-36E0D1C6550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1" authorId="47" shapeId="0" xr:uid="{0EEEE3A7-0812-4260-83C0-ADE77EEB41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2" authorId="48" shapeId="0" xr:uid="{BFB2C177-8955-4926-9497-AD8EC567FAD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9" authorId="49" shapeId="0" xr:uid="{05986554-0D58-4B9D-8671-056B84335E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6" authorId="50" shapeId="0" xr:uid="{3EE7DEC8-46DF-41EC-A213-57EF83117C0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4" authorId="51" shapeId="0" xr:uid="{66802EB1-1DB7-48EB-AF74-868C7A9A30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5" authorId="52" shapeId="0" xr:uid="{0E682D0E-00FA-43C9-AA1E-8BF8A30A0C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6" authorId="53" shapeId="0" xr:uid="{FB7DCFB5-54A9-4E79-ACB8-180A8F02BC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3" authorId="54" shapeId="0" xr:uid="{799FFF51-F1B1-454D-88CF-699DBB5E59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4" authorId="55" shapeId="0" xr:uid="{DF20D6C8-629D-456B-8056-6F963E86BE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7" authorId="56" shapeId="0" xr:uid="{A3B83AC0-2FAD-4CDA-A142-0DE7C9FEBC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8" authorId="57" shapeId="0" xr:uid="{E46013E7-E97F-459E-9C5A-6BFF3474D8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9" authorId="58" shapeId="0" xr:uid="{AEEE30B4-2D90-4E97-87C7-130D2FF322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0" authorId="59" shapeId="0" xr:uid="{781A9DA0-9629-461A-B26C-652871AC91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1" authorId="60" shapeId="0" xr:uid="{BAEE5A65-AB9D-4026-8E7D-C40076CFA2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2" authorId="61" shapeId="0" xr:uid="{E882B4D8-7755-47BB-9305-5FF2B1F918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3" authorId="62" shapeId="0" xr:uid="{8C6AABE9-F793-45FF-A470-751C5D3E06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63" shapeId="0" xr:uid="{F47D2416-08AA-4247-974B-8D63BB504F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8" authorId="64" shapeId="0" xr:uid="{A4F87F03-1E8E-416C-8180-3186050CD61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6" authorId="65" shapeId="0" xr:uid="{D8D84702-C2AB-408C-82E7-4C92F0C2BA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7" authorId="66" shapeId="0" xr:uid="{9E865F64-F237-44DD-A444-BE5E5BCA91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8" authorId="67" shapeId="0" xr:uid="{E9E95521-B791-4613-BC2D-A1FDF3D3C8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9" authorId="68" shapeId="0" xr:uid="{457267DD-B746-4F5F-9B84-8863EECE9C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0" authorId="69" shapeId="0" xr:uid="{AFAFBBDE-BF2C-4BFF-AC91-2866CF9387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2" authorId="70" shapeId="0" xr:uid="{3039CFAC-07D9-4A0A-89A0-96BDC2215C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4" authorId="71" shapeId="0" xr:uid="{E38F5603-98C1-4AD4-A4D1-A4BE02870E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9" authorId="72" shapeId="0" xr:uid="{AC83D723-B0E8-4C14-88C8-6B96B4BAC6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0" authorId="73" shapeId="0" xr:uid="{5E1760D1-75DA-42AE-AE34-5C21D61CE3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3" authorId="74" shapeId="0" xr:uid="{31F2B9FF-8144-4AF2-A03F-43AF10B003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4" authorId="75" shapeId="0" xr:uid="{5CEE57F8-8A59-41FE-ABDA-83715BE57E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5" authorId="76" shapeId="0" xr:uid="{BC22A7BF-CECB-4571-BE08-C06406F2C0A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7" authorId="77" shapeId="0" xr:uid="{1FAA760E-6E9A-438E-BEA7-2A3473CDF7E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8" authorId="78" shapeId="0" xr:uid="{883D96F3-3374-404F-BA43-A77993BB0D8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9" authorId="79" shapeId="0" xr:uid="{7D1BF468-2A43-4470-9DF5-BFA927E7B5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3" authorId="80" shapeId="0" xr:uid="{2E832B62-AECF-4C80-898F-D94C9764CA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4" authorId="81" shapeId="0" xr:uid="{346B7F39-0B76-4FC1-B789-8A69F77270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6" authorId="82" shapeId="0" xr:uid="{A3567B78-864E-42B4-A405-31CB10E88D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0" authorId="83" shapeId="0" xr:uid="{2AEE0050-DAE1-45CE-AD91-2B9F6620FD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6" authorId="84" shapeId="0" xr:uid="{801AF8FA-1013-439B-9AEA-069D7BEA79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8" authorId="85" shapeId="0" xr:uid="{D6537820-C46B-496E-AF6A-77B867ADF4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9" authorId="86" shapeId="0" xr:uid="{236DCEE3-EE9C-4497-82B1-53CE30167E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2" authorId="87" shapeId="0" xr:uid="{14675B39-CFAF-4984-B2E4-52E792B7B2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4" authorId="88" shapeId="0" xr:uid="{AD635C83-3B91-46B6-9B90-AEE4E40680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5" authorId="89" shapeId="0" xr:uid="{84D8F096-5752-47B0-B03F-4E9399D010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0" authorId="90" shapeId="0" xr:uid="{E5DE330E-4E51-4C73-A6A9-89891489C3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4" authorId="91" shapeId="0" xr:uid="{9F9734C1-79B1-49D7-A18E-E8E226014D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0" authorId="92" shapeId="0" xr:uid="{C176F9DC-71FF-457D-8DA1-E5513532C3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3" authorId="93" shapeId="0" xr:uid="{03A9CA7D-BBB7-4AF8-946A-6A526761E9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4" authorId="94" shapeId="0" xr:uid="{A4E06318-01AE-4BDD-85D4-9894BE7E46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5" authorId="95" shapeId="0" xr:uid="{0AF55998-4651-4097-86E8-4D74D4D233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6" authorId="96" shapeId="0" xr:uid="{6E869780-5388-4D19-8E0A-E9D519BA1F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8" authorId="97" shapeId="0" xr:uid="{64CB1850-9107-45C5-B0AF-0326127ED7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9" authorId="98" shapeId="0" xr:uid="{C2724106-2B1E-4970-96FE-C3206094484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1" authorId="99" shapeId="0" xr:uid="{A493A747-0FBF-4B6D-A650-B622E17881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2" authorId="100" shapeId="0" xr:uid="{808520C5-46B2-4A96-B826-3444336A27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4" authorId="101" shapeId="0" xr:uid="{28BD2CB5-27F6-4F91-9153-6447139765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8" authorId="102" shapeId="0" xr:uid="{3E8D8F2E-B2B8-4B90-9410-E9FE9F73D0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9" authorId="103" shapeId="0" xr:uid="{53EB6BF4-7401-4ACC-9ED8-4623809BD3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0" authorId="104" shapeId="0" xr:uid="{8CFF15C2-7E87-464B-A3A2-12350C772C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3" authorId="105" shapeId="0" xr:uid="{D3541471-FE18-439A-B3BD-3402BCDF88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4" authorId="106" shapeId="0" xr:uid="{75AE8B7D-0D23-4B6E-907E-B3AFC00ACB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5" authorId="107" shapeId="0" xr:uid="{4A38D94C-3447-4668-B4DA-B905D1113D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9" authorId="108" shapeId="0" xr:uid="{1D794948-6223-4AE5-A218-30FE804F26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0" authorId="109" shapeId="0" xr:uid="{BB5F87B3-6600-40C8-990E-916792CD65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1" authorId="110" shapeId="0" xr:uid="{58B966C4-AB62-4034-8CD6-FDD9F816FA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42" authorId="111" shapeId="0" xr:uid="{D59515EB-2AF4-406E-A92E-1B88BE84A8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4" authorId="112" shapeId="0" xr:uid="{5FD22D60-12B8-4226-ADF5-0273A34338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0" authorId="113" shapeId="0" xr:uid="{7AD2AB5B-A12B-48D1-8519-0CC42A0859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51" authorId="114" shapeId="0" xr:uid="{8692332E-1E1C-428E-B311-E1F416D989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253" authorId="115" shapeId="0" xr:uid="{D362F0AF-DB4C-4212-913A-CDE6868190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54" authorId="116" shapeId="0" xr:uid="{D6F17CC6-04E5-48AD-9974-E664F2BF02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tc={6065914b-b520-402d-b9eb-60d627f43dde}</author>
    <author>tc={fc6355eb-a196-4245-ad27-1980d966bb77}</author>
    <author>tc={d9712969-83a1-4ffa-8335-287a462a6b5a}</author>
    <author>tc={4063dcd3-8d7c-4d53-9e87-5fe8eb2bc613}</author>
    <author>tc={e6e5c36b-60d1-4022-b5f0-9e40a3947ca8}</author>
    <author>tc={66df0257-478a-4f1d-b796-09aa51d7a993}</author>
    <author>tc={7b2b610d-511f-4f60-b468-85d71602fe64}</author>
    <author>tc={4e47f701-d482-41a8-8f67-32f8bab2819d}</author>
    <author>tc={5b7af496-8052-4185-8dbc-9af49c9300ca}</author>
    <author>tc={96d2d499-b90d-4962-ab2a-da7457ded89f}</author>
    <author>tc={2cb60775-1330-4300-8799-ce8d088e19b5}</author>
    <author>tc={4c328fe8-5b87-4b33-a97c-bea1e3e433e2}</author>
    <author>tc={c20c3395-85a3-42fc-8c58-81daaca3bf00}</author>
    <author>tc={090db34a-9ad6-47ad-8120-37b9bf29b795}</author>
    <author>tc={e64b7c77-9dc7-46a5-8c1f-4648ed37ced2}</author>
    <author>tc={4151863d-984d-4c4f-8aff-647acd7d534b}</author>
    <author>tc={8af67d19-2ceb-449d-8ede-409e6be5f7f3}</author>
    <author>tc={00b84508-cd59-4bc8-858f-f951283456f1}</author>
    <author>tc={2528127a-6f6f-49d8-861a-905c7f1b4bf4}</author>
    <author>tc={36a70e39-e877-4113-822b-f66b297064e6}</author>
    <author>tc={21e50193-6403-4f39-9eed-b96ddd825759}</author>
    <author>tc={76d193fa-60a8-4e1c-82a3-96e81838834b}</author>
    <author>tc={805480fc-281b-4b0f-a8a6-b782537b6c1f}</author>
    <author>tc={4c3d0dd7-4a51-433e-aa7e-38636a5af031}</author>
    <author>tc={69fd6cc2-d485-4e3a-ad5c-c176fe2b0903}</author>
    <author>tc={756cc789-6e67-4483-9cb6-ad94bebf52e2}</author>
    <author>tc={633fe3b2-2f47-4946-91b7-13bdc6ea2a7a}</author>
    <author>tc={ac0ee64e-85e1-41e7-8125-b4b2152a99e0}</author>
    <author>tc={990f63c8-d56e-41f6-ac2c-dbaac1d73d57}</author>
    <author>tc={1c014460-3193-448c-a8e1-d05643c0df64}</author>
    <author>tc={0681bc00-1128-44a4-b4a8-07011fbe60d7}</author>
    <author>tc={d832902c-c71c-465a-a0d3-cfca69bd36fb}</author>
    <author>tc={4a5e40d3-4750-4c17-8970-5a49ed57785a}</author>
    <author>tc={1ad29237-8117-4f0e-9ff3-a08e1043422b}</author>
    <author>tc={22033752-5657-49e7-83c2-968533e924ab}</author>
    <author>tc={bc9a635e-0d29-4fb4-8b8b-95472516842d}</author>
    <author>tc={dbaa2bab-f5d2-407a-993e-612ce6e7c988}</author>
    <author>tc={5b660c67-8572-4eaa-a336-0446a60f76d8}</author>
    <author>tc={791d1abb-b7a4-4c9f-8ad7-3e50fdb63935}</author>
    <author>tc={06b887a9-83ad-44f8-85ed-780decb76823}</author>
    <author>tc={0db888eb-92af-41f3-b8ea-2e29543aae07}</author>
    <author>tc={3763bbd0-3919-474f-985b-425faba46cfe}</author>
    <author>tc={2947e6dc-59ff-4ab4-998c-c78beb63314a}</author>
    <author>tc={433f6dac-8745-4939-8764-c83d590138c6}</author>
    <author>tc={0174221a-f94e-4018-9387-a4cf071a64b7}</author>
    <author>tc={2ad9c555-08a9-4274-9aaa-3b1f76a1b2e5}</author>
    <author>tc={039b13a2-850e-478e-9d19-efbe2125472f}</author>
    <author>tc={e288ee6b-d17e-4ed5-b8fa-c570f034fdf3}</author>
    <author>tc={645ad54c-c30c-4204-b908-9380291eca6e}</author>
    <author>tc={aff8df17-22af-4557-84b1-6bdd3afd342b}</author>
    <author>tc={6d3fe33c-80e9-4e4a-ada4-03ae771bfc7d}</author>
    <author>tc={30566edc-264c-4c98-b243-f4407e3bd289}</author>
    <author>tc={f3d732b5-ca8c-4472-b9f6-8dcb7de74c96}</author>
    <author>tc={6712d397-99bb-4fd5-9aee-d26bd18dc50c}</author>
    <author>tc={97fc3635-5a10-4512-9d01-f6ce19cdfb2c}</author>
    <author>tc={c27ee2a2-bbbf-45a9-840f-bb256b87ae83}</author>
    <author>tc={44b38f4e-9b9d-41d9-8f6d-f002ad9d903a}</author>
    <author>tc={3036c1c5-2f06-4d4d-bf85-9a169a770145}</author>
    <author>tc={19cc909f-c703-4836-8467-5783d26362b3}</author>
    <author>tc={2f919e37-5567-4080-bf7c-c5a035ab5978}</author>
    <author>tc={fa673b38-786c-4efe-9c24-f928587ef1aa}</author>
    <author>tc={11215e07-2c9a-47a0-85b2-0542de0781c2}</author>
    <author>tc={fce2c833-0d07-4d1b-ac93-cfd885cc1027}</author>
    <author>tc={cac7dd4c-6793-45a6-a9af-2f489251eba4}</author>
    <author>tc={14aa5bad-3354-4f26-bcfa-47385554cd2c}</author>
    <author>tc={81256a28-a037-4494-bc6b-44aafd835cfa}</author>
    <author>tc={a6d297ec-9fba-495d-9b63-82779d8da01f}</author>
    <author>tc={fa30241e-f764-4bda-b75d-4c5215d906e6}</author>
    <author>tc={e5346559-6f46-4009-9564-9d43623e76c2}</author>
    <author>tc={dd7003b5-b874-412f-a1b3-e2e474a45ca4}</author>
    <author>tc={67873ba3-f70a-48ab-8f48-a1acba843ce3}</author>
    <author>tc={d95c11fb-7d52-4056-9b72-9ee88bc2069d}</author>
    <author>tc={ba765591-bd17-493a-b6cb-015ac8648492}</author>
    <author>tc={54c0e0be-0be2-47e6-b397-dc60e61a1075}</author>
    <author>tc={6853775a-4220-44d2-93ed-8289f977276a}</author>
    <author>tc={a31e7811-b247-4069-8415-96685d0312a3}</author>
    <author>tc={b8214833-5694-4662-abd4-d8508d2bc3c0}</author>
    <author>tc={25fd9dcf-d1b9-452a-b2f5-25ca18ca838f}</author>
    <author>tc={8adc503a-aceb-4135-9218-237f340edab0}</author>
    <author>tc={50e55225-829e-48ba-9f08-6f49f217f7e8}</author>
    <author>tc={3fbaf8bb-77bb-4bb9-a489-385e8e61d361}</author>
    <author>tc={625daa08-cc1a-4cd6-9103-76fd358a0eb7}</author>
    <author>tc={8dac833a-f991-4d71-8c4a-94195f88fb0c}</author>
    <author>tc={18b46200-1e31-402d-a8d1-0c81c55fcb44}</author>
    <author>tc={cb7f175a-aeea-435e-ba53-e8ea5d77eb4d}</author>
    <author>tc={4a136caa-d286-43da-84f8-fad94fee8346}</author>
    <author>tc={2ce8b3e5-e169-474f-9408-16b3d2efa614}</author>
    <author>tc={86aff3d2-0866-46dc-b8e3-430939759e4e}</author>
    <author>tc={d95115a0-e18d-40f8-8f2c-950ab15af31e}</author>
  </authors>
  <commentList>
    <comment ref="H3" authorId="0" shapeId="0" xr:uid="{6065914B-B520-402D-B9EB-60D627F43DD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" authorId="1" shapeId="0" xr:uid="{FC6355EB-A196-4245-AD27-1980D966BB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" authorId="2" shapeId="0" xr:uid="{D9712969-83A1-4FFA-8335-287A462A6B5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" authorId="3" shapeId="0" xr:uid="{4063DCD3-8D7C-4D53-9E87-5FE8EB2BC6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" authorId="4" shapeId="0" xr:uid="{E6E5C36B-60D1-4022-B5F0-9E40A3947CA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" authorId="5" shapeId="0" xr:uid="{66DF0257-478A-4F1D-B796-09AA51D7A9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" authorId="6" shapeId="0" xr:uid="{7B2B610D-511F-4F60-B468-85D71602FE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" authorId="7" shapeId="0" xr:uid="{4E47F701-D482-41A8-8F67-32F8BAB281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" authorId="8" shapeId="0" xr:uid="{5B7AF496-8052-4185-8DBC-9AF49C9300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" authorId="9" shapeId="0" xr:uid="{96D2D499-B90D-4962-AB2A-DA7457DED8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" authorId="10" shapeId="0" xr:uid="{2CB60775-1330-4300-8799-CE8D088E19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5" authorId="11" shapeId="0" xr:uid="{4C328FE8-5B87-4B33-A97C-BEA1E3E433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7" authorId="12" shapeId="0" xr:uid="{C20C3395-85A3-42FC-8C58-81DAACA3BF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4" authorId="13" shapeId="0" xr:uid="{090DB34A-9AD6-47AD-8120-37B9BF29B7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5" authorId="14" shapeId="0" xr:uid="{E64B7C77-9DC7-46A5-8C1F-4648ED37CE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7" authorId="15" shapeId="0" xr:uid="{4151863D-984D-4C4F-8AFF-647ACD7D53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4" authorId="16" shapeId="0" xr:uid="{8AF67D19-2CEB-449D-8EDE-409E6BE5F7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6" authorId="17" shapeId="0" xr:uid="{00B84508-CD59-4BC8-858F-F951283456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7" authorId="18" shapeId="0" xr:uid="{2528127A-6F6F-49D8-861A-905C7F1B4B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3" authorId="19" shapeId="0" xr:uid="{36A70E39-E877-4113-822B-F66B297064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4" authorId="20" shapeId="0" xr:uid="{21E50193-6403-4F39-9EED-B96DDD8257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7" authorId="21" shapeId="0" xr:uid="{76D193FA-60A8-4E1C-82A3-96E8183883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1" authorId="22" shapeId="0" xr:uid="{805480FC-281B-4B0F-A8A6-B782537B6C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2" authorId="23" shapeId="0" xr:uid="{4C3D0DD7-4A51-433E-AA7E-38636A5AF0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4" authorId="24" shapeId="0" xr:uid="{69FD6CC2-D485-4E3A-AD5C-C176FE2B09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6" authorId="25" shapeId="0" xr:uid="{756CC789-6E67-4483-9CB6-AD94BEBF52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7" authorId="26" shapeId="0" xr:uid="{633FE3B2-2F47-4946-91B7-13BDC6EA2A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8" authorId="27" shapeId="0" xr:uid="{AC0EE64E-85E1-41E7-8125-B4B2152A99E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9" authorId="28" shapeId="0" xr:uid="{990F63C8-D56E-41F6-AC2C-DBAAC1D73D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2" authorId="29" shapeId="0" xr:uid="{1C014460-3193-448C-A8E1-D05643C0DF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4" authorId="30" shapeId="0" xr:uid="{0681BC00-1128-44A4-B4A8-07011FBE60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5" authorId="31" shapeId="0" xr:uid="{D832902C-C71C-465A-A0D3-CFCA69BD36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9" authorId="32" shapeId="0" xr:uid="{4A5E40D3-4750-4C17-8970-5A49ED57785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0" authorId="33" shapeId="0" xr:uid="{1AD29237-8117-4F0E-9FF3-A08E104342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1" authorId="34" shapeId="0" xr:uid="{22033752-5657-49E7-83C2-968533E924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2" authorId="35" shapeId="0" xr:uid="{BC9A635E-0D29-4FB4-8B8B-9547251684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83" authorId="36" shapeId="0" xr:uid="{DBAA2BAB-F5D2-407A-993E-612CE6E7C9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88" authorId="37" shapeId="0" xr:uid="{5B660C67-8572-4EAA-A336-0446A60F76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9" authorId="38" shapeId="0" xr:uid="{791D1ABB-B7A4-4C9F-8AD7-3E50FDB639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0" authorId="39" shapeId="0" xr:uid="{06B887A9-83AD-44F8-85ED-780DECB768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1" authorId="40" shapeId="0" xr:uid="{0DB888EB-92AF-41F3-B8EA-2E29543AAE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5" authorId="41" shapeId="0" xr:uid="{3763BBD0-3919-474F-985B-425FABA46C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7" authorId="42" shapeId="0" xr:uid="{2947E6DC-59FF-4AB4-998C-C78BEB6331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8" authorId="43" shapeId="0" xr:uid="{433F6DAC-8745-4939-8764-C83D590138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9" authorId="44" shapeId="0" xr:uid="{0174221A-F94E-4018-9387-A4CF071A64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2" authorId="45" shapeId="0" xr:uid="{2AD9C555-08A9-4274-9AAA-3B1F76A1B2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3" authorId="46" shapeId="0" xr:uid="{039B13A2-850E-478E-9D19-EFBE212547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4" authorId="47" shapeId="0" xr:uid="{E288EE6B-D17E-4ED5-B8FA-C570F034FD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7" authorId="48" shapeId="0" xr:uid="{645AD54C-C30C-4204-B908-9380291ECA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9" authorId="49" shapeId="0" xr:uid="{AFF8DF17-22AF-4557-84B1-6BDD3AFD342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23" authorId="50" shapeId="0" xr:uid="{6D3FE33C-80E9-4E4A-ADA4-03AE771BFC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9" authorId="51" shapeId="0" xr:uid="{30566EDC-264C-4C98-B243-F4407E3BD2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0" authorId="52" shapeId="0" xr:uid="{F3D732B5-CA8C-4472-B9F6-8DCB7DE74C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1" authorId="53" shapeId="0" xr:uid="{6712D397-99BB-4FD5-9AEE-D26BD18DC5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2" authorId="54" shapeId="0" xr:uid="{97FC3635-5A10-4512-9D01-F6CE19CDFB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0" authorId="55" shapeId="0" xr:uid="{C27EE2A2-BBBF-45A9-840F-BB256B87AE8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56" shapeId="0" xr:uid="{44B38F4E-9B9D-41D9-8F6D-F002AD9D90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2" authorId="57" shapeId="0" xr:uid="{3036C1C5-2F06-4D4D-BF85-9A169A7701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3" authorId="58" shapeId="0" xr:uid="{19CC909F-C703-4836-8467-5783D26362B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7" authorId="59" shapeId="0" xr:uid="{2F919E37-5567-4080-BF7C-C5A035AB59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0" authorId="60" shapeId="0" xr:uid="{FA673B38-786C-4EFE-9C24-F928587EF1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4" authorId="61" shapeId="0" xr:uid="{11215E07-2C9A-47A0-85B2-0542DE0781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6" authorId="62" shapeId="0" xr:uid="{FCE2C833-0D07-4D1B-AC93-CFD885CC10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9" authorId="63" shapeId="0" xr:uid="{CAC7DD4C-6793-45A6-A9AF-2F489251EB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7" authorId="64" shapeId="0" xr:uid="{14AA5BAD-3354-4F26-BCFA-47385554CD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78" authorId="65" shapeId="0" xr:uid="{81256A28-A037-4494-BC6B-44AAFD835C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79" authorId="66" shapeId="0" xr:uid="{A6D297EC-9FBA-495D-9B63-82779D8DA0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80" authorId="67" shapeId="0" xr:uid="{FA30241E-F764-4BDA-B75D-4C5215D906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1" authorId="68" shapeId="0" xr:uid="{E5346559-6F46-4009-9564-9D43623E76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3" authorId="69" shapeId="0" xr:uid="{DD7003B5-B874-412F-A1B3-E2E474A45C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2" authorId="70" shapeId="0" xr:uid="{67873BA3-F70A-48AB-8F48-A1ACBA843C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3" authorId="71" shapeId="0" xr:uid="{D95C11FB-7D52-4056-9B72-9EE88BC206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4" authorId="72" shapeId="0" xr:uid="{BA765591-BD17-493A-B6CB-015AC864849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5" authorId="73" shapeId="0" xr:uid="{54C0E0BE-0BE2-47E6-B397-DC60E61A107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6" authorId="74" shapeId="0" xr:uid="{6853775A-4220-44D2-93ED-8289F97727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7" authorId="75" shapeId="0" xr:uid="{A31E7811-B247-4069-8415-96685D0312A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8" authorId="76" shapeId="0" xr:uid="{B8214833-5694-4662-ABD4-D8508D2BC3C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9" authorId="77" shapeId="0" xr:uid="{25FD9DCF-D1B9-452A-B2F5-25CA18CA83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3" authorId="78" shapeId="0" xr:uid="{8ADC503A-ACEB-4135-9218-237F340EDA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TRANSFERENCIA+ FACTURA</t>
      </text>
    </comment>
    <comment ref="H204" authorId="79" shapeId="0" xr:uid="{50E55225-829E-48BA-9F08-6F49F217F7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6" authorId="80" shapeId="0" xr:uid="{3FBAF8BB-77BB-4BB9-A489-385E8E61D3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7" authorId="81" shapeId="0" xr:uid="{625DAA08-CC1A-4CD6-9103-76FD358A0E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8" authorId="82" shapeId="0" xr:uid="{8DAC833A-F991-4D71-8C4A-94195F88FB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1" authorId="83" shapeId="0" xr:uid="{18B46200-1E31-402D-A8D1-0C81C55FCB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2" authorId="84" shapeId="0" xr:uid="{CB7F175A-AEEA-435E-BA53-E8EA5D77EB4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3" authorId="85" shapeId="0" xr:uid="{4A136CAA-D286-43DA-84F8-FAD94FEE83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5" authorId="86" shapeId="0" xr:uid="{2CE8B3E5-E169-474F-9408-16B3D2EFA61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6" authorId="87" shapeId="0" xr:uid="{86AFF3D2-0866-46DC-B8E3-430939759E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7" authorId="88" shapeId="0" xr:uid="{D95115A0-E18D-40F8-8F2C-950AB15AF3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tc={9781e331-370f-4bc6-929b-46dc809e61f4}</author>
    <author>tc={4de6c9fc-a284-49b5-a065-90caa3b85cd3}</author>
    <author>tc={b13dca56-0d2d-4dfa-aa47-ec60a29226cc}</author>
    <author>tc={e6c9b3f0-416e-4cc3-8e99-019174cbd016}</author>
    <author>tc={d71570a0-0ed3-4f8c-89f3-392b642d57d7}</author>
    <author>tc={c5f3892f-ba0a-4e5c-aeb1-9fcd20d92212}</author>
    <author>tc={2cc89690-457e-4d9f-93b0-cb8924a0cbd8}</author>
    <author>tc={ef76949a-599f-4175-b204-7bc2842f4082}</author>
    <author>tc={facf4266-ccf5-4470-99a3-bb38b175532e}</author>
    <author>tc={e11fa067-a897-46aa-a8c4-2d758a0abe2e}</author>
    <author>tc={9d114b0c-7e35-4978-9ed2-3b612f805620}</author>
    <author>tc={d554ec21-1012-4fa2-8b42-25d092be10d6}</author>
    <author>tc={5657422f-5f4f-4727-b1a7-b7000d03d1fe}</author>
    <author>tc={b8e9df53-5904-4c84-a4bf-f539508d39b5}</author>
    <author>tc={f081ee1e-2681-4a67-ba36-06c9f0071c01}</author>
    <author>tc={5c599289-0183-4c30-b366-3f3e6d432c3f}</author>
    <author>tc={2e1cd682-44d5-4592-962d-9796978b3524}</author>
    <author>tc={e59588df-8778-4c08-ae05-038ac533af5d}</author>
    <author>tc={7b452655-ae63-4664-b983-c56dada59f31}</author>
    <author>tc={ae750acd-ffe8-454b-8a70-5fb48184d976}</author>
    <author>tc={bce971b6-68e8-4e18-82ed-6a6558e30888}</author>
    <author>tc={a406d233-3147-4c38-a73e-1579fe8d4cb6}</author>
    <author>tc={827857c5-2326-4acd-ae45-129e214916b2}</author>
    <author>tc={39060fb5-9021-46f1-9391-2f20ec62d0dd}</author>
    <author>tc={fc3d1079-5fc7-47a5-9dd6-25c122ba5b8c}</author>
    <author>tc={c87035ea-e888-414d-b713-8cdf4b2c7cd2}</author>
    <author>tc={00cbfed1-25a7-42a6-aa14-b1d9e3b55cab}</author>
    <author>tc={97a17458-9904-4ccf-9053-f2f2e740eb80}</author>
    <author>tc={9e7a375b-e5ba-4df9-bdfe-986e78dc74ca}</author>
    <author>tc={8106ce41-5852-4397-af0f-f59e04e22d53}</author>
    <author>tc={8ca113f1-15af-43b7-a746-c29f46b2c6f9}</author>
    <author>tc={ddbf7bac-3fa0-4c7a-9449-4b86b3e75bb6}</author>
    <author>tc={8197eadb-0d1c-4876-a1de-2ee881f09ec3}</author>
    <author>tc={61e45c0f-3718-44a9-8d03-55bdf03d4d56}</author>
    <author>tc={96ce0856-d506-4c57-9866-3e5eeb85aaae}</author>
    <author>tc={8afd2964-df17-46da-b991-7d773649578b}</author>
    <author>tc={ce947146-099b-478d-a11f-d3665b385eee}</author>
    <author>tc={87f2b00b-ca2a-47f7-9686-ea3945f603d5}</author>
    <author>tc={55d17d79-be4f-41b6-b2af-8a314bc61261}</author>
    <author>tc={0613d572-76f8-4716-b890-5e8cb0b66e37}</author>
    <author>tc={4a20142a-3523-4eef-aaf4-b8821395a0d3}</author>
    <author>tc={1bc1fe25-fed6-4ba9-9a63-96fed924e805}</author>
    <author>tc={bfa4b80f-c20d-40bc-88c3-8da91bebf526}</author>
    <author>tc={951366b8-4403-45d9-9641-88a5b745149e}</author>
    <author>tc={8080e245-258e-4094-b9d3-898a4c020a7a}</author>
    <author>tc={de8132c5-c9fb-449f-8049-95cd098f076e}</author>
    <author>tc={39b7b4bd-ee52-4948-9766-1083675cb741}</author>
    <author>tc={e4255ff2-67d4-41c6-9f59-659577ec8971}</author>
    <author>tc={8078f85f-70ed-4f16-8b71-2866ff39bb9c}</author>
    <author>tc={bfab9824-e093-4118-b7e0-31736adf3bb6}</author>
    <author>tc={7f07185b-6de3-4301-b879-1e65763f17d8}</author>
    <author>tc={c15606dd-bfc0-4494-8d4e-c1d3341bb0c3}</author>
    <author>tc={b3bc4d15-6b0b-44b1-94ba-1853b775f940}</author>
    <author>tc={cb5f730f-d6da-456f-8d5b-4fe966616417}</author>
    <author>tc={4aa55890-cee3-4be6-afda-bcce6cf2b573}</author>
    <author>tc={a87e0318-e84e-48ce-b94f-97944ce8b362}</author>
    <author>tc={6dd102ef-95e1-4da8-95d2-344c3132cc3e}</author>
    <author>tc={7dce1efb-72d8-4c4d-b967-3cbca941732c}</author>
    <author>tc={39bbd494-79f8-4c6f-8510-face8bb0acae}</author>
    <author>tc={8e17d373-f19f-464d-826b-5b867621046d}</author>
    <author>tc={d218f7b9-836f-4fee-8c0e-5f1abc7c8fae}</author>
    <author>tc={33104461-b7f8-4e03-879f-f3be35369746}</author>
    <author>tc={a381ebf0-e5c0-4f39-8e77-1a0cc02251eb}</author>
    <author>tc={b6ea7ea8-2909-4720-8971-ba9bcb097f7c}</author>
    <author>tc={5b79616b-c048-44ab-bf2d-2c950df1e706}</author>
    <author>tc={6cddd4d8-6ca3-47d7-983a-1c13d569094c}</author>
    <author>tc={da756ff2-882f-4a01-b1a7-0f3407fdc916}</author>
    <author>tc={b63f8436-3884-491c-8578-25befb55615e}</author>
    <author>tc={e7754506-0b37-4f5c-85e4-e0f06e6e9b6f}</author>
    <author>tc={be723b68-3001-4d67-8fcf-9e073792ba9d}</author>
    <author>tc={3abd9e36-7484-488a-9cf3-8acc94e65501}</author>
    <author>tc={c48a64ff-bda8-470d-9195-291a269bb8be}</author>
    <author>tc={f76cd174-4523-4177-9f0d-b58b72cc00ba}</author>
    <author>tc={404024e3-5db0-41ea-86af-a3dcfa87ab3e}</author>
    <author>tc={ee75fe42-620d-4bea-95b6-11b55ff29b20}</author>
    <author>tc={65dc23f1-cd0c-4f37-a779-852c4fc7f885}</author>
    <author>tc={45a8eff5-af2c-4b8c-a4fb-e48340ae32dc}</author>
    <author>tc={78c30527-3d78-4e7d-add7-03d607a2d4a1}</author>
    <author>tc={5deebe17-7558-4376-b9d2-eb71d0b0cb02}</author>
    <author>tc={f8e41a05-1a1e-434d-9bca-9b95be88368f}</author>
    <author>tc={387f7776-8bea-44b6-a45d-c02d0fbe7176}</author>
    <author>tc={8128ec07-3cab-42e3-a595-dde90f918ceb}</author>
    <author>tc={a19c82d0-9911-4217-af00-f104efbbae44}</author>
    <author>tc={58112d84-7c34-4eca-ba7c-724b42af9e34}</author>
    <author>tc={e624e4cc-ca82-4ef8-a363-c161b670bc4a}</author>
    <author>tc={596bd376-5977-49ff-880d-9919fa12ae47}</author>
    <author>tc={d01ffef7-9a71-47ce-8f38-92d750da78c6}</author>
  </authors>
  <commentList>
    <comment ref="H6" authorId="0" shapeId="0" xr:uid="{9781E331-370F-4BC6-929B-46DC809E61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" authorId="1" shapeId="0" xr:uid="{4DE6C9FC-A284-49B5-A065-90CAA3B85C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" authorId="2" shapeId="0" xr:uid="{B13DCA56-0D2D-4DFA-AA47-EC60A29226C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" authorId="3" shapeId="0" xr:uid="{E6C9B3F0-416E-4CC3-8E99-019174CBD0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" authorId="4" shapeId="0" xr:uid="{D71570A0-0ED3-4F8C-89F3-392B642D57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5" shapeId="0" xr:uid="{C5F3892F-BA0A-4E5C-AEB1-9FCD20D922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6" authorId="6" shapeId="0" xr:uid="{2CC89690-457E-4D9F-93B0-CB8924A0CB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" authorId="7" shapeId="0" xr:uid="{EF76949A-599F-4175-B204-7BC2842F40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2" authorId="8" shapeId="0" xr:uid="{FACF4266-CCF5-4470-99A3-BB38B17553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3" authorId="9" shapeId="0" xr:uid="{E11FA067-A897-46AA-A8C4-2D758A0ABE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4" authorId="10" shapeId="0" xr:uid="{9D114B0C-7E35-4978-9ED2-3B612F8056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5" authorId="11" shapeId="0" xr:uid="{D554EC21-1012-4FA2-8B42-25D092BE10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7" authorId="12" shapeId="0" xr:uid="{5657422F-5F4F-4727-B1A7-B7000D03D1F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4" authorId="13" shapeId="0" xr:uid="{B8E9DF53-5904-4C84-A4BF-F539508D39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5" authorId="14" shapeId="0" xr:uid="{F081EE1E-2681-4A67-BA36-06C9F0071C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8" authorId="15" shapeId="0" xr:uid="{5C599289-0183-4C30-B366-3F3E6D432C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9" authorId="16" shapeId="0" xr:uid="{2E1CD682-44D5-4592-962D-9796978B35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0" authorId="17" shapeId="0" xr:uid="{E59588DF-8778-4C08-AE05-038AC533AF5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1" authorId="18" shapeId="0" xr:uid="{7B452655-AE63-4664-B983-C56DADA59F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2" authorId="19" shapeId="0" xr:uid="{AE750ACD-FFE8-454B-8A70-5FB48184D9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4" authorId="20" shapeId="0" xr:uid="{BCE971B6-68E8-4E18-82ED-6A6558E308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TRASFERENCIA</t>
      </text>
    </comment>
    <comment ref="H55" authorId="21" shapeId="0" xr:uid="{A406D233-3147-4C38-A73E-1579FE8D4C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TRASNSFERENCIA</t>
      </text>
    </comment>
    <comment ref="H57" authorId="22" shapeId="0" xr:uid="{827857C5-2326-4ACD-AE45-129E214916B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8" authorId="23" shapeId="0" xr:uid="{39060FB5-9021-46F1-9391-2F20EC62D0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9" authorId="24" shapeId="0" xr:uid="{FC3D1079-5FC7-47A5-9DD6-25C122BA5B8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1" authorId="25" shapeId="0" xr:uid="{C87035EA-E888-414D-B713-8CDF4B2C7C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2" authorId="26" shapeId="0" xr:uid="{00CBFED1-25A7-42A6-AA14-B1D9E3B55C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3" authorId="27" shapeId="0" xr:uid="{97A17458-9904-4CCF-9053-F2F2E740EB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4" authorId="28" shapeId="0" xr:uid="{9E7A375B-E5BA-4DF9-BDFE-986E78DC74C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7" authorId="29" shapeId="0" xr:uid="{8106CE41-5852-4397-AF0F-F59E04E22D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1" authorId="30" shapeId="0" xr:uid="{8CA113F1-15AF-43B7-A746-C29F46B2C6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4" authorId="31" shapeId="0" xr:uid="{DDBF7BAC-3FA0-4C7A-9449-4B86B3E75B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6" authorId="32" shapeId="0" xr:uid="{8197EADB-0D1C-4876-A1DE-2EE881F09E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0" authorId="33" shapeId="0" xr:uid="{61E45C0F-3718-44A9-8D03-55BDF03D4D5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9" authorId="34" shapeId="0" xr:uid="{96CE0856-D506-4C57-9866-3E5EEB85AA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2" authorId="35" shapeId="0" xr:uid="{8AFD2964-DF17-46DA-B991-7D77364957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5" authorId="36" shapeId="0" xr:uid="{CE947146-099B-478D-A11F-D3665B385EE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8" authorId="37" shapeId="0" xr:uid="{87F2B00B-CA2A-47F7-9686-EA3945F603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9" authorId="38" shapeId="0" xr:uid="{55D17D79-BE4F-41B6-B2AF-8A314BC6126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2" authorId="39" shapeId="0" xr:uid="{0613D572-76F8-4716-B890-5E8CB0B66E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3" authorId="40" shapeId="0" xr:uid="{4A20142A-3523-4EEF-AAF4-B8821395A0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4" authorId="41" shapeId="0" xr:uid="{1BC1FE25-FED6-4BA9-9A63-96FED924E8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5" authorId="42" shapeId="0" xr:uid="{BFA4B80F-C20D-40BC-88C3-8DA91BEBF52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6" authorId="43" shapeId="0" xr:uid="{951366B8-4403-45D9-9641-88A5B745149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8" authorId="44" shapeId="0" xr:uid="{8080E245-258E-4094-B9D3-898A4C020A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9" authorId="45" shapeId="0" xr:uid="{DE8132C5-C9FB-449F-8049-95CD098F07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2" authorId="46" shapeId="0" xr:uid="{39B7B4BD-EE52-4948-9766-1083675CB7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3" authorId="47" shapeId="0" xr:uid="{E4255FF2-67D4-41C6-9F59-659577EC89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4" authorId="48" shapeId="0" xr:uid="{8078F85F-70ED-4F16-8B71-2866FF39BB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5" authorId="49" shapeId="0" xr:uid="{BFAB9824-E093-4118-B7E0-31736ADF3B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6" authorId="50" shapeId="0" xr:uid="{7F07185B-6DE3-4301-B879-1E65763F17D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9" authorId="51" shapeId="0" xr:uid="{C15606DD-BFC0-4494-8D4E-C1D3341BB0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1" authorId="52" shapeId="0" xr:uid="{B3BC4D15-6B0B-44B1-94BA-1853B775F9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2" authorId="53" shapeId="0" xr:uid="{CB5F730F-D6DA-456F-8D5B-4FE9666164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3" authorId="54" shapeId="0" xr:uid="{4AA55890-CEE3-4BE6-AFDA-BCCE6CF2B5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4" authorId="55" shapeId="0" xr:uid="{A87E0318-E84E-48CE-B94F-97944CE8B3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7" authorId="56" shapeId="0" xr:uid="{6DD102EF-95E1-4DA8-95D2-344C3132CC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8" authorId="57" shapeId="0" xr:uid="{7DCE1EFB-72D8-4C4D-B967-3CBCA94173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9" authorId="58" shapeId="0" xr:uid="{39BBD494-79F8-4C6F-8510-FACE8BB0AC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1" authorId="59" shapeId="0" xr:uid="{8E17D373-F19F-464D-826B-5B86762104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3" authorId="60" shapeId="0" xr:uid="{D218F7B9-836F-4FEE-8C0E-5F1ABC7C8F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61" shapeId="0" xr:uid="{33104461-B7F8-4E03-879F-F3BE3536974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6" authorId="62" shapeId="0" xr:uid="{A381EBF0-E5C0-4F39-8E77-1A0CC02251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7" authorId="63" shapeId="0" xr:uid="{B6EA7EA8-2909-4720-8971-BA9BCB097F7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Trasnferencia</t>
      </text>
    </comment>
    <comment ref="H148" authorId="64" shapeId="0" xr:uid="{5B79616B-C048-44AB-BF2D-2C950DF1E7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2" authorId="65" shapeId="0" xr:uid="{6CDDD4D8-6CA3-47D7-983A-1C13D56909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5" authorId="66" shapeId="0" xr:uid="{DA756FF2-882F-4A01-B1A7-0F3407FDC9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6" authorId="67" shapeId="0" xr:uid="{B63F8436-3884-491C-8578-25BEFB5561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7" authorId="68" shapeId="0" xr:uid="{E7754506-0B37-4F5C-85E4-E0F06E6E9B6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8" authorId="69" shapeId="0" xr:uid="{BE723B68-3001-4D67-8FCF-9E073792BA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1" authorId="70" shapeId="0" xr:uid="{3ABD9E36-7484-488A-9CF3-8ACC94E655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5" authorId="71" shapeId="0" xr:uid="{C48A64FF-BDA8-470D-9195-291A269BB8B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7" authorId="72" shapeId="0" xr:uid="{F76CD174-4523-4177-9F0D-B58B72CC00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8" authorId="73" shapeId="0" xr:uid="{404024E3-5DB0-41EA-86AF-A3DCFA87AB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2" authorId="74" shapeId="0" xr:uid="{EE75FE42-620D-4BEA-95B6-11B55FF29B2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3" authorId="75" shapeId="0" xr:uid="{65DC23F1-CD0C-4F37-A779-852C4FC7F8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factura</t>
      </text>
    </comment>
    <comment ref="H177" authorId="76" shapeId="0" xr:uid="{45A8EFF5-AF2C-4B8C-A4FB-E48340AE32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9" authorId="77" shapeId="0" xr:uid="{78C30527-3D78-4E7D-ADD7-03D607A2D4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0" authorId="78" shapeId="0" xr:uid="{5DEEBE17-7558-4376-B9D2-EB71D0B0CB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1" authorId="79" shapeId="0" xr:uid="{F8E41A05-1A1E-434D-9BCA-9B95BE8836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3" authorId="80" shapeId="0" xr:uid="{387F7776-8BEA-44B6-A45D-C02D0FBE717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4" authorId="81" shapeId="0" xr:uid="{8128EC07-3CAB-42E3-A595-DDE90F918C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5" authorId="82" shapeId="0" xr:uid="{A19C82D0-9911-4217-AF00-F104EFBBAE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6" authorId="83" shapeId="0" xr:uid="{58112D84-7C34-4ECA-BA7C-724B42AF9E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8" authorId="84" shapeId="0" xr:uid="{E624E4CC-CA82-4EF8-A363-C161B670BC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9" authorId="85" shapeId="0" xr:uid="{596BD376-5977-49FF-880D-9919FA12AE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0" authorId="86" shapeId="0" xr:uid="{D01FFEF7-9A71-47CE-8F38-92D750DA78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tc={d52d470a-61cf-4506-a5e9-53b6dacd2ce6}</author>
    <author>tc={5a1e3a77-a02a-4bc8-aa38-7d77a957f286}</author>
    <author>tc={bce2b693-e4cc-45e7-9b40-2ae7ff976c59}</author>
    <author>tc={f21d8111-3cb3-4186-9e6d-8a8f02d641f3}</author>
    <author>tc={d92a2d56-c830-406a-9323-b31989ec5572}</author>
    <author>tc={d4957909-73b6-43c4-90a5-7b0a36ced03d}</author>
    <author>tc={db5b22f4-6c41-4e2f-afac-04e3a0065622}</author>
    <author>tc={43432a9f-3933-42ef-82a6-d587267a182a}</author>
    <author>tc={6ac5ae5b-029c-4dd4-b94b-586b9950b994}</author>
    <author>tc={562ca929-cef2-4d04-967e-07dbd8ba2f7e}</author>
    <author>tc={bb2fa1a7-2a38-45c4-86bd-3e2844347548}</author>
    <author>tc={1d2f951c-72da-4da2-8973-de52678c743c}</author>
    <author>tc={11427ce2-38c0-42a4-97e7-e469e3201717}</author>
    <author>tc={1f8e4716-7d18-46ad-8fd8-bc310e8fa20f}</author>
    <author>tc={7f867692-dba6-4c1b-94e3-b9e0f11fb4b6}</author>
    <author>tc={82e40931-ac35-4e42-8bd3-e33321b5822d}</author>
    <author>tc={f12baf4b-b72a-4d98-bb42-45b8ed61abb8}</author>
    <author>tc={efd8deeb-d4ef-401f-acee-fe4fe77e667a}</author>
    <author>tc={341f10f8-1c46-4e46-b2e0-95df874dcf41}</author>
    <author>tc={3760584a-3a9e-4e6b-8163-9b0c2fe30f53}</author>
    <author>tc={00dc39e8-ad9c-4910-88eb-ee955c31fd7d}</author>
    <author>tc={d79ee775-3dd8-4545-8eb0-a33b1c656e0f}</author>
    <author>tc={938aee6f-0de3-434d-94e6-d0b0d0d89afc}</author>
    <author>tc={b13bfd28-0523-4756-b610-64446ad30089}</author>
    <author>tc={d08706d3-a0bd-4dc8-a64d-2349be68f9d7}</author>
    <author>tc={821047e4-a34b-4cf0-9934-47e84e202b82}</author>
    <author>tc={38798802-dfd7-4d5b-9d3c-1f052fff4393}</author>
    <author>tc={fd0664da-949a-4e09-8907-6ee0a4a999d1}</author>
    <author>tc={f53fbc16-8a09-4e22-afe7-5b8df465aa02}</author>
    <author>tc={08570b6b-9a60-4cde-b7e0-94f9eae520c8}</author>
    <author>tc={919d2218-841b-48ca-8d2a-db39ae705b89}</author>
    <author>tc={cb1211d8-6c65-41a3-a401-8cb3be072b45}</author>
    <author>tc={5a9e4641-60fd-4fd3-9438-d74b8bc03d80}</author>
    <author>tc={ff61d4ea-1472-4862-91da-d705f2fbdb95}</author>
    <author>tc={af210050-d78e-4b6d-ab97-5bfeac294917}</author>
    <author>tc={a38a7e15-816f-46ce-8d2d-020fb855285e}</author>
    <author>tc={f5570327-effc-4f04-8562-67c3a2047d18}</author>
    <author>tc={ee866425-f7d9-4173-b3f3-727736e40f3c}</author>
    <author>tc={0a76b02e-d290-4f2b-b645-bf31a21aa264}</author>
    <author>tc={5002155d-7166-4a60-a7fd-19210555b4b4}</author>
    <author>tc={da845193-f65b-4e6b-81ac-e828d96d9af2}</author>
    <author>tc={7ffbb65a-1c8a-4360-aad7-7d36118f7e54}</author>
    <author>tc={70aaafbb-f1b2-4ff2-858c-8dfb1b770a93}</author>
    <author>tc={dc94ecf8-62ad-407c-ae52-65d745ba313b}</author>
    <author>tc={ed398388-1367-4e57-abd9-212ab85d2b65}</author>
    <author>tc={5cdfe6c5-4ed8-4740-a404-285bb98a1963}</author>
    <author>tc={a8acd48a-3a27-4128-a058-18181a1905d5}</author>
    <author>tc={9e12ed0f-3475-4aaa-98ae-79c81e6b8694}</author>
    <author>tc={b6030ba6-0385-4394-a92c-a4cab1a53e17}</author>
    <author>tc={0d2e9bd8-44a7-4c35-b6db-abe4842e568a}</author>
    <author>tc={e3791136-f382-463c-aa81-cdb138530238}</author>
    <author>tc={fcdf67a3-5ad6-4894-a809-99584d86814a}</author>
    <author>tc={eafc79f8-7d26-4932-a88e-8a075f57f5a9}</author>
    <author>tc={71ea7651-5fe1-4f59-918b-38095803cad6}</author>
    <author>tc={3f583fac-e378-4ae6-a7a2-07c683a38efa}</author>
    <author>tc={be9fe2ac-f498-4736-ad05-22e2866a4940}</author>
    <author>tc={0668d731-a96c-4180-901b-7b660ea1ac17}</author>
    <author>tc={a9475bf0-d880-4aa7-a6d0-77cdbf1caf06}</author>
    <author>tc={48b2190b-ddb0-435f-8006-db4ac36eaf7b}</author>
    <author>tc={34df46aa-5a42-490c-816b-293a1fcf6263}</author>
    <author>tc={6cf49a87-0a75-4a3e-835c-4141c48aef93}</author>
    <author>tc={f2835bd7-16ac-42e3-a870-fc9471392c01}</author>
    <author>tc={553a9f49-8565-4680-b6f9-d3f9666fbbb1}</author>
    <author>tc={432bde5a-425f-41be-891c-55a9f6d96c6c}</author>
    <author>tc={4c209b1a-1306-49bd-a042-0061ec3e6d91}</author>
    <author>tc={eb67a577-08a5-468f-b019-e58397881ca1}</author>
    <author>tc={23c81898-4d46-41d0-ac80-dfb4e3722e78}</author>
    <author>tc={4af01496-9602-4f6d-9ed5-18d7dc648b84}</author>
    <author>tc={9aa418a4-7974-4965-9541-e4f6ac86527d}</author>
    <author>tc={2fed4d94-d977-4805-b43f-0eafd26247dc}</author>
    <author>tc={339cd1a5-bde3-4baa-9e37-cf73b1905ba6}</author>
    <author>tc={a37aa470-f88e-49bc-a64e-b927cb499b8a}</author>
    <author>tc={55ab4be5-8783-4dac-bf99-0fe135c2fcf4}</author>
    <author>tc={cdab2b3a-89aa-4ac4-9cd6-82ca1a97667e}</author>
    <author>tc={e0284d19-5b98-4a47-806b-8cc76cb37cd5}</author>
    <author>tc={488b862a-0214-407a-8658-076e9231e5d6}</author>
    <author>tc={a992250e-0c7f-43ee-a505-67d0076b0822}</author>
    <author>tc={4a5b7e76-13d4-4479-a988-13a4f5c7f979}</author>
    <author>tc={36434307-b63c-411e-9855-c8b369e48e41}</author>
  </authors>
  <commentList>
    <comment ref="H5" authorId="0" shapeId="0" xr:uid="{D52D470A-61CF-4506-A5E9-53B6DACD2CE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" authorId="1" shapeId="0" xr:uid="{5A1E3A77-A02A-4BC8-AA38-7D77A957F28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" authorId="2" shapeId="0" xr:uid="{BCE2B693-E4CC-45E7-9B40-2AE7FF976C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" authorId="3" shapeId="0" xr:uid="{F21D8111-3CB3-4186-9E6D-8A8F02D641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" authorId="4" shapeId="0" xr:uid="{D92A2D56-C830-406A-9323-B31989EC55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" authorId="5" shapeId="0" xr:uid="{D4957909-73B6-43C4-90A5-7B0A36CED0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9" authorId="6" shapeId="0" xr:uid="{DB5B22F4-6C41-4E2F-AFAC-04E3A00656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" authorId="7" shapeId="0" xr:uid="{43432A9F-3933-42EF-82A6-D587267A18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0" authorId="8" shapeId="0" xr:uid="{6AC5AE5B-029C-4DD4-B94B-586B9950B9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1" authorId="9" shapeId="0" xr:uid="{562CA929-CEF2-4D04-967E-07DBD8BA2F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2" authorId="10" shapeId="0" xr:uid="{BB2FA1A7-2A38-45C4-86BD-3E284434754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anticipo de 25.000</t>
      </text>
    </comment>
    <comment ref="H35" authorId="11" shapeId="0" xr:uid="{1D2F951C-72DA-4DA2-8973-DE52678C74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6" authorId="12" shapeId="0" xr:uid="{11427CE2-38C0-42A4-97E7-E469E32017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7" authorId="13" shapeId="0" xr:uid="{1F8E4716-7D18-46AD-8FD8-BC310E8FA2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9" authorId="14" shapeId="0" xr:uid="{7F867692-DBA6-4C1B-94E3-B9E0F11FB4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transferenica</t>
      </text>
    </comment>
    <comment ref="H40" authorId="15" shapeId="0" xr:uid="{82E40931-AC35-4E42-8BD3-E33321B582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25.000 transferencia
15.000 efectivo</t>
      </text>
    </comment>
    <comment ref="H42" authorId="16" shapeId="0" xr:uid="{F12BAF4B-B72A-4D98-BB42-45B8ED61ABB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3" authorId="17" shapeId="0" xr:uid="{EFD8DEEB-D4EF-401F-ACEE-FE4FE77E66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4" authorId="18" shapeId="0" xr:uid="{341F10F8-1C46-4E46-B2E0-95DF874DCF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6" authorId="19" shapeId="0" xr:uid="{3760584A-3A9E-4E6B-8163-9B0C2FE30F5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8" authorId="20" shapeId="0" xr:uid="{00DC39E8-AD9C-4910-88EB-EE955C31FD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9" authorId="21" shapeId="0" xr:uid="{D79EE775-3DD8-4545-8EB0-A33B1C656E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1" authorId="22" shapeId="0" xr:uid="{938AEE6F-0DE3-434D-94E6-D0B0D0D89A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2" authorId="23" shapeId="0" xr:uid="{B13BFD28-0523-4756-B610-64446AD300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5" authorId="24" shapeId="0" xr:uid="{D08706D3-A0BD-4DC8-A64D-2349BE68F9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7" authorId="25" shapeId="0" xr:uid="{821047E4-A34B-4CF0-9934-47E84E202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1" authorId="26" shapeId="0" xr:uid="{38798802-DFD7-4D5B-9D3C-1F052FFF43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2" authorId="27" shapeId="0" xr:uid="{FD0664DA-949A-4E09-8907-6EE0A4A999D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4" authorId="28" shapeId="0" xr:uid="{F53FBC16-8A09-4E22-AFE7-5B8DF465AA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 - ya esta pago</t>
      </text>
    </comment>
    <comment ref="H65" authorId="29" shapeId="0" xr:uid="{08570B6B-9A60-4CDE-B7E0-94F9EAE520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8" authorId="30" shapeId="0" xr:uid="{919D2218-841B-48CA-8D2A-DB39AE705B8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3" authorId="31" shapeId="0" xr:uid="{CB1211D8-6C65-41A3-A401-8CB3BE072B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4" authorId="32" shapeId="0" xr:uid="{5A9E4641-60FD-4FD3-9438-D74B8BC03D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1" authorId="33" shapeId="0" xr:uid="{FF61D4EA-1472-4862-91DA-D705F2FBDB9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2" authorId="34" shapeId="0" xr:uid="{AF210050-D78E-4B6D-AB97-5BFEAC2949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3" authorId="35" shapeId="0" xr:uid="{A38A7E15-816F-46CE-8D2D-020FB855285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4" authorId="36" shapeId="0" xr:uid="{F5570327-EFFC-4F04-8562-67C3A2047D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8" authorId="37" shapeId="0" xr:uid="{EE866425-F7D9-4173-B3F3-727736E40F3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9" authorId="38" shapeId="0" xr:uid="{0A76B02E-D290-4F2B-B645-BF31A21AA26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96" authorId="39" shapeId="0" xr:uid="{5002155D-7166-4A60-A7FD-19210555B4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7" authorId="40" shapeId="0" xr:uid="{DA845193-F65B-4E6B-81AC-E828D96D9A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1" authorId="41" shapeId="0" xr:uid="{7FFBB65A-1C8A-4360-AAD7-7D36118F7E5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3" authorId="42" shapeId="0" xr:uid="{70AAAFBB-F1B2-4FF2-858C-8DFB1B770A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4" authorId="43" shapeId="0" xr:uid="{DC94ECF8-62AD-407C-AE52-65D745BA313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8" authorId="44" shapeId="0" xr:uid="{ED398388-1367-4E57-ABD9-212AB85D2B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3" authorId="45" shapeId="0" xr:uid="{5CDFE6C5-4ED8-4740-A404-285BB98A19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0" authorId="46" shapeId="0" xr:uid="{A8ACD48A-3A27-4128-A058-18181A1905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23" authorId="47" shapeId="0" xr:uid="{9E12ED0F-3475-4AAA-98AE-79C81E6B86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4" authorId="48" shapeId="0" xr:uid="{B6030BA6-0385-4394-A92C-A4CAB1A53E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5" authorId="49" shapeId="0" xr:uid="{0D2E9BD8-44A7-4C35-B6DB-ABE4842E56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28" authorId="50" shapeId="0" xr:uid="{E3791136-F382-463C-AA81-CDB1385302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tarjta</t>
      </text>
    </comment>
    <comment ref="H130" authorId="51" shapeId="0" xr:uid="{FCDF67A3-5AD6-4894-A809-99584D8681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4" authorId="52" shapeId="0" xr:uid="{EAFC79F8-7D26-4932-A88E-8A075F57F5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5" authorId="53" shapeId="0" xr:uid="{71EA7651-5FE1-4F59-918B-38095803CA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54" shapeId="0" xr:uid="{3F583FAC-E378-4AE6-A7A2-07C683A38E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7" authorId="55" shapeId="0" xr:uid="{BE9FE2AC-F498-4736-AD05-22E2866A49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5" authorId="56" shapeId="0" xr:uid="{0668D731-A96C-4180-901B-7B660EA1AC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6" authorId="57" shapeId="0" xr:uid="{A9475BF0-D880-4AA7-A6D0-77CDBF1CAF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9" authorId="58" shapeId="0" xr:uid="{48B2190B-DDB0-435F-8006-DB4AC36EAF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0" authorId="59" shapeId="0" xr:uid="{34DF46AA-5A42-490C-816B-293A1FCF62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1" authorId="60" shapeId="0" xr:uid="{6CF49A87-0A75-4A3E-835C-4141C48AEF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2" authorId="61" shapeId="0" xr:uid="{F2835BD7-16AC-42E3-A870-FC9471392C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3" authorId="62" shapeId="0" xr:uid="{553A9F49-8565-4680-B6F9-D3F9666FBB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4" authorId="63" shapeId="0" xr:uid="{432BDE5A-425F-41BE-891C-55A9F6D96C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6" authorId="64" shapeId="0" xr:uid="{4C209B1A-1306-49BD-A042-0061EC3E6D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7" authorId="65" shapeId="0" xr:uid="{EB67A577-08A5-468F-B019-E58397881CA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8" authorId="66" shapeId="0" xr:uid="{23C81898-4D46-41D0-AC80-DFB4E3722E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1" authorId="67" shapeId="0" xr:uid="{4AF01496-9602-4F6D-9ED5-18D7DC648B8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4" authorId="68" shapeId="0" xr:uid="{9AA418A4-7974-4965-9541-E4F6AC8652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65" authorId="69" shapeId="0" xr:uid="{2FED4D94-D977-4805-B43F-0EAFD26247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 + factura</t>
      </text>
    </comment>
    <comment ref="H167" authorId="70" shapeId="0" xr:uid="{339CD1A5-BDE3-4BAA-9E37-CF73B1905B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2" authorId="71" shapeId="0" xr:uid="{A37AA470-F88E-49BC-A64E-B927CB499B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3" authorId="72" shapeId="0" xr:uid="{55AB4BE5-8783-4DAC-BF99-0FE135C2FCF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7" authorId="73" shapeId="0" xr:uid="{CDAB2B3A-89AA-4AC4-9CD6-82CA1A9766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8" authorId="74" shapeId="0" xr:uid="{E0284D19-5B98-4A47-806B-8CC76CB37C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factura</t>
      </text>
    </comment>
    <comment ref="H181" authorId="75" shapeId="0" xr:uid="{488B862A-0214-407A-8658-076E9231E5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2" authorId="76" shapeId="0" xr:uid="{A992250E-0C7F-43EE-A505-67D0076B082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85" authorId="77" shapeId="0" xr:uid="{4A5B7E76-13D4-4479-A988-13A4F5C7F97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9" authorId="78" shapeId="0" xr:uid="{36434307-B63C-411E-9855-C8B369E48E4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tc={b40b5fd8-bd11-46a6-ae79-858e55f64b74}</author>
    <author>tc={f7c31327-3c6b-4a73-9087-8d77542bf3cb}</author>
    <author>tc={1210df0c-3b4f-4e0a-9567-720166e850f2}</author>
    <author>tc={7b316f1b-9994-4ff5-aa18-d17741b1c681}</author>
    <author>tc={57b99f47-f2d6-4ed7-8027-53186c8f6f4e}</author>
    <author>tc={9d9a96e3-e529-4825-830d-2e62b45ba4d2}</author>
    <author>tc={ff5c5307-fd6e-491a-9564-0eb99dd10ff2}</author>
    <author>tc={1e6c2e08-983a-4da7-b4c0-30413478205f}</author>
    <author>tc={3038280f-78ce-4195-b24b-c7fb4ae6c6f0}</author>
    <author>tc={5766df03-c27e-4c7a-b79b-1ca6014f3d0b}</author>
    <author>tc={f27302f5-c66e-4723-b07f-90650caabdb1}</author>
    <author>tc={c771eec8-e4d7-4c71-92a7-5a9ea3e765cb}</author>
    <author>tc={ef8bc698-bf3c-48be-b4a0-7c187fe1aa82}</author>
    <author>tc={e0dbf240-110a-4649-8f27-ad14bd94eb2a}</author>
    <author>tc={965f5b0b-2840-4de8-a745-1a55845ec95b}</author>
    <author>tc={41b1b6cb-769a-417a-9cf5-18c343e11a0d}</author>
    <author>tc={de2263f3-c951-4161-bd34-0b0da4d29338}</author>
    <author>tc={b801d062-aa29-4c3b-9e8d-54aa9a5dc702}</author>
    <author>tc={98d9436c-4ae7-4fa8-9d58-c8474b97f26b}</author>
    <author>tc={b467ff0e-bf48-45ce-a536-e39dd0bacb82}</author>
    <author>tc={95f2a8ce-6ab6-45d0-92a1-311fd59227d7}</author>
    <author>tc={a2549a94-0d37-4bb0-8e1d-6191e1685f36}</author>
    <author>tc={c7bd7378-1084-4f26-aae7-ccb6485507a5}</author>
    <author>tc={3c8f51f7-7e5f-4b97-8ef2-113f7ffc8f68}</author>
    <author>tc={083ba4ac-b474-44bc-908d-de6420986633}</author>
    <author>tc={66e4c8be-0371-4cba-b305-a8053e921df9}</author>
    <author>tc={b108424b-2c33-4901-84f1-e8f8a75d85c8}</author>
    <author>tc={e5e2650b-418f-42b4-8a35-f8e7a3bc46bf}</author>
    <author>tc={00e3e40e-4c03-4f12-b3b2-fbc1a3cfd347}</author>
    <author>tc={50685191-50b2-489f-ae8f-c8606c29227f}</author>
    <author>tc={a84741c3-8d61-476c-9d7a-439d01d5fe2d}</author>
    <author>tc={c0c32d8c-49f3-42c1-9f09-e6e68e2ebbcd}</author>
    <author>tc={3f6adb89-6cca-4e7b-9ad6-dfc884c6f06e}</author>
    <author>tc={19d8a8b9-717b-4e7c-8365-d8065e92ddef}</author>
    <author>tc={dda5bfa8-d1d5-47a6-8403-fa01eb582f17}</author>
    <author>tc={45adac2c-0a7b-4089-b562-f9278c10f785}</author>
    <author>tc={62ee4f1a-65b0-4637-8ac9-0bbf91a8729c}</author>
    <author>tc={24cbf550-3690-48e8-abb7-c5cf1162693a}</author>
    <author>tc={a2bd9776-7227-4ad2-bae3-bb8756b77c0c}</author>
    <author>tc={b6fcc1ba-283f-4da9-9082-d6676854c83e}</author>
    <author>tc={6e9d55c9-7274-40f6-8e4a-133d827cca3d}</author>
    <author>tc={025b3bd6-9bba-4932-9d90-5c1ac6a3ffc6}</author>
    <author>tc={ad4c90e1-220b-447d-b2de-cca093c92e1d}</author>
    <author>tc={cec19f56-b0eb-4a7d-a06a-d4cce284cda2}</author>
    <author>tc={1f4fa4e8-8164-408e-b979-949951369481}</author>
    <author>tc={a2e8a626-c4e2-4cb3-bc8b-8b6efdff648b}</author>
    <author>tc={4a5fca53-28ea-4dbb-a00a-dcddb37e5ae8}</author>
    <author>tc={7c22a7fe-d015-4e11-9b9b-44cbb6a1350b}</author>
    <author>tc={cd2aa249-5c85-403f-a42b-9eaf75bfc59f}</author>
    <author>tc={faf33198-bcbf-47c0-be03-e7e94b427b0c}</author>
    <author>tc={a7f5b8fe-94b3-4b47-99b4-961b7002d108}</author>
    <author>tc={43acbdb3-fe41-4a30-ae76-237b8e8f47fa}</author>
    <author>tc={8bd16693-0be6-4cf2-9bbb-d30e8cd82771}</author>
    <author>tc={3b02c11d-a6ef-4169-9f8e-4d3a21b90894}</author>
    <author>tc={4f381809-f195-4792-b9c8-3d070b973303}</author>
    <author>tc={ea72bc2a-87b1-4d1e-b1b0-8a8ef268ba8b}</author>
    <author>tc={720b0741-b836-41d5-8a6f-e4e8cbc39fc0}</author>
    <author>tc={1f02dc23-f6f0-42d7-b8ac-05489ee652d3}</author>
    <author>tc={9c3054e7-fd3d-4580-ba28-6c9036f5f2cf}</author>
    <author>tc={f1312d86-929e-4a70-8f93-e850e99e71f7}</author>
    <author>tc={c72fc859-d268-4ff7-b050-dede2bf70a38}</author>
    <author>tc={a66fe7ff-edb5-4ebf-90b4-9cdff27c4d18}</author>
    <author>tc={d1b612f2-77d7-42d0-97a9-635745389444}</author>
    <author>tc={38b74af2-65f4-4be2-ac86-ae766c668dba}</author>
    <author>tc={750e708b-ba0d-4e77-ac8c-4eb0cdcac3f1}</author>
    <author>tc={70969bc9-2422-4453-a4ca-cfeec6be6813}</author>
    <author>tc={ee06cba3-59da-4d3e-88b3-bd595fa6437e}</author>
  </authors>
  <commentList>
    <comment ref="H2" authorId="0" shapeId="0" xr:uid="{B40B5FD8-BD11-46A6-AE79-858E55F64B7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" authorId="1" shapeId="0" xr:uid="{F7C31327-3C6B-4A73-9087-8D77542BF3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" authorId="2" shapeId="0" xr:uid="{1210DF0C-3B4F-4E0A-9567-720166E850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" authorId="3" shapeId="0" xr:uid="{7B316F1B-9994-4FF5-AA18-D17741B1C6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" authorId="4" shapeId="0" xr:uid="{57B99F47-F2D6-4ED7-8027-53186C8F6F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" authorId="5" shapeId="0" xr:uid="{9D9A96E3-E529-4825-830D-2E62B45BA4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" authorId="6" shapeId="0" xr:uid="{FF5C5307-FD6E-491A-9564-0EB99DD10F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" authorId="7" shapeId="0" xr:uid="{1E6C2E08-983A-4DA7-B4C0-3041347820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" authorId="8" shapeId="0" xr:uid="{3038280F-78CE-4195-B24B-C7FB4AE6C6F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" authorId="9" shapeId="0" xr:uid="{5766DF03-C27E-4C7A-B79B-1CA6014F3D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" authorId="10" shapeId="0" xr:uid="{F27302F5-C66E-4723-B07F-90650CAABD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" authorId="11" shapeId="0" xr:uid="{C771EEC8-E4D7-4C71-92A7-5A9EA3E765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27" authorId="12" shapeId="0" xr:uid="{EF8BC698-BF3C-48BE-B4A0-7C187FE1AA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0" authorId="13" shapeId="0" xr:uid="{E0DBF240-110A-4649-8F27-AD14BD94EB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1" authorId="14" shapeId="0" xr:uid="{965F5B0B-2840-4DE8-A745-1A55845EC9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5" authorId="15" shapeId="0" xr:uid="{41B1B6CB-769A-417A-9CF5-18C343E11A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40" authorId="16" shapeId="0" xr:uid="{DE2263F3-C951-4161-BD34-0B0DA4D293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8" authorId="17" shapeId="0" xr:uid="{B801D062-AA29-4C3B-9E8D-54AA9A5DC7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80.000 Tarjeta
30.000 efectivo</t>
      </text>
    </comment>
    <comment ref="H49" authorId="18" shapeId="0" xr:uid="{98D9436C-4AE7-4FA8-9D58-C8474B97F2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80.000 TARJETA
30.000 EFECTIVO</t>
      </text>
    </comment>
    <comment ref="H55" authorId="19" shapeId="0" xr:uid="{B467FF0E-BF48-45CE-A536-E39DD0BACB8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56" authorId="20" shapeId="0" xr:uid="{95F2A8CE-6AB6-45D0-92A1-311FD59227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2" authorId="21" shapeId="0" xr:uid="{A2549A94-0D37-4BB0-8E1D-6191E1685F3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4" authorId="22" shapeId="0" xr:uid="{C7BD7378-1084-4F26-AAE7-CCB6485507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5" authorId="23" shapeId="0" xr:uid="{3C8F51F7-7E5F-4B97-8EF2-113F7FFC8F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7" authorId="24" shapeId="0" xr:uid="{083BA4AC-B474-44BC-908D-DE64209866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8" authorId="25" shapeId="0" xr:uid="{66E4C8BE-0371-4CBA-B305-A8053E921D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9" authorId="26" shapeId="0" xr:uid="{B108424B-2C33-4901-84F1-E8F8A75D85C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90 transferencia 
100 efectivo</t>
      </text>
    </comment>
    <comment ref="H70" authorId="27" shapeId="0" xr:uid="{E5E2650B-418F-42B4-8A35-F8E7A3BC46B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2" authorId="28" shapeId="0" xr:uid="{00E3E40E-4C03-4F12-B3B2-FBC1A3CFD3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3" authorId="29" shapeId="0" xr:uid="{50685191-50B2-489F-AE8F-C8606C2922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4" authorId="30" shapeId="0" xr:uid="{A84741C3-8D61-476C-9D7A-439D01D5FE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75" authorId="31" shapeId="0" xr:uid="{C0C32D8C-49F3-42C1-9F09-E6E68E2EBB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9" authorId="32" shapeId="0" xr:uid="{3F6ADB89-6CCA-4E7B-9AD6-DFC884C6F0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0" authorId="33" shapeId="0" xr:uid="{19D8A8B9-717B-4E7C-8365-D8065E92DD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2" authorId="34" shapeId="0" xr:uid="{DDA5BFA8-D1D5-47A6-8403-FA01EB582F1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83" authorId="35" shapeId="0" xr:uid="{45ADAC2C-0A7B-4089-B562-F9278C10F7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95" authorId="36" shapeId="0" xr:uid="{62EE4F1A-65B0-4637-8AC9-0BBF91A872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8" authorId="37" shapeId="0" xr:uid="{24CBF550-3690-48E8-ABB7-C5CF116269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0" authorId="38" shapeId="0" xr:uid="{A2BD9776-7227-4AD2-BAE3-BB8756B77C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1" authorId="39" shapeId="0" xr:uid="{B6FCC1BA-283F-4DA9-9082-D6676854C8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4" authorId="40" shapeId="0" xr:uid="{6E9D55C9-7274-40F6-8E4A-133D827CCA3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11" authorId="41" shapeId="0" xr:uid="{025B3BD6-9BBA-4932-9D90-5C1AC6A3FFC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2" authorId="42" shapeId="0" xr:uid="{AD4C90E1-220B-447D-B2DE-CCA093C92E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4" authorId="43" shapeId="0" xr:uid="{CEC19F56-B0EB-4A7D-A06A-D4CCE284CDA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4" authorId="44" shapeId="0" xr:uid="{1F4FA4E8-8164-408E-B979-9499513694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0" authorId="45" shapeId="0" xr:uid="{A2E8A626-C4E2-4CB3-BC8B-8B6EFDFF64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2" authorId="46" shapeId="0" xr:uid="{4A5FCA53-28EA-4DBB-A00A-DCDDB37E5AE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38.000 transferencia
32.000 efectivo</t>
      </text>
    </comment>
    <comment ref="H133" authorId="47" shapeId="0" xr:uid="{7C22A7FE-D015-4E11-9B9B-44CBB6A1350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4" authorId="48" shapeId="0" xr:uid="{CD2AA249-5C85-403F-A42B-9EAF75BFC5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6" authorId="49" shapeId="0" xr:uid="{FAF33198-BCBF-47C0-BE03-E7E94B427B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7" authorId="50" shapeId="0" xr:uid="{A7F5B8FE-94B3-4B47-99B4-961B7002D1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8" authorId="51" shapeId="0" xr:uid="{43ACBDB3-FE41-4A30-AE76-237B8E8F47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0" authorId="52" shapeId="0" xr:uid="{8BD16693-0BE6-4CF2-9BBB-D30E8CD827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80.000 transferencia
5.000 efectivo</t>
      </text>
    </comment>
    <comment ref="H142" authorId="53" shapeId="0" xr:uid="{3B02C11D-A6EF-4169-9F8E-4D3A21B9089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7" authorId="54" shapeId="0" xr:uid="{4F381809-F195-4792-B9C8-3D070B9733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48" authorId="55" shapeId="0" xr:uid="{EA72BC2A-87B1-4D1E-B1B0-8A8EF268BA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0" authorId="56" shapeId="0" xr:uid="{720B0741-B836-41D5-8A6F-E4E8CBC39FC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57" authorId="57" shapeId="0" xr:uid="{1F02DC23-F6F0-42D7-B8AC-05489EE652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58" authorId="58" shapeId="0" xr:uid="{9C3054E7-FD3D-4580-BA28-6C9036F5F2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0" authorId="59" shapeId="0" xr:uid="{F1312D86-929E-4A70-8F93-E850E99E71F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4" authorId="60" shapeId="0" xr:uid="{C72FC859-D268-4FF7-B050-DEDE2BF70A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72" authorId="61" shapeId="0" xr:uid="{A66FE7FF-EDB5-4EBF-90B4-9CDFF27C4D1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3" authorId="62" shapeId="0" xr:uid="{D1B612F2-77D7-42D0-97A9-63574538944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4" authorId="63" shapeId="0" xr:uid="{38B74AF2-65F4-4BE2-AC86-AE766C668D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6" authorId="64" shapeId="0" xr:uid="{750E708B-BA0D-4E77-AC8C-4EB0CDCAC3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1" authorId="65" shapeId="0" xr:uid="{70969BC9-2422-4453-A4CA-CFEEC6BE68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3" authorId="66" shapeId="0" xr:uid="{EE06CBA3-59DA-4D3E-88B3-BD595FA6437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tc={98bddf93-b241-4469-8fb4-82b6d7fcf7a4}</author>
    <author>tc={04ac0b94-25f4-4fe4-818c-cb19fe52a4cd}</author>
    <author>tc={f4d36180-52fd-43db-91f8-818677c44fb0}</author>
    <author>tc={90fb5fe1-35d3-45a1-94da-dc1c96e90c97}</author>
    <author>tc={dfe1cf08-52bf-41ae-981f-34a7b4f51c24}</author>
    <author>tc={924c3a06-b998-42ca-a70d-8fa52be84340}</author>
    <author>tc={e558f282-08cd-472c-876a-5eb31a6c366d}</author>
    <author>tc={e264ae75-d110-4c5f-8f54-85d93692eac2}</author>
    <author>tc={58e3309a-9a91-4f9e-9bfd-6d920f1cc577}</author>
    <author>tc={ca5f0ca1-60f7-4c7c-85af-b7e110881a80}</author>
    <author>tc={6da3d1bf-ccc2-4933-899b-3ec62b133132}</author>
    <author>tc={d334ca06-a55d-4ed6-aa1e-6b5eb25002a5}</author>
    <author>tc={8779e972-ca5b-4e60-bcf5-e067d6e6ebfa}</author>
    <author>tc={1f74c865-95f1-435f-8fe1-f5b3417246c5}</author>
    <author>tc={d9bb1504-e525-40dc-b1b0-359e685a6e43}</author>
    <author>tc={359c467e-a2c1-468f-be39-1b4348e2891f}</author>
    <author>tc={c10f1ea8-3978-42bc-be2e-9c215d515c02}</author>
    <author>tc={15066627-ada3-4724-9d50-122950201eaf}</author>
    <author>tc={e05da74a-6c7b-4168-b33b-bfe344dfe986}</author>
    <author>tc={a8d30d0b-5186-4544-a24c-0fd96588290d}</author>
    <author>tc={066298d7-c734-464e-8ea1-ec120ba0e83f}</author>
    <author>tc={2702ab25-2be8-4fe8-9908-7d3d96c5d7a9}</author>
    <author>tc={3053d98c-c02d-443f-980f-1123e129e7b6}</author>
    <author>tc={8da7bdf4-54b0-427d-aed5-71d014d58b78}</author>
    <author>tc={63a8bd8a-63b2-4dd5-b91b-c2cf221b3947}</author>
    <author>tc={734f690c-7647-40d8-8664-d92056b86ba0}</author>
    <author>tc={3350fda5-ba54-4e14-afcc-4f6bd8fa90a6}</author>
    <author>tc={8e9badc5-59b7-41f4-bc44-5545ca63ac8f}</author>
    <author>tc={2e6dea17-6060-4535-88e0-43e0b5c12dd7}</author>
    <author>tc={a5c3e05c-5180-4609-8860-4ff11ea141fc}</author>
    <author>tc={2d0bddc5-5b15-4abe-b4ac-8d48ad556a9c}</author>
    <author>tc={6d5c187b-1dae-4145-a485-cd774ff5eb0d}</author>
    <author>tc={f32d8513-25de-4337-872c-35aa21af2ed5}</author>
    <author>tc={4e36a00b-a131-4a9b-9c37-bb49da08e185}</author>
    <author>tc={a0a96696-6cb9-459d-983a-a796ab6da12c}</author>
    <author>tc={ddc5f514-15be-4fca-af65-2474f17fd69d}</author>
    <author>tc={4d192c9d-add0-424c-b993-6563dee3aa9e}</author>
    <author>tc={5047d13f-58cb-486f-826e-bde70b5f8515}</author>
    <author>tc={e3212666-00a8-4d19-92c2-c3a0c056b612}</author>
    <author>tc={8e5d943a-2a01-4b7d-a73c-caec4a5c4dfa}</author>
    <author>tc={ce9e8529-c8ff-4239-83bd-797a20fda721}</author>
    <author>tc={c8a02185-6db5-459b-b433-09b1b4826233}</author>
    <author>tc={32830b20-ae85-45fe-9093-6aaad621dff9}</author>
    <author>tc={13e68bca-10af-41d0-9faa-488d76105007}</author>
    <author>tc={246c5baa-3b63-4466-961e-c529e7ec4a34}</author>
    <author>tc={34ac98f7-92ad-4513-85c6-621eee9a9f45}</author>
    <author>tc={dc532371-0a61-449a-b1ca-b79ed540be3f}</author>
    <author>tc={da8e3b17-e127-4ff7-ab8e-e516469e0c87}</author>
    <author>tc={e88fc70a-01a3-4923-a6e8-f5d0270eacc3}</author>
    <author>tc={29e287df-99d2-47d4-a034-d553f505ae62}</author>
    <author>tc={e0cde40d-6e97-4ab7-bbf4-d10f3fb2d28a}</author>
    <author>tc={5a256c7c-ddeb-45c0-b023-e54546bbac88}</author>
    <author>tc={51142489-59d2-4d96-a323-ed640716e5ba}</author>
    <author>tc={6612ddff-44ae-48a4-a7e7-173fab863f30}</author>
    <author>tc={de4cc6f4-a626-4358-9a5b-2472508d4c25}</author>
    <author>tc={719fb1be-f999-49fa-8497-d0a387bd074c}</author>
    <author>tc={ca5afd32-cf14-43f8-afc2-d357f19fc503}</author>
    <author>tc={8bd02ce2-87ec-4936-8a32-905ee7ad5423}</author>
    <author>tc={ce3c67a7-a48e-4bb7-9a08-f9897b8b6e59}</author>
    <author>tc={c84da40b-d70c-4914-9d30-f9cc5ee8a901}</author>
    <author>tc={fab4849e-51dc-40a6-ab2d-58f842720973}</author>
    <author>tc={e385b6d3-00ed-4c07-9979-af418d6ad4d9}</author>
    <author>tc={865ea5c5-1502-4bce-9f04-c75d93263aae}</author>
    <author>tc={c5128c04-36e0-4a5a-ba7a-483134275167}</author>
    <author>tc={662de6b8-db69-4160-9b7f-c84372420434}</author>
    <author>tc={9454e76a-0630-4880-a910-1f351f2196b7}</author>
    <author>tc={3580b8ef-dd65-4226-95ec-deab77bbe04a}</author>
    <author>tc={518e15f6-25e1-4b02-b982-b15947dbeaf2}</author>
    <author>tc={8735769f-b1ce-49b0-8b5c-f96272c34dcb}</author>
    <author>tc={dd94a92c-6383-457f-a034-5a99ed72b5af}</author>
    <author>tc={996dad54-c9f5-46d9-b05b-065d7e0e1f47}</author>
    <author>tc={31d88a16-e6fc-4e8b-acd2-84d478bd6c66}</author>
    <author>tc={8dbc1637-3a30-434b-a9c0-79141a0a0f45}</author>
    <author>tc={605e2898-1e46-43f4-b413-e61581d7eddc}</author>
    <author>tc={29b2900c-218e-4311-92bf-53d5fa9ea345}</author>
    <author>tc={c5f7cae8-230c-49b7-942d-bc903dae63d4}</author>
    <author>tc={0dfefd88-346f-4e8a-9d3c-66d91fedd4ef}</author>
    <author>tc={20a88c0f-4158-452b-a602-57e29af69b9a}</author>
    <author>tc={20347d9d-1b98-4698-b7db-f721c8c065ad}</author>
    <author>tc={062c335a-4bf4-4b64-b1c0-a499d57ea8b1}</author>
    <author>tc={040aef19-891a-46ab-8daf-383a3ae4c127}</author>
    <author>tc={a98b1a80-e08b-48ec-a4f3-6f3e8909566e}</author>
    <author>tc={1445e895-b4a9-42be-b86a-3004e79269b1}</author>
    <author>tc={59ea7ef9-a9ba-475b-a9c8-d660a709d393}</author>
    <author>tc={360dc5a2-e784-481b-a9b2-c51753bcad10}</author>
    <author>tc={be1f88ad-492f-45a0-a345-c3b3bdb7e4cd}</author>
    <author>tc={e377fccd-fe62-419d-820c-f42b32fb8112}</author>
    <author>tc={f363f892-ab83-40d5-b3db-bd58f93243b5}</author>
    <author>tc={fa4f7dce-44ec-429c-80b3-df4c54244632}</author>
    <author>tc={3f231ff8-2ee5-4bde-ae2c-ca0f5aac9306}</author>
    <author>tc={be839a0e-901e-4563-84c2-fece85f47072}</author>
    <author>tc={04000719-90ff-450c-9714-c64402c8f971}</author>
    <author>tc={a9ec672e-c4ce-4815-a979-bd71b7239390}</author>
    <author>tc={a820a105-fcf6-4e4e-a3d5-58eeb54e52b9}</author>
    <author>tc={2701be9f-9866-46bf-a2c0-6fb255118bb6}</author>
    <author>tc={87745721-95fa-43e6-9f85-88973f70c113}</author>
    <author>tc={0f250071-e9df-41be-ab5c-4688536157a0}</author>
    <author>tc={b8776a63-1ff9-4396-a20f-a352aae5cd25}</author>
    <author>tc={32676644-f6fe-45cd-951a-3487e87eec6b}</author>
    <author>tc={17f4237a-2fa2-4b54-b668-c53b5a0826fd}</author>
    <author>tc={b61b79ad-1ff4-4138-b405-5a61e1b88b31}</author>
    <author>tc={bbd35fa7-c90d-4beb-8a1d-334b9d98a14e}</author>
    <author>tc={50494321-a833-4002-8f09-f4d421ed21db}</author>
    <author>tc={1ac6680e-0305-4cfe-adea-41f26ef96cf1}</author>
    <author>tc={7c1031ae-270f-42b0-9b43-f689a3ff09d3}</author>
    <author>tc={c82f8d5f-08ea-4005-add0-52e9f0105bfc}</author>
    <author>tc={e53cb9de-9fc4-4492-b7bd-b59cf256f8c1}</author>
    <author>tc={5e5bb6f6-abd5-43b5-8864-c9d615815773}</author>
    <author>tc={0cb5e1fa-532d-4632-b61f-5d9f7e999eea}</author>
    <author>tc={eea0d554-9f47-4eb4-870f-2f306accd97d}</author>
    <author>tc={3b72cca9-061f-431d-8455-e1a8eae12960}</author>
    <author>tc={9a3c567a-5cca-4edf-a4be-0ee09521b76a}</author>
    <author>tc={6d370423-2dc0-4224-a572-2aa305dfca5b}</author>
    <author>tc={c0f7fff6-8c6b-44e6-a421-a7a101be6991}</author>
    <author>tc={d47c7ed1-40bb-4815-a2c7-4ca6cd7558cf}</author>
    <author>tc={eeba2613-5291-4ac7-a06f-42af973039a7}</author>
    <author>tc={f19380f5-afe5-44fe-92a0-3d9fac55e27b}</author>
    <author>tc={5af27665-371f-4580-856f-afd030edffd2}</author>
    <author>tc={228efeff-845a-4879-a402-6173d10ef765}</author>
    <author>tc={07139a2c-5de1-49ad-8889-2a49543a23fc}</author>
    <author>tc={d7b7d89c-2a9f-4618-98c3-fdeaa94228e3}</author>
    <author>tc={e5cd3b54-ad1b-4293-addc-c0d6f1dde7f9}</author>
    <author>tc={0d879f1f-6956-480f-b747-8350ee4f60e2}</author>
    <author>tc={d7bb7b99-095d-47ec-b13d-efb03ce921b9}</author>
    <author>tc={d7428587-d05c-478b-aaf4-8044cb63dcd6}</author>
    <author>tc={4d98fc25-c1c5-476a-82eb-706e12474e06}</author>
    <author>tc={a2f212f0-848e-42a7-9be8-75afd060a03e}</author>
    <author>tc={9aad2292-5b72-4423-83bc-fef270f3b5dd}</author>
    <author>tc={d33a59ce-5fcc-455a-8306-1cb01b72107b}</author>
    <author>tc={f88bceba-251b-4078-aefe-e7c3e4b832ae}</author>
    <author>tc={f8ea3abc-660e-4640-9f6b-cf8a61c2f9af}</author>
    <author>tc={c36c7639-ef35-4735-b63c-c8c0b0d2c7d9}</author>
    <author>tc={2120165a-a96a-4ae0-892d-acf03d860638}</author>
    <author>tc={50c1cb19-cdfb-4a55-bd45-8af98b5d4aea}</author>
    <author>tc={fd5fb092-3921-4d07-bf22-fba5c48a771e}</author>
    <author>tc={260d8dc3-061a-42b9-9bc8-71a0e4b6fa47}</author>
    <author>tc={52acc75b-23c4-44e7-a8a8-2375c1165535}</author>
    <author>tc={feb96806-e59c-44e9-bb3a-023b4edce825}</author>
    <author>tc={79b46994-af9b-4794-8b67-8c1b6d534778}</author>
    <author>tc={db7e540a-ea42-4202-b726-1fdaee14c7ae}</author>
    <author>tc={4720b27f-df41-49f2-acab-32ee782535aa}</author>
    <author>tc={45758cd8-7cb3-46fe-8470-445b579e0f31}</author>
    <author>tc={a6236bf2-c677-4106-adbb-fb7e7ed80142}</author>
    <author>tc={652ed1ac-48a7-4f58-b1d4-25364c830540}</author>
    <author>tc={5372a3a3-886c-4be6-a44a-86fa08f6bc92}</author>
    <author>tc={d3c8ee1e-6959-4759-8d3b-152901cb0659}</author>
    <author>tc={c2c98501-f55f-4fa7-ae6e-66ed28001652}</author>
    <author>tc={5853e291-e691-4acc-986d-8d3d92eba3fc}</author>
    <author>tc={7f007e6f-7932-4d28-a987-c7a91f9b83b9}</author>
    <author>tc={ce3b3ed2-a17c-47e4-b5eb-aca517241f2f}</author>
    <author>tc={a1fa23be-f3ff-4f48-a0f5-23e7a1daae2e}</author>
    <author>tc={cf2269e8-1dfa-4422-8b47-971516765a8f}</author>
    <author>tc={ddb656ed-79ee-485d-b9dc-421418c5b390}</author>
    <author>tc={60789a3a-225e-4ceb-adc8-439ed1974332}</author>
    <author>tc={47a2547e-1a2b-405e-9b03-8ebfbd363ed0}</author>
    <author>tc={d4db7385-add0-480a-acfa-0e105f2b8532}</author>
    <author>tc={2699714b-0cf5-45da-ac6d-38d8e2c55b0c}</author>
    <author>tc={db7efde9-a767-4d64-ba39-5a52830b1005}</author>
    <author>tc={49cd76ae-50b8-450e-859f-10ac9fb8fe1d}</author>
    <author>tc={8728a3b3-3139-4758-81c0-70de9b176b9f}</author>
    <author>tc={a92013f3-255b-4bdd-a777-e54e7e8aae0c}</author>
    <author>tc={c93aaad0-737e-4a3b-9711-e308b56e3485}</author>
    <author>tc={9a56a778-5017-4813-b9d8-c83846ecaa2f}</author>
    <author>tc={d6d758ee-60b5-414d-b578-f7174c8c4450}</author>
    <author>tc={720ea22c-1091-4203-910c-50c91de700a7}</author>
    <author>tc={8663b639-0265-414b-9f6e-627a0cea754a}</author>
    <author>tc={66559572-496a-49a6-ac74-de9edbb00915}</author>
    <author>tc={97f3c458-e82c-49df-8e1e-79eef33b5dd0}</author>
    <author>tc={64a28e14-971e-4f45-8776-ae88821afa7a}</author>
    <author>tc={38b1ab8e-3598-4c1c-85ab-fb15400ba9b4}</author>
    <author>tc={8385fafd-2bb1-4fcd-bbc6-12b3b544685f}</author>
    <author>tc={65408f7a-5186-4821-a4e9-fb3f719d7958}</author>
    <author>tc={0bdc86f2-a3d4-493d-9734-efa0b679ed21}</author>
    <author>tc={b3b6622a-29f5-4dbf-815e-09867f14b201}</author>
    <author>tc={acab0fe4-1c11-4367-830c-04d46d267db0}</author>
    <author>tc={375211ae-0c69-4d6d-be02-b90ecc4b3abc}</author>
    <author>tc={04c58dab-4336-492f-9c37-2fbf109d15eb}</author>
    <author>tc={9f0b5c10-3f9d-48a2-9013-25155d7f3f15}</author>
    <author>tc={af01aba1-f4f6-4d19-af32-0087199bb257}</author>
    <author>tc={735f2f89-1a64-4bfe-b822-d14d85e771e3}</author>
    <author>tc={a95339c2-468c-4558-aaf4-431fb1c0ebc4}</author>
    <author>tc={6379d92e-1f6c-4ee6-9b91-5393bd49f00a}</author>
    <author>tc={2c042025-62c7-4991-be9e-bc159ed271dd}</author>
    <author>tc={bdc22db8-d1bc-408f-8e4c-3ac60f6fdbac}</author>
    <author>tc={9396dda7-b214-4ce8-a403-11092a96efba}</author>
    <author>tc={641e90d3-0f64-4a89-9b0c-62b2eb5e7f03}</author>
    <author>tc={06422621-652a-4e0e-adb8-64019c5608f5}</author>
    <author>tc={b572adcd-3d93-4b47-a045-6834239a00ed}</author>
    <author>tc={48a70f47-e34b-4ff5-995b-792345e0b3f8}</author>
    <author>tc={514bb3b3-ed47-4e41-b464-2348a7fad18b}</author>
    <author>tc={1ef05ab8-2b08-43a2-91da-ec8287df39d7}</author>
    <author>tc={b097faac-b9f6-40ad-ada4-1af566da7f4d}</author>
    <author>tc={5a073284-8c65-4150-a646-6a9b0b05a435}</author>
    <author>tc={4331f5c9-e972-4db3-b0f4-a3bfdd6aa09f}</author>
    <author>tc={0d22409b-cff6-4569-9adf-bfc37bb79fab}</author>
    <author>tc={c7a9dcbd-e184-480b-bdfd-5be953b6406a}</author>
    <author>tc={788088ca-2401-4616-a5fb-d63241312bdc}</author>
    <author>tc={b7757fb7-5b29-4111-afe1-2d3095584a1b}</author>
    <author>tc={ea83197f-0a2c-40cb-b1a5-8b425e414373}</author>
    <author>tc={995e8691-e93f-4dec-8f76-96c28b8e8581}</author>
    <author>tc={fb8c4550-4749-4371-8c1e-907f82f2452d}</author>
    <author>tc={6fc70788-7c66-4010-8a72-98efdcc72e96}</author>
    <author>tc={14896215-17eb-499b-8471-ea1f74605bdb}</author>
    <author>tc={7bc5a97f-5179-4d7a-9a36-95e65007eaed}</author>
    <author>tc={2b4fe184-fbd3-4d00-9e5c-c098bbcb935f}</author>
    <author>tc={9d6af0dc-1ed2-4ba1-8673-9bfd6d7bf7c1}</author>
    <author>tc={9bd4272f-d975-4349-baad-a4a821240f2a}</author>
    <author>tc={7e46f5d5-ab26-4519-a0cb-53c8ea2c15d5}</author>
    <author>tc={6de6abaa-6613-40c8-9ecd-313b7d669afb}</author>
    <author>tc={00b56e2f-33f7-4597-83b2-75295537e4db}</author>
    <author>tc={43b919d3-6cbf-475f-bdcd-25e989c6d552}</author>
    <author>tc={445eb6bb-2c58-4172-b3b1-970dca0a4658}</author>
    <author>tc={1a7d1599-d1b1-43dd-be4c-73a053f49d90}</author>
    <author>tc={8fedf0dd-ef83-466b-a9e6-f6c0a9b1113f}</author>
    <author>tc={d5594ca7-3f2f-4842-a3d3-385c6b940273}</author>
    <author>tc={2a97d13a-ed60-4a1c-9886-89d25901c9cf}</author>
    <author>tc={53582b59-28fa-41c7-b298-9195f0c3670f}</author>
    <author>tc={95414162-1215-45a3-b801-c625ce983ccd}</author>
    <author>tc={b26ca63a-0537-440f-9eb6-b3c4e1ca100d}</author>
    <author>tc={a1b348c9-3545-435a-8aad-b526fe10ab43}</author>
    <author>tc={d00d6061-1b50-4783-a07c-8756e4a7a93f}</author>
    <author>tc={798a5749-1cbc-41f0-b153-7ceb6a4a8e7f}</author>
    <author>tc={031f1bbc-6979-42bb-b3de-10193105e211}</author>
    <author>tc={e0b4fb1f-f22e-45d3-b3ce-cb6ead14c568}</author>
    <author>tc={0f79ff21-7e8e-4b7d-930f-f83a41a690d2}</author>
    <author>tc={4a46651c-f8f5-4aaa-ac55-c7d68732c598}</author>
    <author>tc={4d27f6f8-5be9-4ec2-966f-2ff04f782ff0}</author>
    <author>tc={110908c2-1b2b-4b4f-bc1c-7fe199c0b9f8}</author>
    <author>tc={2cb0ad4b-5a7b-4e7a-8ef3-fe026784302c}</author>
    <author>tc={831fe6fd-a92e-409b-955e-9901a939d24b}</author>
    <author>tc={ac417aad-7dfc-4a9f-94f4-efb8327fc98b}</author>
    <author>tc={34d2b64d-be37-4fbb-8f18-f7f142ab942f}</author>
    <author>tc={da7fbb83-3864-471b-a99d-9620793f29fa}</author>
    <author>tc={0023b211-7366-435d-86cf-efc54a51ab4c}</author>
    <author>tc={7b0f44fe-e391-4e8c-baab-410d4ec01716}</author>
    <author>tc={a1cf3f31-c012-43d6-b9b2-7a6c56627e7a}</author>
  </authors>
  <commentList>
    <comment ref="H3" authorId="0" shapeId="0" xr:uid="{98BDDF93-B241-4469-8FB4-82B6D7FCF7A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" authorId="1" shapeId="0" xr:uid="{04AC0B94-25F4-4FE4-818C-CB19FE52A4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" authorId="2" shapeId="0" xr:uid="{F4D36180-52FD-43DB-91F8-818677C44F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TARJETA</t>
      </text>
    </comment>
    <comment ref="H10" authorId="3" shapeId="0" xr:uid="{90FB5FE1-35D3-45A1-94DA-DC1C96E90C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" authorId="4" shapeId="0" xr:uid="{DFE1CF08-52BF-41AE-981F-34A7B4F51C2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" authorId="5" shapeId="0" xr:uid="{924C3A06-B998-42CA-A70D-8FA52BE843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" authorId="6" shapeId="0" xr:uid="{E558F282-08CD-472C-876A-5EB31A6C366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" authorId="7" shapeId="0" xr:uid="{E264AE75-D110-4C5F-8F54-85D93692EAC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" authorId="8" shapeId="0" xr:uid="{58E3309A-9A91-4F9E-9BFD-6D920F1CC57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" authorId="9" shapeId="0" xr:uid="{CA5F0CA1-60F7-4C7C-85AF-B7E110881A8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" authorId="10" shapeId="0" xr:uid="{6DA3D1BF-CCC2-4933-899B-3EC62B13313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" authorId="11" shapeId="0" xr:uid="{D334CA06-A55D-4ED6-AA1E-6B5EB25002A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" authorId="12" shapeId="0" xr:uid="{8779E972-CA5B-4E60-BCF5-E067D6E6EB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" authorId="13" shapeId="0" xr:uid="{1F74C865-95F1-435F-8FE1-F5B3417246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8" authorId="14" shapeId="0" xr:uid="{D9BB1504-E525-40DC-B1B0-359E685A6E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1" authorId="15" shapeId="0" xr:uid="{359C467E-A2C1-468F-BE39-1B4348E2891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tarjeta+transferencia</t>
      </text>
    </comment>
    <comment ref="H33" authorId="16" shapeId="0" xr:uid="{C10F1EA8-3978-42BC-BE2E-9C215D515C0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6" authorId="17" shapeId="0" xr:uid="{15066627-ADA3-4724-9D50-122950201E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7" authorId="18" shapeId="0" xr:uid="{E05DA74A-6C7B-4168-B33B-BFE344DFE98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8" authorId="19" shapeId="0" xr:uid="{A8D30D0B-5186-4544-A24C-0FD9658829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2" authorId="20" shapeId="0" xr:uid="{066298D7-C734-464E-8EA1-EC120BA0E8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3" authorId="21" shapeId="0" xr:uid="{2702AB25-2BE8-4FE8-9908-7D3D96C5D7A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4" authorId="22" shapeId="0" xr:uid="{3053D98C-C02D-443F-980F-1123E129E7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transferenica
55 efectivo</t>
      </text>
    </comment>
    <comment ref="H46" authorId="23" shapeId="0" xr:uid="{8DA7BDF4-54B0-427D-AED5-71D014D58B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47" authorId="24" shapeId="0" xr:uid="{63A8BD8A-63B2-4DD5-B91B-C2CF221B39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tarjeta</t>
      </text>
    </comment>
    <comment ref="H48" authorId="25" shapeId="0" xr:uid="{734F690C-7647-40D8-8664-D92056B86B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tarjeta</t>
      </text>
    </comment>
    <comment ref="H51" authorId="26" shapeId="0" xr:uid="{3350FDA5-BA54-4E14-AFCC-4F6BD8FA90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5" authorId="27" shapeId="0" xr:uid="{8E9BADC5-59B7-41F4-BC44-5545CA63AC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6" authorId="28" shapeId="0" xr:uid="{2E6DEA17-6060-4535-88E0-43E0B5C12D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efectivo</t>
      </text>
    </comment>
    <comment ref="H57" authorId="29" shapeId="0" xr:uid="{A5C3E05C-5180-4609-8860-4FF11EA141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58" authorId="30" shapeId="0" xr:uid="{2D0BDDC5-5B15-4ABE-B4AC-8D48AD556A9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tarjeta
efectivo</t>
      </text>
    </comment>
    <comment ref="H59" authorId="31" shapeId="0" xr:uid="{6D5C187B-1DAE-4145-A485-CD774FF5EB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0" authorId="32" shapeId="0" xr:uid="{F32D8513-25DE-4337-872C-35AA21AF2E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transferecia
35 efectivo</t>
      </text>
    </comment>
    <comment ref="H61" authorId="33" shapeId="0" xr:uid="{4E36A00B-A131-4A9B-9C37-BB49DA08E1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35 efectivo</t>
      </text>
    </comment>
    <comment ref="H67" authorId="34" shapeId="0" xr:uid="{A0A96696-6CB9-459D-983A-A796AB6DA1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68" authorId="35" shapeId="0" xr:uid="{DDC5F514-15BE-4FCA-AF65-2474F17FD6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69" authorId="36" shapeId="0" xr:uid="{4D192C9D-ADD0-424C-B993-6563DEE3AA9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50 transferencia
25 efectivo</t>
      </text>
    </comment>
    <comment ref="H70" authorId="37" shapeId="0" xr:uid="{5047D13F-58CB-486F-826E-BDE70B5F85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1" authorId="38" shapeId="0" xr:uid="{E3212666-00A8-4D19-92C2-C3A0C056B6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45 efectivo</t>
      </text>
    </comment>
    <comment ref="H74" authorId="39" shapeId="0" xr:uid="{8E5D943A-2A01-4B7D-A73C-CAEC4A5C4D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7" authorId="40" shapeId="0" xr:uid="{CE9E8529-C8FF-4239-83BD-797A20FDA7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78" authorId="41" shapeId="0" xr:uid="{C8A02185-6DB5-459B-B433-09B1B482623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45 efectivo</t>
      </text>
    </comment>
    <comment ref="H79" authorId="42" shapeId="0" xr:uid="{32830B20-AE85-45FE-9093-6AAAD621DF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0" authorId="43" shapeId="0" xr:uid="{13E68BCA-10AF-41D0-9FAA-488D761050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1" authorId="44" shapeId="0" xr:uid="{246C5BAA-3B63-4466-961E-C529E7EC4A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2" authorId="45" shapeId="0" xr:uid="{34AC98F7-92AD-4513-85C6-621EEE9A9F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83" authorId="46" shapeId="0" xr:uid="{DC532371-0A61-449A-B1CA-B79ED540BE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10 efectivo 
35 tran</t>
      </text>
    </comment>
    <comment ref="H85" authorId="47" shapeId="0" xr:uid="{DA8E3B17-E127-4FF7-AB8E-E516469E0C8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
factura</t>
      </text>
    </comment>
    <comment ref="H87" authorId="48" shapeId="0" xr:uid="{E88FC70A-01A3-4923-A6E8-F5D0270EACC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8" authorId="49" shapeId="0" xr:uid="{29E287DF-99D2-47D4-A034-D553F505AE6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89" authorId="50" shapeId="0" xr:uid="{E0CDE40D-6E97-4AB7-BBF4-D10F3FB2D2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40 efectivo</t>
      </text>
    </comment>
    <comment ref="H92" authorId="51" shapeId="0" xr:uid="{5A256C7C-DDEB-45C0-B023-E54546BBAC8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3" authorId="52" shapeId="0" xr:uid="{51142489-59D2-4D96-A323-ED640716E5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94" authorId="53" shapeId="0" xr:uid="{6612DDFF-44AE-48A4-A7E7-173FAB863F3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5" authorId="54" shapeId="0" xr:uid="{DE4CC6F4-A626-4358-9A5B-2472508D4C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6" authorId="55" shapeId="0" xr:uid="{719FB1BE-F999-49FA-8497-D0A387BD07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7" authorId="56" shapeId="0" xr:uid="{CA5AFD32-CF14-43F8-AFC2-D357F19FC5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8" authorId="57" shapeId="0" xr:uid="{8BD02CE2-87EC-4936-8A32-905EE7AD542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99" authorId="58" shapeId="0" xr:uid="{CE3C67A7-A48E-4BB7-9A08-F9897B8B6E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30 efectivo</t>
      </text>
    </comment>
    <comment ref="H100" authorId="59" shapeId="0" xr:uid="{C84DA40B-D70C-4914-9D30-F9CC5EE8A9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02" authorId="60" shapeId="0" xr:uid="{FAB4849E-51DC-40A6-AB2D-58F8427209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5" authorId="61" shapeId="0" xr:uid="{E385B6D3-00ED-4C07-9979-AF418D6AD4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TARJETA</t>
      </text>
    </comment>
    <comment ref="H108" authorId="62" shapeId="0" xr:uid="{865EA5C5-1502-4BCE-9F04-C75D93263A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09" authorId="63" shapeId="0" xr:uid="{C5128C04-36E0-4A5A-BA7A-48313427516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0" authorId="64" shapeId="0" xr:uid="{662DE6B8-DB69-4160-9B7F-C8437242043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efectivo 
40 tarjeta</t>
      </text>
    </comment>
    <comment ref="H111" authorId="65" shapeId="0" xr:uid="{9454E76A-0630-4880-A910-1F351F2196B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tarjeta</t>
      </text>
    </comment>
    <comment ref="H112" authorId="66" shapeId="0" xr:uid="{3580B8EF-DD65-4226-95EC-DEAB77BBE0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transferenica
25 efectivo</t>
      </text>
    </comment>
    <comment ref="H113" authorId="67" shapeId="0" xr:uid="{518E15F6-25E1-4B02-B982-B15947DBEAF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4" authorId="68" shapeId="0" xr:uid="{8735769F-B1CE-49B0-8B5C-F96272C34DC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18" authorId="69" shapeId="0" xr:uid="{DD94A92C-6383-457F-A034-5A99ED72B5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1" authorId="70" shapeId="0" xr:uid="{996DAD54-C9F5-46D9-B05B-065D7E0E1F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tarjeta+transferencia</t>
      </text>
    </comment>
    <comment ref="H122" authorId="71" shapeId="0" xr:uid="{31D88A16-E6FC-4E8B-ACD2-84D478BD6C6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tarjeta+transferencia</t>
      </text>
    </comment>
    <comment ref="H123" authorId="72" shapeId="0" xr:uid="{8DBC1637-3A30-434B-A9C0-79141A0A0F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tarjeta+transferencia</t>
      </text>
    </comment>
    <comment ref="H124" authorId="73" shapeId="0" xr:uid="{605E2898-1E46-43F4-B413-E61581D7ED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5" authorId="74" shapeId="0" xr:uid="{29B2900C-218E-4311-92BF-53D5FA9EA34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6" authorId="75" shapeId="0" xr:uid="{C5F7CAE8-230C-49B7-942D-BC903DAE63D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27" authorId="76" shapeId="0" xr:uid="{0DFEFD88-346F-4E8A-9D3C-66D91FEDD4E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128" authorId="77" shapeId="0" xr:uid="{20A88C0F-4158-452B-A602-57E29AF69B9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0" authorId="78" shapeId="0" xr:uid="{20347D9D-1B98-4698-B7DB-F721C8C065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1" authorId="79" shapeId="0" xr:uid="{062C335A-4BF4-4B64-B1C0-A499D57EA8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tarjeta</t>
      </text>
    </comment>
    <comment ref="H132" authorId="80" shapeId="0" xr:uid="{040AEF19-891A-46AB-8DAF-383A3AE4C12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+ efectivo</t>
      </text>
    </comment>
    <comment ref="H133" authorId="81" shapeId="0" xr:uid="{A98B1A80-E08B-48EC-A4F3-6F3E8909566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 + 50 efectivo</t>
      </text>
    </comment>
    <comment ref="H134" authorId="82" shapeId="0" xr:uid="{1445E895-B4A9-42BE-B86A-3004E79269B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6" authorId="83" shapeId="0" xr:uid="{59EA7EF9-A9BA-475B-A9C8-D660A709D39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7" authorId="84" shapeId="0" xr:uid="{360DC5A2-E784-481B-A9B2-C51753BCAD1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38" authorId="85" shapeId="0" xr:uid="{BE1F88AD-492F-45A0-A345-C3B3BDB7E4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39" authorId="86" shapeId="0" xr:uid="{E377FCCD-FE62-419D-820C-F42B32FB811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1" authorId="87" shapeId="0" xr:uid="{F363F892-AB83-40D5-B3DB-BD58F93243B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4" authorId="88" shapeId="0" xr:uid="{FA4F7DCE-44EC-429C-80B3-DF4C5424463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25 efectivo</t>
      </text>
    </comment>
    <comment ref="H145" authorId="89" shapeId="0" xr:uid="{3F231FF8-2EE5-4BDE-AE2C-CA0F5AAC93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tarejta</t>
      </text>
    </comment>
    <comment ref="H146" authorId="90" shapeId="0" xr:uid="{BE839A0E-901E-4563-84C2-FECE85F4707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47" authorId="91" shapeId="0" xr:uid="{04000719-90FF-450C-9714-C64402C8F97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 + 40 efectivo</t>
      </text>
    </comment>
    <comment ref="H148" authorId="92" shapeId="0" xr:uid="{A9EC672E-C4CE-4815-A979-BD71B72393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en transferenica + 35 efectivo</t>
      </text>
    </comment>
    <comment ref="H153" authorId="93" shapeId="0" xr:uid="{A820A105-FCF6-4E4E-A3D5-58EEB54E52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5" authorId="94" shapeId="0" xr:uid="{2701BE9F-9866-46BF-A2C0-6FB255118BB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6" authorId="95" shapeId="0" xr:uid="{87745721-95FA-43E6-9F85-88973F70C11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TRANSFERENCIA+TARJETA</t>
      </text>
    </comment>
    <comment ref="H157" authorId="96" shapeId="0" xr:uid="{0F250071-E9DF-41BE-AB5C-4688536157A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8" authorId="97" shapeId="0" xr:uid="{B8776A63-1FF9-4396-A20F-A352AAE5CD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59" authorId="98" shapeId="0" xr:uid="{32676644-F6FE-45CD-951A-3487E87EEC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35 EFECTIVO</t>
      </text>
    </comment>
    <comment ref="H160" authorId="99" shapeId="0" xr:uid="{17F4237A-2FA2-4B54-B668-C53B5A0826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TRANSFERENICA
50 EFECTIVO</t>
      </text>
    </comment>
    <comment ref="H161" authorId="100" shapeId="0" xr:uid="{B61B79AD-1FF4-4138-B405-5A61E1B88B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50 EFECTIVO</t>
      </text>
    </comment>
    <comment ref="H162" authorId="101" shapeId="0" xr:uid="{BBD35FA7-C90D-4BEB-8A1D-334B9D98A14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163" authorId="102" shapeId="0" xr:uid="{50494321-A833-4002-8F09-F4D421ED21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164" authorId="103" shapeId="0" xr:uid="{1AC6680E-0305-4CFE-ADEA-41F26EF96CF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6" authorId="104" shapeId="0" xr:uid="{7C1031AE-270F-42B0-9B43-F689A3FF09D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TRANSFEREBCIA
45 EFECTIVO</t>
      </text>
    </comment>
    <comment ref="H167" authorId="105" shapeId="0" xr:uid="{C82F8D5F-08EA-4005-ADD0-52E9F0105B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8" authorId="106" shapeId="0" xr:uid="{E53CB9DE-9FC4-4492-B7BD-B59CF256F8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69" authorId="107" shapeId="0" xr:uid="{5E5BB6F6-ABD5-43B5-8864-C9D6158157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0" authorId="108" shapeId="0" xr:uid="{0CB5E1FA-532D-4632-B61F-5D9F7E999E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2" authorId="109" shapeId="0" xr:uid="{EEA0D554-9F47-4EB4-870F-2F306ACCD97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173" authorId="110" shapeId="0" xr:uid="{3B72CCA9-061F-431D-8455-E1A8EAE1296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tranferencia 
25 efectivo</t>
      </text>
    </comment>
    <comment ref="H175" authorId="111" shapeId="0" xr:uid="{9A3C567A-5CCA-4EDF-A4BE-0EE09521B7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 + 55 efectivo</t>
      </text>
    </comment>
    <comment ref="H176" authorId="112" shapeId="0" xr:uid="{6D370423-2DC0-4224-A572-2AA305DFCA5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77" authorId="113" shapeId="0" xr:uid="{C0F7FFF6-8C6B-44E6-A421-A7A101BE699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 transferencia</t>
      </text>
    </comment>
    <comment ref="H178" authorId="114" shapeId="0" xr:uid="{D47C7ED1-40BB-4815-A2C7-4CA6CD7558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25 efectivo</t>
      </text>
    </comment>
    <comment ref="H179" authorId="115" shapeId="0" xr:uid="{EEBA2613-5291-4AC7-A06F-42AF973039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0" authorId="116" shapeId="0" xr:uid="{F19380F5-AFE5-44FE-92A0-3D9FAC55E2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181" authorId="117" shapeId="0" xr:uid="{5AF27665-371F-4580-856F-AFD030EDFF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 
factura</t>
      </text>
    </comment>
    <comment ref="H182" authorId="118" shapeId="0" xr:uid="{228EFEFF-845A-4879-A402-6173D10EF76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
factura</t>
      </text>
    </comment>
    <comment ref="H183" authorId="119" shapeId="0" xr:uid="{07139A2C-5DE1-49AD-8889-2A49543A23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186" authorId="120" shapeId="0" xr:uid="{D7B7D89C-2A9F-4618-98C3-FDEAA94228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50 efectivo</t>
      </text>
    </comment>
    <comment ref="H187" authorId="121" shapeId="0" xr:uid="{E5CD3B54-AD1B-4293-ADDC-C0D6F1DDE7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EFECTIVIO</t>
      </text>
    </comment>
    <comment ref="H188" authorId="122" shapeId="0" xr:uid="{0D879F1F-6956-480F-B747-8350EE4F60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50 EFECTIVO</t>
      </text>
    </comment>
    <comment ref="H190" authorId="123" shapeId="0" xr:uid="{D7BB7B99-095D-47EC-B13D-EFB03CE921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1" authorId="124" shapeId="0" xr:uid="{D7428587-D05C-478B-AAF4-8044CB63DC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55 tarjeta</t>
      </text>
    </comment>
    <comment ref="H192" authorId="125" shapeId="0" xr:uid="{4D98FC25-C1C5-476A-82EB-706E12474E0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120 tarjeta</t>
      </text>
    </comment>
    <comment ref="H193" authorId="126" shapeId="0" xr:uid="{A2F212F0-848E-42A7-9BE8-75AFD060A03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194" authorId="127" shapeId="0" xr:uid="{9AAD2292-5B72-4423-83BC-FEF270F3B5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195" authorId="128" shapeId="0" xr:uid="{D33A59CE-5FCC-455A-8306-1CB01B72107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70 efectivo</t>
      </text>
    </comment>
    <comment ref="H196" authorId="129" shapeId="0" xr:uid="{F88BCEBA-251B-4078-AEFE-E7C3E4B832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198" authorId="130" shapeId="0" xr:uid="{F8EA3ABC-660E-4640-9F6B-CF8A61C2F9A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55 TARJET</t>
      </text>
    </comment>
    <comment ref="H199" authorId="131" shapeId="0" xr:uid="{C36C7639-EF35-4735-B63C-C8C0B0D2C7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TARJETA</t>
      </text>
    </comment>
    <comment ref="H200" authorId="132" shapeId="0" xr:uid="{2120165A-A96A-4AE0-892D-ACF03D86063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TARJETA</t>
      </text>
    </comment>
    <comment ref="H202" authorId="133" shapeId="0" xr:uid="{50C1CB19-CDFB-4A55-BD45-8AF98B5D4AE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65 efecvtivo</t>
      </text>
    </comment>
    <comment ref="H204" authorId="134" shapeId="0" xr:uid="{FD5FB092-3921-4D07-BF22-FBA5C48A771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05" authorId="135" shapeId="0" xr:uid="{260D8DC3-061A-42B9-9BC8-71A0E4B6FA4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tarjeta+transferencia</t>
      </text>
    </comment>
    <comment ref="H207" authorId="136" shapeId="0" xr:uid="{52ACC75B-23C4-44E7-A8A8-2375C11655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08" authorId="137" shapeId="0" xr:uid="{FEB96806-E59C-44E9-BB3A-023B4EDCE82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25 EFECTIVO</t>
      </text>
    </comment>
    <comment ref="H209" authorId="138" shapeId="0" xr:uid="{79B46994-AF9B-4794-8B67-8C1B6D53477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25 EFECTIVO</t>
      </text>
    </comment>
    <comment ref="H210" authorId="139" shapeId="0" xr:uid="{DB7E540A-EA42-4202-B726-1FDAEE14C7A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1" authorId="140" shapeId="0" xr:uid="{4720B27F-DF41-49F2-ACAB-32EE782535A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2" authorId="141" shapeId="0" xr:uid="{45758CD8-7CB3-46FE-8470-445B579E0F3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3" authorId="142" shapeId="0" xr:uid="{A6236BF2-C677-4106-ADBB-FB7E7ED8014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214" authorId="143" shapeId="0" xr:uid="{652ED1AC-48A7-4F58-B1D4-25364C83054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15" authorId="144" shapeId="0" xr:uid="{5372A3A3-886C-4BE6-A44A-86FA08F6BC9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tarjeta
45 efectivo</t>
      </text>
    </comment>
    <comment ref="H218" authorId="145" shapeId="0" xr:uid="{D3C8EE1E-6959-4759-8D3B-152901CB065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19" authorId="146" shapeId="0" xr:uid="{C2C98501-F55F-4FA7-AE6E-66ED280016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20" authorId="147" shapeId="0" xr:uid="{5853E291-E691-4ACC-986D-8D3D92EBA3F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221" authorId="148" shapeId="0" xr:uid="{7F007E6F-7932-4D28-A987-C7A91F9B83B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2" authorId="149" shapeId="0" xr:uid="{CE3B3ED2-A17C-47E4-B5EB-ACA517241F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50 efectivo</t>
      </text>
    </comment>
    <comment ref="H223" authorId="150" shapeId="0" xr:uid="{A1FA23BE-F3FF-4F48-A0F5-23E7A1DAAE2E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5" authorId="151" shapeId="0" xr:uid="{CF2269E8-1DFA-4422-8B47-971516765A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6" authorId="152" shapeId="0" xr:uid="{DDB656ED-79EE-485D-B9DC-421418C5B3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60 transferencia
10 efectivo</t>
      </text>
    </comment>
    <comment ref="H228" authorId="153" shapeId="0" xr:uid="{60789A3A-225E-4CEB-ADC8-439ED197433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29" authorId="154" shapeId="0" xr:uid="{47A2547E-1A2B-405E-9B03-8EBFBD363E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30" authorId="155" shapeId="0" xr:uid="{D4DB7385-ADD0-480A-ACFA-0E105F2B853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30 EFECTIVO</t>
      </text>
    </comment>
    <comment ref="H235" authorId="156" shapeId="0" xr:uid="{2699714B-0CF5-45DA-AC6D-38D8E2C55B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36" authorId="157" shapeId="0" xr:uid="{DB7EFDE9-A767-4D64-BA39-5A52830B100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237" authorId="158" shapeId="0" xr:uid="{49CD76AE-50B8-450E-859F-10AC9FB8FE1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</t>
      </text>
    </comment>
    <comment ref="H239" authorId="159" shapeId="0" xr:uid="{8728A3B3-3139-4758-81C0-70DE9B176B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2" authorId="160" shapeId="0" xr:uid="{A92013F3-255B-4BDD-A777-E54E7E8AAE0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58 efectivo</t>
      </text>
    </comment>
    <comment ref="H243" authorId="161" shapeId="0" xr:uid="{C93AAAD0-737E-4A3B-9711-E308B56E348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tarjeta
40 efectivo</t>
      </text>
    </comment>
    <comment ref="H244" authorId="162" shapeId="0" xr:uid="{9A56A778-5017-4813-B9D8-C83846ECAA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45" authorId="163" shapeId="0" xr:uid="{D6D758EE-60B5-414D-B578-F7174C8C44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35 efevtivo</t>
      </text>
    </comment>
    <comment ref="H246" authorId="164" shapeId="0" xr:uid="{720EA22C-1091-4203-910C-50C91DE700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
tarjeta</t>
      </text>
    </comment>
    <comment ref="H247" authorId="165" shapeId="0" xr:uid="{8663B639-0265-414B-9F6E-627A0CEA75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
factura</t>
      </text>
    </comment>
    <comment ref="H248" authorId="166" shapeId="0" xr:uid="{66559572-496A-49A6-AC74-DE9EDBB009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tarjeya</t>
      </text>
    </comment>
    <comment ref="H249" authorId="167" shapeId="0" xr:uid="{97F3C458-E82C-49DF-8E1E-79EEF33B5DD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250" authorId="168" shapeId="0" xr:uid="{64A28E14-971E-4F45-8776-AE88821AFA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35 efectivo</t>
      </text>
    </comment>
    <comment ref="H251" authorId="169" shapeId="0" xr:uid="{38B1AB8E-3598-4C1C-85AB-FB15400BA9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252" authorId="170" shapeId="0" xr:uid="{8385FAFD-2BB1-4FCD-BBC6-12B3B54468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3" authorId="171" shapeId="0" xr:uid="{65408F7A-5186-4821-A4E9-FB3F719D795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50 efectivo</t>
      </text>
    </comment>
    <comment ref="H255" authorId="172" shapeId="0" xr:uid="{0BDC86F2-A3D4-493D-9734-EFA0B679ED2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6" authorId="173" shapeId="0" xr:uid="{B3B6622A-29F5-4DBF-815E-09867F14B20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57" authorId="174" shapeId="0" xr:uid="{ACAB0FE4-1C11-4367-830C-04D46D267D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3" authorId="175" shapeId="0" xr:uid="{375211AE-0C69-4D6D-BE02-B90ECC4B3AB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64" authorId="176" shapeId="0" xr:uid="{04C58DAB-4336-492F-9C37-2FBF109D15E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5" authorId="177" shapeId="0" xr:uid="{9F0B5C10-3F9D-48A2-9013-25155D7F3F1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6" authorId="178" shapeId="0" xr:uid="{AF01ABA1-F4F6-4D19-AF32-0087199BB2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7" authorId="179" shapeId="0" xr:uid="{735F2F89-1A64-4BFE-B822-D14D85E771E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68" authorId="180" shapeId="0" xr:uid="{A95339C2-468C-4558-AAF4-431FB1C0EBC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269" authorId="181" shapeId="0" xr:uid="{6379D92E-1F6C-4EE6-9B91-5393BD49F00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0" authorId="182" shapeId="0" xr:uid="{2C042025-62C7-4991-BE9E-BC159ED271D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71" authorId="183" shapeId="0" xr:uid="{BDC22DB8-D1BC-408F-8E4C-3AC60F6FDBA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2" authorId="184" shapeId="0" xr:uid="{9396DDA7-B214-4CE8-A403-11092A96EFB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20 transferencia
60 efectivo</t>
      </text>
    </comment>
    <comment ref="H273" authorId="185" shapeId="0" xr:uid="{641E90D3-0F64-4A89-9B0C-62B2EB5E7F0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65 efectivo</t>
      </text>
    </comment>
    <comment ref="H274" authorId="186" shapeId="0" xr:uid="{06422621-652A-4E0E-ADB8-64019C5608F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76" authorId="187" shapeId="0" xr:uid="{B572ADCD-3D93-4B47-A045-6834239A00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77" authorId="188" shapeId="0" xr:uid="{48A70F47-E34B-4FF5-995B-792345E0B3F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60 EFECTIVO
15 TARJETA</t>
      </text>
    </comment>
    <comment ref="H278" authorId="189" shapeId="0" xr:uid="{514BB3B3-ED47-4E41-B464-2348A7FAD1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tarjeta 
45 efectivo</t>
      </text>
    </comment>
    <comment ref="H279" authorId="190" shapeId="0" xr:uid="{1EF05AB8-2B08-43A2-91DA-EC8287DF39D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282" authorId="191" shapeId="0" xr:uid="{B097FAAC-B9F6-40AD-ADA4-1AF566DA7F4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25 efectivo</t>
      </text>
    </comment>
    <comment ref="H283" authorId="192" shapeId="0" xr:uid="{5A073284-8C65-4150-A646-6A9B0B05A43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84" authorId="193" shapeId="0" xr:uid="{4331F5C9-E972-4DB3-B0F4-A3BFDD6AA09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285" authorId="194" shapeId="0" xr:uid="{0D22409B-CFF6-4569-9ADF-BFC37BB79FA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86" authorId="195" shapeId="0" xr:uid="{C7A9DCBD-E184-480B-BDFD-5BE953B6406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87" authorId="196" shapeId="0" xr:uid="{788088CA-2401-4616-A5FB-D63241312BD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55 efectivo</t>
      </text>
    </comment>
    <comment ref="H289" authorId="197" shapeId="0" xr:uid="{B7757FB7-5B29-4111-AFE1-2D3095584A1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
factura</t>
      </text>
    </comment>
    <comment ref="H291" authorId="198" shapeId="0" xr:uid="{EA83197F-0A2C-40CB-B1A5-8B425E4143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65 efectivo</t>
      </text>
    </comment>
    <comment ref="H292" authorId="199" shapeId="0" xr:uid="{995E8691-E93F-4DEC-8F76-96C28B8E858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60 transferencia 
10 efectivo</t>
      </text>
    </comment>
    <comment ref="H294" authorId="200" shapeId="0" xr:uid="{FB8C4550-4749-4371-8C1E-907F82F2452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95" authorId="201" shapeId="0" xr:uid="{6FC70788-7C66-4010-8A72-98EFDCC72E9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296" authorId="202" shapeId="0" xr:uid="{14896215-17EB-499B-8471-EA1F74605B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97" authorId="203" shapeId="0" xr:uid="{7BC5A97F-5179-4D7A-9A36-95E65007EAE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298" authorId="204" shapeId="0" xr:uid="{2B4FE184-FBD3-4D00-9E5C-C098BBCB935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transferenica</t>
      </text>
    </comment>
    <comment ref="H299" authorId="205" shapeId="0" xr:uid="{9D6AF0DC-1ED2-4BA1-8673-9BFD6D7BF7C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00" authorId="206" shapeId="0" xr:uid="{9BD4272F-D975-4349-BAAD-A4A821240F2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40 efectivo</t>
      </text>
    </comment>
    <comment ref="H302" authorId="207" shapeId="0" xr:uid="{7E46F5D5-AB26-4519-A0CB-53C8EA2C15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03" authorId="208" shapeId="0" xr:uid="{6DE6ABAA-6613-40C8-9ECD-313B7D669AF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04" authorId="209" shapeId="0" xr:uid="{00B56E2F-33F7-4597-83B2-75295537E4D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07" authorId="210" shapeId="0" xr:uid="{43B919D3-6CBF-475F-BDCD-25E989C6D55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TARJETRA</t>
      </text>
    </comment>
    <comment ref="H308" authorId="211" shapeId="0" xr:uid="{445EB6BB-2C58-4172-B3B1-970DCA0A465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09" authorId="212" shapeId="0" xr:uid="{1A7D1599-D1B1-43DD-BE4C-73A053F49D9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40 EFECTIVO</t>
      </text>
    </comment>
    <comment ref="H310" authorId="213" shapeId="0" xr:uid="{8FEDF0DD-EF83-466B-A9E6-F6C0A9B111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efectivo</t>
      </text>
    </comment>
    <comment ref="H311" authorId="214" shapeId="0" xr:uid="{D5594CA7-3F2F-4842-A3D3-385C6B94027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12" authorId="215" shapeId="0" xr:uid="{2A97D13A-ED60-4A1C-9886-89D25901C9C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transferewncia
25 efectivo</t>
      </text>
    </comment>
    <comment ref="H313" authorId="216" shapeId="0" xr:uid="{53582B59-28FA-41C7-B298-9195F0C3670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45 efectivo</t>
      </text>
    </comment>
    <comment ref="H314" authorId="217" shapeId="0" xr:uid="{95414162-1215-45A3-B801-C625CE983CC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16" authorId="218" shapeId="0" xr:uid="{B26CA63A-0537-440F-9EB6-B3C4E1CA100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anticipo
50 efectivo</t>
      </text>
    </comment>
    <comment ref="H317" authorId="219" shapeId="0" xr:uid="{A1B348C9-3545-435A-8AAD-B526FE10AB4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20 efectivo</t>
      </text>
    </comment>
    <comment ref="H321" authorId="220" shapeId="0" xr:uid="{D00D6061-1B50-4783-A07C-8756E4A7A93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tarjeta</t>
      </text>
    </comment>
    <comment ref="H322" authorId="221" shapeId="0" xr:uid="{798A5749-1CBC-41F0-B153-7CEB6A4A8E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23" authorId="222" shapeId="0" xr:uid="{031F1BBC-6979-42BB-B3DE-10193105E2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 
40 efectivo</t>
      </text>
    </comment>
    <comment ref="H324" authorId="223" shapeId="0" xr:uid="{E0B4FB1F-F22E-45D3-B3CE-CB6EAD14C56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30 efectivo</t>
      </text>
    </comment>
    <comment ref="H326" authorId="224" shapeId="0" xr:uid="{0F79FF21-7E8E-4B7D-930F-F83A41A690D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55 TARJETA</t>
      </text>
    </comment>
    <comment ref="H327" authorId="225" shapeId="0" xr:uid="{4A46651C-F8F5-4AAA-AC55-C7D68732C59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28" authorId="226" shapeId="0" xr:uid="{4D27F6F8-5BE9-4EC2-966F-2FF04F782FF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29" authorId="227" shapeId="0" xr:uid="{110908C2-1B2B-4B4F-BC1C-7FE199C0B9F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50 efectivo
35 etransferencia</t>
      </text>
    </comment>
    <comment ref="H330" authorId="228" shapeId="0" xr:uid="{2CB0AD4B-5A7B-4E7A-8EF3-FE02678430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50 EFECTIVO</t>
      </text>
    </comment>
    <comment ref="H331" authorId="229" shapeId="0" xr:uid="{831FE6FD-A92E-409B-955E-9901A939D24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 y tarjeta</t>
      </text>
    </comment>
    <comment ref="H332" authorId="230" shapeId="0" xr:uid="{AC417AAD-7DFC-4A9F-94F4-EFB8327FC98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33" authorId="231" shapeId="0" xr:uid="{34D2B64D-BE37-4FBB-8F18-F7F142AB942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34" authorId="232" shapeId="0" xr:uid="{DA7FBB83-3864-471B-A99D-9620793F29F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30 transferencia
60 efectivo</t>
      </text>
    </comment>
    <comment ref="H335" authorId="233" shapeId="0" xr:uid="{0023B211-7366-435D-86CF-EFC54A51AB4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37" authorId="234" shapeId="0" xr:uid="{7B0F44FE-E391-4E8C-BAAB-410D4EC0171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  <comment ref="H339" authorId="235" shapeId="0" xr:uid="{A1CF3F31-C012-43D6-B9B2-7A6C56627E7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TRANSFERENCIA</t>
      </text>
    </comment>
  </commentList>
</comments>
</file>

<file path=xl/sharedStrings.xml><?xml version="1.0" encoding="utf-8"?>
<sst xmlns="http://schemas.openxmlformats.org/spreadsheetml/2006/main" count="14878" uniqueCount="1888">
  <si>
    <t>FECHA</t>
  </si>
  <si>
    <t>NOMBRE DEL PROPIETARIO</t>
  </si>
  <si>
    <t>MASCOTA</t>
  </si>
  <si>
    <t>RAZA</t>
  </si>
  <si>
    <t>SERVICIO</t>
  </si>
  <si>
    <t>ADICIONALES</t>
  </si>
  <si>
    <t>PELO</t>
  </si>
  <si>
    <t>VALOR</t>
  </si>
  <si>
    <t>PESO</t>
  </si>
  <si>
    <t>ACCESORIO</t>
  </si>
  <si>
    <t>JUAN ELIEZER AGUDELO</t>
  </si>
  <si>
    <t>ROCKY</t>
  </si>
  <si>
    <t>SCHNAUZER</t>
  </si>
  <si>
    <t>EVA'S GROOMING</t>
  </si>
  <si>
    <t>LARGO</t>
  </si>
  <si>
    <t>PAÑOLETA</t>
  </si>
  <si>
    <t>MARCELA MARTINEZ</t>
  </si>
  <si>
    <t>ALDO</t>
  </si>
  <si>
    <t>COCKER</t>
  </si>
  <si>
    <t>BAÑO EVA</t>
  </si>
  <si>
    <t>JOCELYN CORTES</t>
  </si>
  <si>
    <t>MANOLO</t>
  </si>
  <si>
    <t>PUG</t>
  </si>
  <si>
    <t>CORTO</t>
  </si>
  <si>
    <t>LEIDY ALFONSO</t>
  </si>
  <si>
    <t>SAM</t>
  </si>
  <si>
    <t>SHIH TZU</t>
  </si>
  <si>
    <t>FELIPE GUZMAN</t>
  </si>
  <si>
    <t>YEEZY</t>
  </si>
  <si>
    <t>CORGI</t>
  </si>
  <si>
    <t>SANDRA PANIAGUA</t>
  </si>
  <si>
    <t>MIA</t>
  </si>
  <si>
    <t>YORKSHIRE TERRIER</t>
  </si>
  <si>
    <t xml:space="preserve">SE DESENREDO PARA PODER HACER PELUQUERIA </t>
  </si>
  <si>
    <t>MOÑO</t>
  </si>
  <si>
    <t>JUAN RODRIGUEZ</t>
  </si>
  <si>
    <t>ROBBIN</t>
  </si>
  <si>
    <t>CORBATÍN</t>
  </si>
  <si>
    <t>ESTEFANIA FORONDA</t>
  </si>
  <si>
    <t>ELA</t>
  </si>
  <si>
    <t>MOÑOS</t>
  </si>
  <si>
    <t>MORITA</t>
  </si>
  <si>
    <t>DACHSHUND</t>
  </si>
  <si>
    <t>CINDY JOHANA ECHEVERRY</t>
  </si>
  <si>
    <t>MAYA</t>
  </si>
  <si>
    <t>BEAGLE</t>
  </si>
  <si>
    <t>BRUNO</t>
  </si>
  <si>
    <t xml:space="preserve">SEBASTIAN ARBOLEDA </t>
  </si>
  <si>
    <t>BAILEY</t>
  </si>
  <si>
    <t>PINCHSER</t>
  </si>
  <si>
    <t xml:space="preserve">WILFREDO BEITIA </t>
  </si>
  <si>
    <t xml:space="preserve">TOBY </t>
  </si>
  <si>
    <t xml:space="preserve">ADELA GIRALDO </t>
  </si>
  <si>
    <t xml:space="preserve">NIÑA </t>
  </si>
  <si>
    <t xml:space="preserve">GLADIS PALOMINO </t>
  </si>
  <si>
    <t xml:space="preserve">NALA </t>
  </si>
  <si>
    <t xml:space="preserve">YORMA LORENA ALVAREZ </t>
  </si>
  <si>
    <t xml:space="preserve">THOMAS </t>
  </si>
  <si>
    <t>PERSA</t>
  </si>
  <si>
    <t>CAT LOVER</t>
  </si>
  <si>
    <t xml:space="preserve">YAQUELINE CASTILLO </t>
  </si>
  <si>
    <t>CORTE DE UÑAS</t>
  </si>
  <si>
    <t xml:space="preserve">YAMILETH RODRIGUEZ </t>
  </si>
  <si>
    <t xml:space="preserve">LUNA </t>
  </si>
  <si>
    <t>MESTIZO</t>
  </si>
  <si>
    <t xml:space="preserve">CLAUDIA PATRICIA ARGOTI </t>
  </si>
  <si>
    <t>LIMPIEZA PROFUNDA 70</t>
  </si>
  <si>
    <t xml:space="preserve">INGRID LOPEZ </t>
  </si>
  <si>
    <t xml:space="preserve">DASHURI </t>
  </si>
  <si>
    <t xml:space="preserve">ANDREA VANESA GALVIS </t>
  </si>
  <si>
    <t>ERIKA GOMEZ GOMEZ</t>
  </si>
  <si>
    <t xml:space="preserve">MANCHITAS </t>
  </si>
  <si>
    <t>MARIA TERESA MENDOZA</t>
  </si>
  <si>
    <t xml:space="preserve">MOTAS </t>
  </si>
  <si>
    <t xml:space="preserve">ODIN </t>
  </si>
  <si>
    <t xml:space="preserve">VALENTINA TORO </t>
  </si>
  <si>
    <t>SANDRA ROMAN</t>
  </si>
  <si>
    <t>CLOE</t>
  </si>
  <si>
    <t>EVA LISO PERFECTO</t>
  </si>
  <si>
    <t xml:space="preserve">YUDI TRUJILLO </t>
  </si>
  <si>
    <t xml:space="preserve">PERLA </t>
  </si>
  <si>
    <t>KATHERINE RAMIREZ GIRALDO</t>
  </si>
  <si>
    <t xml:space="preserve">LORENZA </t>
  </si>
  <si>
    <t xml:space="preserve">APOLO </t>
  </si>
  <si>
    <t xml:space="preserve">LAURA DAVILA </t>
  </si>
  <si>
    <t xml:space="preserve">VILMA </t>
  </si>
  <si>
    <t xml:space="preserve">CAROLINA ZAMORA </t>
  </si>
  <si>
    <t xml:space="preserve">TEDDY </t>
  </si>
  <si>
    <t>POMERANIA</t>
  </si>
  <si>
    <t xml:space="preserve">NARDA AGUDELO </t>
  </si>
  <si>
    <t xml:space="preserve">SHAGGY </t>
  </si>
  <si>
    <t xml:space="preserve">LIMPIEZA PROFUNDA </t>
  </si>
  <si>
    <t xml:space="preserve">YURANI NIÑO </t>
  </si>
  <si>
    <t xml:space="preserve">DIOR </t>
  </si>
  <si>
    <t>EVA PRIMITIVO</t>
  </si>
  <si>
    <t xml:space="preserve">VERONICA ALVAREZ </t>
  </si>
  <si>
    <t xml:space="preserve">BLUEY </t>
  </si>
  <si>
    <t>WEST HIGHLAND WHITE TERRIER</t>
  </si>
  <si>
    <t>VICTOR VANEGA</t>
  </si>
  <si>
    <t xml:space="preserve">NEGRITO </t>
  </si>
  <si>
    <t>ODIE</t>
  </si>
  <si>
    <t>PEQUINES</t>
  </si>
  <si>
    <t xml:space="preserve">DANIELA LOPEZ </t>
  </si>
  <si>
    <t>DAZAA</t>
  </si>
  <si>
    <t xml:space="preserve">CODY </t>
  </si>
  <si>
    <t xml:space="preserve">LUZ HELENA DUQUE </t>
  </si>
  <si>
    <t xml:space="preserve">NALHA </t>
  </si>
  <si>
    <t xml:space="preserve">LEIDY VIVIANA CARDONA </t>
  </si>
  <si>
    <t xml:space="preserve">ASTRO </t>
  </si>
  <si>
    <t>MENSUALIDAD</t>
  </si>
  <si>
    <t xml:space="preserve">ROMEO </t>
  </si>
  <si>
    <t xml:space="preserve">MARISOL HENAO </t>
  </si>
  <si>
    <t>BIEWER TERRIER</t>
  </si>
  <si>
    <t>PEINADO</t>
  </si>
  <si>
    <t>-</t>
  </si>
  <si>
    <t xml:space="preserve">LUZ HELENA AGUIRRE </t>
  </si>
  <si>
    <t xml:space="preserve">ALANA </t>
  </si>
  <si>
    <t xml:space="preserve">MARI VILLADA </t>
  </si>
  <si>
    <t xml:space="preserve">SKY </t>
  </si>
  <si>
    <t>BULLDOG FRANCÉS</t>
  </si>
  <si>
    <t xml:space="preserve">JUAN FELIPE GARCIA </t>
  </si>
  <si>
    <t xml:space="preserve">TABATA </t>
  </si>
  <si>
    <t>BORDER COLLIE</t>
  </si>
  <si>
    <t xml:space="preserve">MAYRA MONDRAGON </t>
  </si>
  <si>
    <t xml:space="preserve">VIOLETA </t>
  </si>
  <si>
    <t xml:space="preserve">LUZ KARIME BEITIA </t>
  </si>
  <si>
    <t xml:space="preserve">BLUE </t>
  </si>
  <si>
    <t xml:space="preserve">DANIELA SANCLEMENTE </t>
  </si>
  <si>
    <t>DANNAH</t>
  </si>
  <si>
    <t xml:space="preserve">ANGELA MARIA NUÑEZ </t>
  </si>
  <si>
    <t xml:space="preserve">KIARA </t>
  </si>
  <si>
    <t>GOLDEN RETRIEVER</t>
  </si>
  <si>
    <t xml:space="preserve">JUAN RODRIGUEZ </t>
  </si>
  <si>
    <t xml:space="preserve">ROBBIN </t>
  </si>
  <si>
    <t xml:space="preserve">JORGE HURTADO </t>
  </si>
  <si>
    <t xml:space="preserve">PANDORA </t>
  </si>
  <si>
    <t>DAHIANA MARIN MARIN</t>
  </si>
  <si>
    <t xml:space="preserve">KIRA </t>
  </si>
  <si>
    <t xml:space="preserve">RAFAELA </t>
  </si>
  <si>
    <t xml:space="preserve">LUISA FERNANDA REBELLON </t>
  </si>
  <si>
    <t xml:space="preserve">DAIKY </t>
  </si>
  <si>
    <t xml:space="preserve">SUSANA ESCOBAR </t>
  </si>
  <si>
    <t xml:space="preserve">POLO </t>
  </si>
  <si>
    <t xml:space="preserve">LORENA SAENZ </t>
  </si>
  <si>
    <t xml:space="preserve">SOL </t>
  </si>
  <si>
    <t>MILENA OSORIO</t>
  </si>
  <si>
    <t xml:space="preserve">SIMON </t>
  </si>
  <si>
    <t>FELIPE CARDONA</t>
  </si>
  <si>
    <t>ANGUS</t>
  </si>
  <si>
    <t>NATALY COY</t>
  </si>
  <si>
    <t>JOAQUIN</t>
  </si>
  <si>
    <t xml:space="preserve">LAURA VALENTINA GORDILLO </t>
  </si>
  <si>
    <t>BOB VALENTIN</t>
  </si>
  <si>
    <t>BICHON MALTES</t>
  </si>
  <si>
    <t xml:space="preserve">DIANA DELGADO </t>
  </si>
  <si>
    <t xml:space="preserve">ADAL </t>
  </si>
  <si>
    <t xml:space="preserve">MARIANA LIZCANO </t>
  </si>
  <si>
    <t xml:space="preserve">MILA </t>
  </si>
  <si>
    <t xml:space="preserve">PAOLA TORRES </t>
  </si>
  <si>
    <t xml:space="preserve">BRUNO </t>
  </si>
  <si>
    <t>NO</t>
  </si>
  <si>
    <t xml:space="preserve">LAURA BORJA </t>
  </si>
  <si>
    <t xml:space="preserve">CANELA </t>
  </si>
  <si>
    <t>LUISA FERNANDA GOMEZ</t>
  </si>
  <si>
    <t>MIN-KI</t>
  </si>
  <si>
    <t>POODLE</t>
  </si>
  <si>
    <t>CRASH</t>
  </si>
  <si>
    <t>NANI CARDONA</t>
  </si>
  <si>
    <t>ABRIL</t>
  </si>
  <si>
    <t>DIANA MARCELA SERNA</t>
  </si>
  <si>
    <t>LUCAS</t>
  </si>
  <si>
    <t>VALENTINA PEÑARANDA</t>
  </si>
  <si>
    <t>ZEUS</t>
  </si>
  <si>
    <t>MAX</t>
  </si>
  <si>
    <t>VALENTINA RIOS</t>
  </si>
  <si>
    <t>DIEGO MARTINEZ</t>
  </si>
  <si>
    <t>TITO</t>
  </si>
  <si>
    <t>ADRIANA NAVARRETI</t>
  </si>
  <si>
    <t>MUSTAN</t>
  </si>
  <si>
    <t>JOHANA LONDOÑO</t>
  </si>
  <si>
    <t>TOBY</t>
  </si>
  <si>
    <t>EVA ALTERNATIVO</t>
  </si>
  <si>
    <t>INGRID LOPEZ</t>
  </si>
  <si>
    <t>DASHURI</t>
  </si>
  <si>
    <t xml:space="preserve">LINA JOHANA </t>
  </si>
  <si>
    <t>FIONA</t>
  </si>
  <si>
    <t>LILIANA TORRES</t>
  </si>
  <si>
    <t>JOY</t>
  </si>
  <si>
    <t>STITCH</t>
  </si>
  <si>
    <t>MIKE</t>
  </si>
  <si>
    <t>JAKE</t>
  </si>
  <si>
    <t>STEFANIA COY</t>
  </si>
  <si>
    <t>DOBBY</t>
  </si>
  <si>
    <t>MORA</t>
  </si>
  <si>
    <t>YULEIDY VILLEGAS</t>
  </si>
  <si>
    <t>ANASTASIA</t>
  </si>
  <si>
    <t>HUSKY SIBERIANO</t>
  </si>
  <si>
    <t>VALENTINA AZA</t>
  </si>
  <si>
    <t>NIÑO</t>
  </si>
  <si>
    <t>LILIANA CHAVEZ</t>
  </si>
  <si>
    <t>NATALIA SABOGAL</t>
  </si>
  <si>
    <t>LOCKY</t>
  </si>
  <si>
    <t>LEIDY CASTRO</t>
  </si>
  <si>
    <t>WHISKY</t>
  </si>
  <si>
    <t>VANESSA MORENO</t>
  </si>
  <si>
    <t>FERNANDO GARCIA</t>
  </si>
  <si>
    <t>THOR</t>
  </si>
  <si>
    <t xml:space="preserve">YURI MONTOYA </t>
  </si>
  <si>
    <t>RIGO</t>
  </si>
  <si>
    <t>LIMPIEZA PROFUNDA</t>
  </si>
  <si>
    <t>DIEGO FERNANDO LOPEZ</t>
  </si>
  <si>
    <t>BLUE</t>
  </si>
  <si>
    <t>NAYIBE ALEJANDRA RIVERA</t>
  </si>
  <si>
    <t>LEONARDO ARIZA</t>
  </si>
  <si>
    <t>QUESITO</t>
  </si>
  <si>
    <t>LUIS FERNANDO CRUCES</t>
  </si>
  <si>
    <t>CONNIE</t>
  </si>
  <si>
    <t>OSCAR ROPERO</t>
  </si>
  <si>
    <t>BALTO</t>
  </si>
  <si>
    <t>JACK</t>
  </si>
  <si>
    <t>SARAH MONTOYA</t>
  </si>
  <si>
    <t>SANCHO</t>
  </si>
  <si>
    <t>PITBULL</t>
  </si>
  <si>
    <t>MAYRA ALEJANDRA LOPEZ</t>
  </si>
  <si>
    <t>LAYKA</t>
  </si>
  <si>
    <t>LEYLA CAMARGO</t>
  </si>
  <si>
    <t>TOMMY BLUE</t>
  </si>
  <si>
    <t xml:space="preserve">VIVIANA MARCELA ALVAREZ </t>
  </si>
  <si>
    <t xml:space="preserve">MAXIMILIANO </t>
  </si>
  <si>
    <t>PASTOR ALEMÁN</t>
  </si>
  <si>
    <t xml:space="preserve">OSCAR PALACIO </t>
  </si>
  <si>
    <t xml:space="preserve">YORDI </t>
  </si>
  <si>
    <t xml:space="preserve">MARIA CAMILA TENORIO </t>
  </si>
  <si>
    <t xml:space="preserve">MOLLY </t>
  </si>
  <si>
    <t xml:space="preserve">DIANA MOSCOSO </t>
  </si>
  <si>
    <t xml:space="preserve">IVY </t>
  </si>
  <si>
    <t xml:space="preserve">CAROLINA OCAMPO </t>
  </si>
  <si>
    <t xml:space="preserve">MANOLO </t>
  </si>
  <si>
    <t xml:space="preserve">KATHERINE RAMIREZ </t>
  </si>
  <si>
    <t xml:space="preserve">BLANCA LIBIA ALZATE </t>
  </si>
  <si>
    <t xml:space="preserve">SUSHY </t>
  </si>
  <si>
    <t>LHASA APSO</t>
  </si>
  <si>
    <t xml:space="preserve">JUDITH FARFAN </t>
  </si>
  <si>
    <t xml:space="preserve">LOLITA </t>
  </si>
  <si>
    <t>SANDRA LOAIZA</t>
  </si>
  <si>
    <t>OREO</t>
  </si>
  <si>
    <t xml:space="preserve">GUILLERMO IDROBO </t>
  </si>
  <si>
    <t>MATIAS</t>
  </si>
  <si>
    <t>LEIDY HERNANDEZ</t>
  </si>
  <si>
    <t>FRIDA</t>
  </si>
  <si>
    <t>ALEXANDRA OROZCO</t>
  </si>
  <si>
    <t>ALASKA</t>
  </si>
  <si>
    <t>ANGELICA MESA</t>
  </si>
  <si>
    <t>GUCCI</t>
  </si>
  <si>
    <t>LAURA QUIROGA</t>
  </si>
  <si>
    <t>MILO</t>
  </si>
  <si>
    <t>LUZ HELENA AGUIRRE</t>
  </si>
  <si>
    <t>ALANA</t>
  </si>
  <si>
    <t>ANDREA OROZCO</t>
  </si>
  <si>
    <t>GUARO</t>
  </si>
  <si>
    <t>JOKO</t>
  </si>
  <si>
    <t>FRANK LOPEZ</t>
  </si>
  <si>
    <t>MASHA</t>
  </si>
  <si>
    <t>JORGE HURTADO</t>
  </si>
  <si>
    <t>PANDORA</t>
  </si>
  <si>
    <t>ERICA VANESSA GOMEZ</t>
  </si>
  <si>
    <t>JUNG-SU</t>
  </si>
  <si>
    <t>CAMILO ESCOBAR</t>
  </si>
  <si>
    <t>DOMINIK</t>
  </si>
  <si>
    <t>DANIELA ESCOBAR</t>
  </si>
  <si>
    <t>22/01/2025</t>
  </si>
  <si>
    <t>TATIANA PORRAS</t>
  </si>
  <si>
    <t>JUANITA</t>
  </si>
  <si>
    <t>4,6</t>
  </si>
  <si>
    <t>MELANY ZUÑIGA</t>
  </si>
  <si>
    <t>COCO</t>
  </si>
  <si>
    <t>4,3</t>
  </si>
  <si>
    <t xml:space="preserve">LINA PEÑA </t>
  </si>
  <si>
    <t>LOLO</t>
  </si>
  <si>
    <t>XIMENA VARGAS</t>
  </si>
  <si>
    <t>CHARLIE</t>
  </si>
  <si>
    <t>YAQUELINE CASTILLO</t>
  </si>
  <si>
    <t>NALA</t>
  </si>
  <si>
    <t>DANIELA VILLEGAS</t>
  </si>
  <si>
    <t>MARA</t>
  </si>
  <si>
    <t>CLAUDIA GOMEZ</t>
  </si>
  <si>
    <t>ADRIANA CAICEDO</t>
  </si>
  <si>
    <t>CHARLY</t>
  </si>
  <si>
    <t>MARYORI GARCIA</t>
  </si>
  <si>
    <t>WANDA</t>
  </si>
  <si>
    <t>ALEXANDRA QUINTERO</t>
  </si>
  <si>
    <t>NOAH</t>
  </si>
  <si>
    <t>LUCY MONTES</t>
  </si>
  <si>
    <t>LINA BEDOYA</t>
  </si>
  <si>
    <t>CHANEL</t>
  </si>
  <si>
    <t>LAURA VALENTINA GORDILLO</t>
  </si>
  <si>
    <t>MACADAMIA</t>
  </si>
  <si>
    <t xml:space="preserve">TEOFILO JAIMES </t>
  </si>
  <si>
    <t xml:space="preserve">NIO </t>
  </si>
  <si>
    <t xml:space="preserve">DIEGO IMBACHI </t>
  </si>
  <si>
    <t xml:space="preserve">KENSHIN </t>
  </si>
  <si>
    <t xml:space="preserve">MIA </t>
  </si>
  <si>
    <t xml:space="preserve">ROSANA MONTAÑO </t>
  </si>
  <si>
    <t>ROMEO</t>
  </si>
  <si>
    <t>MIGUEL BOLAÑOS ROLDAN</t>
  </si>
  <si>
    <t xml:space="preserve">SANDRA ENIT SEGURA </t>
  </si>
  <si>
    <t xml:space="preserve">PAOLA COQUECO </t>
  </si>
  <si>
    <t>SAMOYEDO</t>
  </si>
  <si>
    <t xml:space="preserve">DIANA TAMAYO </t>
  </si>
  <si>
    <t xml:space="preserve">LUCA </t>
  </si>
  <si>
    <t xml:space="preserve">ANNY KARINA TORRES </t>
  </si>
  <si>
    <t xml:space="preserve">COCKY </t>
  </si>
  <si>
    <t xml:space="preserve">MARIA CRISTINA SANCHEZ </t>
  </si>
  <si>
    <t>DARA</t>
  </si>
  <si>
    <t xml:space="preserve">PATRICIA PULIDO </t>
  </si>
  <si>
    <t xml:space="preserve">TOTO </t>
  </si>
  <si>
    <t xml:space="preserve">DIANA RESTREPO </t>
  </si>
  <si>
    <t xml:space="preserve">NINA </t>
  </si>
  <si>
    <t xml:space="preserve">CRISTINA VILLEGAS </t>
  </si>
  <si>
    <t xml:space="preserve">CLOE </t>
  </si>
  <si>
    <t xml:space="preserve">WISTON </t>
  </si>
  <si>
    <t>PIMIENTA</t>
  </si>
  <si>
    <t xml:space="preserve">ELIANA RIVADENEIRA </t>
  </si>
  <si>
    <t xml:space="preserve">GALA </t>
  </si>
  <si>
    <t xml:space="preserve">NATALIA RIVILLA </t>
  </si>
  <si>
    <t xml:space="preserve">ALMENDRA </t>
  </si>
  <si>
    <t xml:space="preserve">ANDRES FELIPE AGUDELO </t>
  </si>
  <si>
    <t>QUEEN STEFANY</t>
  </si>
  <si>
    <t xml:space="preserve">CAMILA LIBREROS </t>
  </si>
  <si>
    <t xml:space="preserve">DAHIANA MARIAN MARIN </t>
  </si>
  <si>
    <t xml:space="preserve">NAHLA </t>
  </si>
  <si>
    <t xml:space="preserve">PATRICIA GARCIA QUIROGA </t>
  </si>
  <si>
    <t xml:space="preserve">DONNA </t>
  </si>
  <si>
    <t xml:space="preserve">SALOME VALENCIA </t>
  </si>
  <si>
    <t xml:space="preserve">VIVIANA </t>
  </si>
  <si>
    <t xml:space="preserve">TIARA </t>
  </si>
  <si>
    <t xml:space="preserve">YULIANA TENORIO </t>
  </si>
  <si>
    <t xml:space="preserve">PARIS </t>
  </si>
  <si>
    <t xml:space="preserve">DIANA ESPINAL </t>
  </si>
  <si>
    <t xml:space="preserve">CHOCOLATE </t>
  </si>
  <si>
    <t>CHIHUAHUA</t>
  </si>
  <si>
    <t xml:space="preserve">SANDRA MILENA VELEZ </t>
  </si>
  <si>
    <t xml:space="preserve">IGO </t>
  </si>
  <si>
    <t xml:space="preserve">VALERIA MORENO </t>
  </si>
  <si>
    <t xml:space="preserve">LEIDY ALFONSO </t>
  </si>
  <si>
    <t xml:space="preserve">SAM </t>
  </si>
  <si>
    <t xml:space="preserve">YULIANI GRANDA </t>
  </si>
  <si>
    <t xml:space="preserve">TITO </t>
  </si>
  <si>
    <t>DAZZA</t>
  </si>
  <si>
    <t>CODY</t>
  </si>
  <si>
    <t xml:space="preserve">FABIO VILLA </t>
  </si>
  <si>
    <t xml:space="preserve">RONALDO </t>
  </si>
  <si>
    <t>BOSTON TERRIER</t>
  </si>
  <si>
    <t xml:space="preserve">DANIELA RENGIFO </t>
  </si>
  <si>
    <t xml:space="preserve">SANDRA CASTILLO </t>
  </si>
  <si>
    <t xml:space="preserve">XIMENA VARGAS </t>
  </si>
  <si>
    <t>TOMMY</t>
  </si>
  <si>
    <t>OREKAS</t>
  </si>
  <si>
    <t xml:space="preserve">JULIO CESAR CORREA </t>
  </si>
  <si>
    <t xml:space="preserve">ROCKO </t>
  </si>
  <si>
    <t>BULLDOG</t>
  </si>
  <si>
    <t>VALENTINA ISAZA</t>
  </si>
  <si>
    <t>MARTINA</t>
  </si>
  <si>
    <t>VIVIANA ARCILA</t>
  </si>
  <si>
    <t>HERMES</t>
  </si>
  <si>
    <t>ANNY</t>
  </si>
  <si>
    <t>STEFANIA SANCHEZ</t>
  </si>
  <si>
    <t>32.8</t>
  </si>
  <si>
    <t>MARIA QUINTERO</t>
  </si>
  <si>
    <t>DIEGO GONZALEZ</t>
  </si>
  <si>
    <t>SAMMY</t>
  </si>
  <si>
    <t>LABRADOR</t>
  </si>
  <si>
    <t>PATRICIA QUIROGA</t>
  </si>
  <si>
    <t>ALMENDRA</t>
  </si>
  <si>
    <t>VICTORIA HOLGUIN</t>
  </si>
  <si>
    <t>ALANNA</t>
  </si>
  <si>
    <t>LUZ ESCOBAR</t>
  </si>
  <si>
    <t>ROSE</t>
  </si>
  <si>
    <t>LAURA CORDOBA</t>
  </si>
  <si>
    <t>NEO</t>
  </si>
  <si>
    <t>LEIDY ARBELAEZ</t>
  </si>
  <si>
    <t>MARIAM CASTAÑO</t>
  </si>
  <si>
    <t>MOLLY</t>
  </si>
  <si>
    <t>ALIS PATRICIA</t>
  </si>
  <si>
    <t>TEQUILA</t>
  </si>
  <si>
    <t>BUNNITO</t>
  </si>
  <si>
    <t>SARAI VELEZ</t>
  </si>
  <si>
    <t>TAFFY</t>
  </si>
  <si>
    <t>WILMER CARVAJAL</t>
  </si>
  <si>
    <t>PIPO</t>
  </si>
  <si>
    <t>KAREN GAVIRIA</t>
  </si>
  <si>
    <t>ABBY</t>
  </si>
  <si>
    <t>BALU</t>
  </si>
  <si>
    <t>JENNI GARCIA</t>
  </si>
  <si>
    <t>THEO</t>
  </si>
  <si>
    <t>LEIDY VIVIANA CARDONA</t>
  </si>
  <si>
    <t>ASTRO</t>
  </si>
  <si>
    <t>MARISOL HENAO</t>
  </si>
  <si>
    <t>LUNA</t>
  </si>
  <si>
    <t>.-</t>
  </si>
  <si>
    <t>JOEL CASTRO</t>
  </si>
  <si>
    <t>ZOE</t>
  </si>
  <si>
    <t xml:space="preserve">YORKSHIRE TERRIER </t>
  </si>
  <si>
    <t xml:space="preserve">BEAGLE </t>
  </si>
  <si>
    <t xml:space="preserve">BICHON MALTES </t>
  </si>
  <si>
    <t xml:space="preserve">BORDER COLLIE </t>
  </si>
  <si>
    <t xml:space="preserve">BOSTON TERRIER </t>
  </si>
  <si>
    <t xml:space="preserve">BULLDOG FRANCES </t>
  </si>
  <si>
    <t xml:space="preserve">ENERO </t>
  </si>
  <si>
    <t xml:space="preserve">FEBRERO </t>
  </si>
  <si>
    <t xml:space="preserve">MARZO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</si>
  <si>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</si>
  <si>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</si>
  <si>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</si>
  <si>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</si>
  <si>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</si>
  <si>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</si>
  <si>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</si>
  <si>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</si>
  <si>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ANDRES FELIPE ANGEL</t>
  </si>
  <si>
    <t>SHORO</t>
  </si>
  <si>
    <t>VIVIANA CARDENAS</t>
  </si>
  <si>
    <t>RICKY</t>
  </si>
  <si>
    <t>OSCAR PALACIO</t>
  </si>
  <si>
    <t>JORDY</t>
  </si>
  <si>
    <t>DIANA VANESSA TRUJILLO</t>
  </si>
  <si>
    <t>LINDA</t>
  </si>
  <si>
    <t>ALBINA</t>
  </si>
  <si>
    <t>CAROLINA FORERO</t>
  </si>
  <si>
    <t>LOKI</t>
  </si>
  <si>
    <t>ESPERANZA SILVA</t>
  </si>
  <si>
    <t>PONCHO</t>
  </si>
  <si>
    <t>LINA MARIA ACEVEDO</t>
  </si>
  <si>
    <t>APOLO</t>
  </si>
  <si>
    <t>GLORIA CASTILLO</t>
  </si>
  <si>
    <t>MOSCU</t>
  </si>
  <si>
    <t>ALEJANDRA MADRID</t>
  </si>
  <si>
    <t>THOMAS</t>
  </si>
  <si>
    <t>ALEXANDRA FATTAT</t>
  </si>
  <si>
    <t>ALEJANDRO MONCADA</t>
  </si>
  <si>
    <t>SIMON</t>
  </si>
  <si>
    <t>KATHERINE LOZANO</t>
  </si>
  <si>
    <t>DULCE</t>
  </si>
  <si>
    <t>MARIA LOSADA</t>
  </si>
  <si>
    <t>CANDY</t>
  </si>
  <si>
    <t>SIMBA</t>
  </si>
  <si>
    <t>VALENTINA HOYOS</t>
  </si>
  <si>
    <t>LUPE</t>
  </si>
  <si>
    <t>SE RAPO</t>
  </si>
  <si>
    <t>YENI SANCHEZ</t>
  </si>
  <si>
    <t>DOKI</t>
  </si>
  <si>
    <t>MARIA FERNANDA CARVAJAL</t>
  </si>
  <si>
    <t>PARIS</t>
  </si>
  <si>
    <t>MOTAS</t>
  </si>
  <si>
    <t>ODIN</t>
  </si>
  <si>
    <t>ALBA LUCI</t>
  </si>
  <si>
    <t>CRISTIAN RENGIFO</t>
  </si>
  <si>
    <t>CHELSEA</t>
  </si>
  <si>
    <t>KEIRA</t>
  </si>
  <si>
    <t>LINA ISABEL SANCHEZ</t>
  </si>
  <si>
    <t>MARIA LUISA GARCIA</t>
  </si>
  <si>
    <t>BLONDE</t>
  </si>
  <si>
    <t>CARMEN MONTALBO</t>
  </si>
  <si>
    <t>SOFI</t>
  </si>
  <si>
    <t>PATRICIA DELGADO</t>
  </si>
  <si>
    <t>BOBBY</t>
  </si>
  <si>
    <t>SARITA CHAVARRERO</t>
  </si>
  <si>
    <t>ARI</t>
  </si>
  <si>
    <t>ANGIE ARBOLEDA</t>
  </si>
  <si>
    <t>LIA</t>
  </si>
  <si>
    <t>MARIA SILVANA LLANO</t>
  </si>
  <si>
    <t>YURANY NIÑO</t>
  </si>
  <si>
    <t>DIOR</t>
  </si>
  <si>
    <t>LAURA GARCIA</t>
  </si>
  <si>
    <t>ANGELICA VELASQUEZ</t>
  </si>
  <si>
    <t>CELESTE</t>
  </si>
  <si>
    <t xml:space="preserve">LINA SEGURA </t>
  </si>
  <si>
    <t>ALEJANDRA FRANCO</t>
  </si>
  <si>
    <t>JUANA</t>
  </si>
  <si>
    <t>NARDA AGUDELO</t>
  </si>
  <si>
    <t>SHAGGY</t>
  </si>
  <si>
    <t>TATIANA LONDOÑO</t>
  </si>
  <si>
    <t>PARCERO</t>
  </si>
  <si>
    <t>SANTIAGO BOLAÑOS</t>
  </si>
  <si>
    <t>KIARA</t>
  </si>
  <si>
    <t>KAREN SOFIA GALLON</t>
  </si>
  <si>
    <t>TAMMY</t>
  </si>
  <si>
    <t xml:space="preserve">JUAN DAVID </t>
  </si>
  <si>
    <t>VIVIANA MARCELA ALVAREZ</t>
  </si>
  <si>
    <t xml:space="preserve">VALENTINA BENAVIDEZ </t>
  </si>
  <si>
    <t xml:space="preserve">ESTRELLA </t>
  </si>
  <si>
    <t xml:space="preserve">EFREN EDUARDO RAMIREZ </t>
  </si>
  <si>
    <t xml:space="preserve">COLLIN </t>
  </si>
  <si>
    <t>CENIZA</t>
  </si>
  <si>
    <t>GATO</t>
  </si>
  <si>
    <t xml:space="preserve">PRE - BAÑO </t>
  </si>
  <si>
    <t xml:space="preserve">PAULA GIRALDO </t>
  </si>
  <si>
    <t xml:space="preserve">ESTEFANIA FORONDA </t>
  </si>
  <si>
    <t xml:space="preserve">ELA </t>
  </si>
  <si>
    <t xml:space="preserve">MELISSA MEZA </t>
  </si>
  <si>
    <t xml:space="preserve">PANCHA </t>
  </si>
  <si>
    <t xml:space="preserve">MINNIE </t>
  </si>
  <si>
    <t xml:space="preserve">CHIA </t>
  </si>
  <si>
    <t xml:space="preserve">MECHAS </t>
  </si>
  <si>
    <t xml:space="preserve">JESSICA PONCE </t>
  </si>
  <si>
    <t xml:space="preserve">DIANA CAROLINA GOMEZ </t>
  </si>
  <si>
    <t xml:space="preserve">ROCKY </t>
  </si>
  <si>
    <t>YURI MONTOYA</t>
  </si>
  <si>
    <t>CAROLINA ZAMORA</t>
  </si>
  <si>
    <t>LAURA CAMILA DOMINGUEZ</t>
  </si>
  <si>
    <t>TOBBY</t>
  </si>
  <si>
    <t>JOHANNA CARVAJAL</t>
  </si>
  <si>
    <t>YORKI</t>
  </si>
  <si>
    <t>LAURA HENAO</t>
  </si>
  <si>
    <t>MAY</t>
  </si>
  <si>
    <t>ADIELA PEREZ</t>
  </si>
  <si>
    <t>RONE</t>
  </si>
  <si>
    <t>SPRINGEL SPANIEL</t>
  </si>
  <si>
    <t>CLAUDIA ESTELLA MEJIA</t>
  </si>
  <si>
    <t>BOMBOM</t>
  </si>
  <si>
    <t>MARIA CLEMENCIA DAVILA</t>
  </si>
  <si>
    <t>MARCO</t>
  </si>
  <si>
    <t>VIOLETA</t>
  </si>
  <si>
    <t>AMANDA ROSERO</t>
  </si>
  <si>
    <t>BEMBE</t>
  </si>
  <si>
    <t>ALEXA ZAPATA</t>
  </si>
  <si>
    <t>SASHA</t>
  </si>
  <si>
    <t>BEATRIZ GOMEZ</t>
  </si>
  <si>
    <t>LUCKY</t>
  </si>
  <si>
    <t>GLADYS FERNANDEZ</t>
  </si>
  <si>
    <t>VULCANO</t>
  </si>
  <si>
    <t>YULIANI GRANDA</t>
  </si>
  <si>
    <t>VALENTINA ALBARRACIN</t>
  </si>
  <si>
    <t>WILLIAM DIAZ</t>
  </si>
  <si>
    <t xml:space="preserve">BEATRIZ </t>
  </si>
  <si>
    <t>RAMON</t>
  </si>
  <si>
    <t>KEVIN</t>
  </si>
  <si>
    <t>HADA</t>
  </si>
  <si>
    <t>GLADYS PALOMINO</t>
  </si>
  <si>
    <t>DANIELA CHAVEZ</t>
  </si>
  <si>
    <t>RAISA CATALINA BONILLA</t>
  </si>
  <si>
    <t>BLUEBERRY</t>
  </si>
  <si>
    <t xml:space="preserve">JULIO CESAR VELEZ </t>
  </si>
  <si>
    <t xml:space="preserve">GLORIETH GONZALEZ </t>
  </si>
  <si>
    <t xml:space="preserve">FRIDA SOFIA </t>
  </si>
  <si>
    <t xml:space="preserve">LAURA GARCIA </t>
  </si>
  <si>
    <t xml:space="preserve">MARTINA </t>
  </si>
  <si>
    <t>ALEJANDRA TABARES</t>
  </si>
  <si>
    <t xml:space="preserve">COCO CHANNEL </t>
  </si>
  <si>
    <t xml:space="preserve">LAURA QUIROGA </t>
  </si>
  <si>
    <t xml:space="preserve">MILO </t>
  </si>
  <si>
    <t xml:space="preserve">LAURA CRUZ </t>
  </si>
  <si>
    <t>ARIANA</t>
  </si>
  <si>
    <t>DIANA MOSCOSO</t>
  </si>
  <si>
    <t>IVY</t>
  </si>
  <si>
    <t>KAREN MENDEZ</t>
  </si>
  <si>
    <t>MAILO</t>
  </si>
  <si>
    <t>RODRIGO JOSE GARCIA</t>
  </si>
  <si>
    <t>LUCA</t>
  </si>
  <si>
    <t>MARIA ORBILIA GONZALES</t>
  </si>
  <si>
    <t>ANGIE DANIELA CAÑAS</t>
  </si>
  <si>
    <t>LAURA RENDON</t>
  </si>
  <si>
    <t>ADELA GIRALDO</t>
  </si>
  <si>
    <t>NIÑA</t>
  </si>
  <si>
    <t xml:space="preserve">YULEIDY VILLEGAS </t>
  </si>
  <si>
    <t xml:space="preserve">ANASTASIA </t>
  </si>
  <si>
    <t xml:space="preserve">SANDRA LOAIZA </t>
  </si>
  <si>
    <t xml:space="preserve">OREO </t>
  </si>
  <si>
    <t xml:space="preserve">JOCELYN CORTES </t>
  </si>
  <si>
    <t xml:space="preserve">LUIS FERNANDO CRUCES </t>
  </si>
  <si>
    <t xml:space="preserve">CONNIE </t>
  </si>
  <si>
    <t>VALENTINA RODRIGUEZ</t>
  </si>
  <si>
    <t>ASGARD</t>
  </si>
  <si>
    <t xml:space="preserve">VALENTINA ISAZA </t>
  </si>
  <si>
    <t xml:space="preserve">YULIANA GONZALEZ </t>
  </si>
  <si>
    <t xml:space="preserve">COOKIE </t>
  </si>
  <si>
    <t xml:space="preserve">LILIANA CHAVEZ </t>
  </si>
  <si>
    <t xml:space="preserve">MIGUEL ALZATE </t>
  </si>
  <si>
    <t>GALI</t>
  </si>
  <si>
    <t>MUNCHKIN</t>
  </si>
  <si>
    <t xml:space="preserve">ISABEL CRISTINA </t>
  </si>
  <si>
    <t xml:space="preserve">CAROLINA ALVAREZ </t>
  </si>
  <si>
    <t>LEO</t>
  </si>
  <si>
    <t xml:space="preserve">DANIELA GIRALDO </t>
  </si>
  <si>
    <t xml:space="preserve">ANGELICA TOVAR </t>
  </si>
  <si>
    <t xml:space="preserve">SASHA </t>
  </si>
  <si>
    <t xml:space="preserve">GLORIA AMPARO FIGUEROA </t>
  </si>
  <si>
    <t xml:space="preserve">LULU </t>
  </si>
  <si>
    <t xml:space="preserve">LUQUITA </t>
  </si>
  <si>
    <t xml:space="preserve">ANGELICA MESA </t>
  </si>
  <si>
    <t xml:space="preserve">GUCCI </t>
  </si>
  <si>
    <t xml:space="preserve">LIANA PEÑA </t>
  </si>
  <si>
    <t xml:space="preserve">SACHA </t>
  </si>
  <si>
    <t xml:space="preserve">JUAN CAMILO GALLEGO </t>
  </si>
  <si>
    <t xml:space="preserve">ABBY </t>
  </si>
  <si>
    <t xml:space="preserve">LOGAN </t>
  </si>
  <si>
    <t xml:space="preserve">LOKI </t>
  </si>
  <si>
    <t xml:space="preserve">TATIANA RAMIREZ </t>
  </si>
  <si>
    <t>KLER</t>
  </si>
  <si>
    <t xml:space="preserve">NATALY COY </t>
  </si>
  <si>
    <t xml:space="preserve">JOAQUIN </t>
  </si>
  <si>
    <t xml:space="preserve">LINA BEDOYA </t>
  </si>
  <si>
    <t xml:space="preserve">LEIDY VIVIAN CARDONA </t>
  </si>
  <si>
    <t xml:space="preserve">VALENTINA PEÑARANDA </t>
  </si>
  <si>
    <t xml:space="preserve">ZEUS </t>
  </si>
  <si>
    <t xml:space="preserve">JOSE EDIER CARDONA </t>
  </si>
  <si>
    <t xml:space="preserve">TOWI </t>
  </si>
  <si>
    <t>LUZ KARIME BEITIA</t>
  </si>
  <si>
    <t xml:space="preserve">LAURA SOFIA AGUDELO </t>
  </si>
  <si>
    <t xml:space="preserve">LILO </t>
  </si>
  <si>
    <t xml:space="preserve">LILIANA TORRES </t>
  </si>
  <si>
    <t xml:space="preserve">STITCH </t>
  </si>
  <si>
    <t xml:space="preserve">MIKE </t>
  </si>
  <si>
    <t xml:space="preserve">JAKE </t>
  </si>
  <si>
    <t xml:space="preserve">JOY </t>
  </si>
  <si>
    <t xml:space="preserve">LIMPIEZA OIDOS </t>
  </si>
  <si>
    <t xml:space="preserve">VALENTINA AZA </t>
  </si>
  <si>
    <t xml:space="preserve">NIÑO </t>
  </si>
  <si>
    <t xml:space="preserve">VANESSA MORENO </t>
  </si>
  <si>
    <t xml:space="preserve">TOBBY </t>
  </si>
  <si>
    <t xml:space="preserve">LEIDY MARIN </t>
  </si>
  <si>
    <t>CANELA</t>
  </si>
  <si>
    <t xml:space="preserve">ALEJANDRO DUQUE </t>
  </si>
  <si>
    <t xml:space="preserve">LUCKY </t>
  </si>
  <si>
    <t>ODILA POSSO</t>
  </si>
  <si>
    <t xml:space="preserve">LUKA </t>
  </si>
  <si>
    <t xml:space="preserve">CRISTIAN GOMEZ </t>
  </si>
  <si>
    <t xml:space="preserve">PANTERA </t>
  </si>
  <si>
    <t>DOBERMAN</t>
  </si>
  <si>
    <t>MARCIAL</t>
  </si>
  <si>
    <t xml:space="preserve">MARIA JOSE BARRETO </t>
  </si>
  <si>
    <t xml:space="preserve">SABRINA </t>
  </si>
  <si>
    <t>NATHALIA ROJAS</t>
  </si>
  <si>
    <t xml:space="preserve">CAROL VANESSA ARBOLEDA </t>
  </si>
  <si>
    <t xml:space="preserve">ZOE </t>
  </si>
  <si>
    <t xml:space="preserve">ANA MARIA JARAMILLO </t>
  </si>
  <si>
    <t xml:space="preserve">JENNI GARCIA </t>
  </si>
  <si>
    <t xml:space="preserve">TEO </t>
  </si>
  <si>
    <t xml:space="preserve">DANIELA ESCOBAR LORZA </t>
  </si>
  <si>
    <t xml:space="preserve">EMILIA </t>
  </si>
  <si>
    <t xml:space="preserve">NATALIA RUIZ </t>
  </si>
  <si>
    <t xml:space="preserve">ABRIL </t>
  </si>
  <si>
    <t>DESENREDO</t>
  </si>
  <si>
    <t xml:space="preserve">MONICA VEGA </t>
  </si>
  <si>
    <t xml:space="preserve">ANGUS </t>
  </si>
  <si>
    <t xml:space="preserve">LUZ MARIANA DRADA </t>
  </si>
  <si>
    <t xml:space="preserve">ISIS </t>
  </si>
  <si>
    <t xml:space="preserve">ALEXANDRA OROZCO </t>
  </si>
  <si>
    <t xml:space="preserve">VICTORIA GARCIA </t>
  </si>
  <si>
    <t>RANCHERA DE JESUS</t>
  </si>
  <si>
    <t xml:space="preserve">ALEJANDRO ROSAS </t>
  </si>
  <si>
    <t xml:space="preserve">TEQUILA </t>
  </si>
  <si>
    <t xml:space="preserve">MEZCAL </t>
  </si>
  <si>
    <t xml:space="preserve">ANDREA OROZCO </t>
  </si>
  <si>
    <t xml:space="preserve">GUARO </t>
  </si>
  <si>
    <t xml:space="preserve">YOKO </t>
  </si>
  <si>
    <t xml:space="preserve">LEIDY GARCIA </t>
  </si>
  <si>
    <t xml:space="preserve">EMMA </t>
  </si>
  <si>
    <t xml:space="preserve">JOHANA LONDOÑO </t>
  </si>
  <si>
    <t xml:space="preserve">WILMER CARVAJAL </t>
  </si>
  <si>
    <t xml:space="preserve">ANGIE PAOLA BOLIVAR </t>
  </si>
  <si>
    <t xml:space="preserve">STELLA CONDE </t>
  </si>
  <si>
    <t xml:space="preserve">MAYA </t>
  </si>
  <si>
    <t>SOL</t>
  </si>
  <si>
    <t>F</t>
  </si>
  <si>
    <t xml:space="preserve">DAYANA GARCIA </t>
  </si>
  <si>
    <t xml:space="preserve">MAYRA ACOSTA </t>
  </si>
  <si>
    <t>ADAL</t>
  </si>
  <si>
    <t>MARIA PAULA VALENCIA</t>
  </si>
  <si>
    <t>GRETA</t>
  </si>
  <si>
    <t>PAULA ANDREA REYES</t>
  </si>
  <si>
    <t>MERLIN</t>
  </si>
  <si>
    <t>LAURA LOZANO</t>
  </si>
  <si>
    <t>AURELIA</t>
  </si>
  <si>
    <t>YORMA LORENA ALVAREZ</t>
  </si>
  <si>
    <t xml:space="preserve">JANETH SANCHEZ </t>
  </si>
  <si>
    <t>PETRA</t>
  </si>
  <si>
    <t xml:space="preserve">VALERIA VALLEJO </t>
  </si>
  <si>
    <t xml:space="preserve">ISABELA ESPINOSA </t>
  </si>
  <si>
    <t>SKADY</t>
  </si>
  <si>
    <t>NATALIA AMORTEGUI</t>
  </si>
  <si>
    <t>SUGAR</t>
  </si>
  <si>
    <t xml:space="preserve">LUISA FERNANDA GOMEZ </t>
  </si>
  <si>
    <t xml:space="preserve">VALENTINA RODRIGUEZ </t>
  </si>
  <si>
    <t>MARCELA MARINEZ</t>
  </si>
  <si>
    <t>OREJAS</t>
  </si>
  <si>
    <t>ANNIE</t>
  </si>
  <si>
    <t>MONICA ALEJANDRA PARRA</t>
  </si>
  <si>
    <t>CHOWCHOW</t>
  </si>
  <si>
    <t xml:space="preserve">DIEGO FERNANDO LOPEZ </t>
  </si>
  <si>
    <t xml:space="preserve">DIEGO GONZALES </t>
  </si>
  <si>
    <t xml:space="preserve">DIANA </t>
  </si>
  <si>
    <t>NACHITO</t>
  </si>
  <si>
    <t xml:space="preserve">DAIRO SANCHEZ </t>
  </si>
  <si>
    <t xml:space="preserve">JESSICA GARCIA </t>
  </si>
  <si>
    <t>AVRIL</t>
  </si>
  <si>
    <t xml:space="preserve">DANIELA VILLEGAS </t>
  </si>
  <si>
    <t xml:space="preserve">MARA </t>
  </si>
  <si>
    <t xml:space="preserve">MARI PRADO </t>
  </si>
  <si>
    <t>PAPI</t>
  </si>
  <si>
    <t>DANIELA GONZALEZ RUBIO</t>
  </si>
  <si>
    <t xml:space="preserve">SANDRA FRANCO </t>
  </si>
  <si>
    <t xml:space="preserve">BENJI </t>
  </si>
  <si>
    <t xml:space="preserve">MARIA CLAUDIA TAMAYO </t>
  </si>
  <si>
    <t>MATEO</t>
  </si>
  <si>
    <t xml:space="preserve">LAURA HENAO </t>
  </si>
  <si>
    <t xml:space="preserve">MAY </t>
  </si>
  <si>
    <t xml:space="preserve">OLMEDO GOMEZ </t>
  </si>
  <si>
    <t>ROKO</t>
  </si>
  <si>
    <t>SARA GALVIS</t>
  </si>
  <si>
    <t>RONY</t>
  </si>
  <si>
    <t>JHOANA AGUDELO</t>
  </si>
  <si>
    <t>LUPITA</t>
  </si>
  <si>
    <t xml:space="preserve">NATALIA </t>
  </si>
  <si>
    <t>EDUARDO ROLDAN</t>
  </si>
  <si>
    <t>TEO</t>
  </si>
  <si>
    <t>EMPIEZA MENSUALIDAD</t>
  </si>
  <si>
    <t>SALOME TASCON</t>
  </si>
  <si>
    <t>CRISTIN GUERRERO</t>
  </si>
  <si>
    <t>ATHENA</t>
  </si>
  <si>
    <t>PATRICIA GARCIA</t>
  </si>
  <si>
    <t>DONNA</t>
  </si>
  <si>
    <t>DAVID CALDERON</t>
  </si>
  <si>
    <t>INICIA MENSUALIDAD</t>
  </si>
  <si>
    <t>ANGELA MARÍA NUÑEZ</t>
  </si>
  <si>
    <t>LAURA BONILLA</t>
  </si>
  <si>
    <t>MILENA TOBON</t>
  </si>
  <si>
    <t>BALOTT</t>
  </si>
  <si>
    <t>MARIA CRISTINA SANCHEZ</t>
  </si>
  <si>
    <t>YULIANA TENORIO</t>
  </si>
  <si>
    <t>CHANNEL</t>
  </si>
  <si>
    <t>LEIDY BETANCUR</t>
  </si>
  <si>
    <t>MARIANA AGUIRRE</t>
  </si>
  <si>
    <t>DOBBY PATRICIO</t>
  </si>
  <si>
    <t>KAROL</t>
  </si>
  <si>
    <t>LULO</t>
  </si>
  <si>
    <t>MIGUEL BOLAÑOS</t>
  </si>
  <si>
    <t>PERLA</t>
  </si>
  <si>
    <t>COCO CHANNEL</t>
  </si>
  <si>
    <t>LUISA FERNANDA REBELLON</t>
  </si>
  <si>
    <t>DAIKY</t>
  </si>
  <si>
    <t>ISABELLA GALVES</t>
  </si>
  <si>
    <t>PRINCESA</t>
  </si>
  <si>
    <t>ALEXANDRA HINEZTROZA</t>
  </si>
  <si>
    <t>YUKI</t>
  </si>
  <si>
    <t>KONI</t>
  </si>
  <si>
    <t>YOHANA TRUJILLO</t>
  </si>
  <si>
    <t>ALEJANDRA CARVAJAL</t>
  </si>
  <si>
    <t>ELSA</t>
  </si>
  <si>
    <t>JENNIFER LOAIZA</t>
  </si>
  <si>
    <t>CARAMELO</t>
  </si>
  <si>
    <t xml:space="preserve">ESPERANZA SILVA </t>
  </si>
  <si>
    <t>COFFE</t>
  </si>
  <si>
    <t xml:space="preserve">PATRICIA DELGADO </t>
  </si>
  <si>
    <t xml:space="preserve">ALAIA </t>
  </si>
  <si>
    <t xml:space="preserve">TANIA CEBALLOS </t>
  </si>
  <si>
    <t>CRAZZY</t>
  </si>
  <si>
    <t xml:space="preserve">ALEJANDRA MADRID </t>
  </si>
  <si>
    <t>ISABEL CRISTINA</t>
  </si>
  <si>
    <t>PATRICIA PULIDO</t>
  </si>
  <si>
    <t>TOTO</t>
  </si>
  <si>
    <t>DIANA DELGADO</t>
  </si>
  <si>
    <t xml:space="preserve">LEIDY VIVIANA CARDENAS </t>
  </si>
  <si>
    <t xml:space="preserve">CARLOS MARIO ESCALANTE </t>
  </si>
  <si>
    <t xml:space="preserve">DRACO </t>
  </si>
  <si>
    <t>JORGE HUMBERTO GONZALEZ</t>
  </si>
  <si>
    <t>RONALDO</t>
  </si>
  <si>
    <t>NALHA</t>
  </si>
  <si>
    <t>MARITZA LONDOÑO</t>
  </si>
  <si>
    <t>CAROLINA GIRALDO</t>
  </si>
  <si>
    <t>HANNA</t>
  </si>
  <si>
    <t>TEDDY</t>
  </si>
  <si>
    <t>ANDRES CRISTANCHO</t>
  </si>
  <si>
    <t>MICHELL</t>
  </si>
  <si>
    <t>LUZ MARINA CAICEDO</t>
  </si>
  <si>
    <t>RAPADA</t>
  </si>
  <si>
    <t>GLORIA AGUIRRE</t>
  </si>
  <si>
    <t>ONIX</t>
  </si>
  <si>
    <t>LUZ HELENA BERNAL</t>
  </si>
  <si>
    <t>ALASKA MALAMUTE</t>
  </si>
  <si>
    <t>MARTIZA LONDOÑO</t>
  </si>
  <si>
    <t xml:space="preserve">ANDREA RODRIGUEZ </t>
  </si>
  <si>
    <t>DIEGO IMBACHI</t>
  </si>
  <si>
    <t>KENSHIN</t>
  </si>
  <si>
    <t>MARTHA ASUCENA CUADROS</t>
  </si>
  <si>
    <t>LINA MARIA BECERRA</t>
  </si>
  <si>
    <t>LOLITA</t>
  </si>
  <si>
    <t>MARIA CAMILA TENORIO</t>
  </si>
  <si>
    <t>MOLY</t>
  </si>
  <si>
    <t>ANDREA GUTIERREZ</t>
  </si>
  <si>
    <t>JHONATAN GIL ARANGO</t>
  </si>
  <si>
    <t>LINA PEÑA</t>
  </si>
  <si>
    <t>LIMPIEZA DENTAL</t>
  </si>
  <si>
    <t>JUAN DAVID</t>
  </si>
  <si>
    <t>LINA JOHANA MOLINA</t>
  </si>
  <si>
    <t>MARIA JOSE PARRA</t>
  </si>
  <si>
    <t>MILA</t>
  </si>
  <si>
    <t>SANTIAGO DIAZ</t>
  </si>
  <si>
    <t>MAYRA MONDRAGON</t>
  </si>
  <si>
    <t>YUDY TRUJILLO</t>
  </si>
  <si>
    <t>ISABELLA ROMERO</t>
  </si>
  <si>
    <t>GRECIA</t>
  </si>
  <si>
    <t>PAOLA ANDREA SABOGAL</t>
  </si>
  <si>
    <t>CHEWBACA</t>
  </si>
  <si>
    <t>CARLOS ANDRES CORRALES</t>
  </si>
  <si>
    <t>TATIANA MESSA</t>
  </si>
  <si>
    <t>KELLY GARCÍA</t>
  </si>
  <si>
    <t>WENYI</t>
  </si>
  <si>
    <t>YORDI</t>
  </si>
  <si>
    <t>CAROLINA OCAMPO</t>
  </si>
  <si>
    <t>GUILLERMO MONTOYA</t>
  </si>
  <si>
    <t>ORION</t>
  </si>
  <si>
    <t>WEIMARANER</t>
  </si>
  <si>
    <t>GLORIA ELENA RESTREPO</t>
  </si>
  <si>
    <t xml:space="preserve">ISABEL CRISTINA TEJADA </t>
  </si>
  <si>
    <t xml:space="preserve">MARTIN </t>
  </si>
  <si>
    <t>DANIEL JHONAS ZAMBRANO</t>
  </si>
  <si>
    <t>PELUCHE</t>
  </si>
  <si>
    <t xml:space="preserve">DIANA VILLA </t>
  </si>
  <si>
    <t>BALOO</t>
  </si>
  <si>
    <t>JULIANA MARCELA MENDOZA</t>
  </si>
  <si>
    <t>COFFEE</t>
  </si>
  <si>
    <t>YURI ANDREA BRAVO</t>
  </si>
  <si>
    <t xml:space="preserve">NATALIA SABOGAL </t>
  </si>
  <si>
    <t>HILDA MURILLO</t>
  </si>
  <si>
    <t>PACO</t>
  </si>
  <si>
    <t>MIGUEL ALZATE</t>
  </si>
  <si>
    <t>GALILEA</t>
  </si>
  <si>
    <t>FLASH BATH</t>
  </si>
  <si>
    <t xml:space="preserve">JAIRO ANDRES GALLEGO </t>
  </si>
  <si>
    <t>ZIA</t>
  </si>
  <si>
    <t xml:space="preserve">MARIA A GALVEZ </t>
  </si>
  <si>
    <t>BELLA</t>
  </si>
  <si>
    <t xml:space="preserve">ADIELA PEREZ </t>
  </si>
  <si>
    <t>SPRINGER SPANIEL</t>
  </si>
  <si>
    <t xml:space="preserve">PAOLA BRAVO </t>
  </si>
  <si>
    <t>MAXIMO</t>
  </si>
  <si>
    <t>PAOLA COQUECO</t>
  </si>
  <si>
    <t xml:space="preserve">LEIDY VIVIANA CASTRO </t>
  </si>
  <si>
    <t>NINA</t>
  </si>
  <si>
    <t>ALISON</t>
  </si>
  <si>
    <t>CARLOS MARIO ESCALANTE</t>
  </si>
  <si>
    <t>DRACO</t>
  </si>
  <si>
    <t>MAXIMILIANO</t>
  </si>
  <si>
    <t>DAHIANA MARIAN MARINA</t>
  </si>
  <si>
    <t>KAIA</t>
  </si>
  <si>
    <t>ANNY KARINA TORRES</t>
  </si>
  <si>
    <t>COCKY</t>
  </si>
  <si>
    <t>ANABELY CARLOSAMA</t>
  </si>
  <si>
    <t>CECILIA</t>
  </si>
  <si>
    <t>LORENA SAENZ</t>
  </si>
  <si>
    <t>ANDREA VANESSA GALVIS</t>
  </si>
  <si>
    <t>SESION DE DESENREDO</t>
  </si>
  <si>
    <t>VIVIANA</t>
  </si>
  <si>
    <t>TIARA</t>
  </si>
  <si>
    <t xml:space="preserve">MARIA VICTORIA </t>
  </si>
  <si>
    <t>CRISTIN</t>
  </si>
  <si>
    <t>BICHON FRISE</t>
  </si>
  <si>
    <t xml:space="preserve">MONICA RIVERA </t>
  </si>
  <si>
    <t>EMMA</t>
  </si>
  <si>
    <t xml:space="preserve">MIGUEL BOLAÑOS </t>
  </si>
  <si>
    <t xml:space="preserve">MARIA ALEJANDRA MEJIA </t>
  </si>
  <si>
    <t xml:space="preserve">JAIME DUQUE </t>
  </si>
  <si>
    <t xml:space="preserve">VELA </t>
  </si>
  <si>
    <t>VALENTINA MESSA</t>
  </si>
  <si>
    <t>KIMMY</t>
  </si>
  <si>
    <t>POLO</t>
  </si>
  <si>
    <t xml:space="preserve">LUDIVIA RUIZ </t>
  </si>
  <si>
    <t xml:space="preserve">CANDY </t>
  </si>
  <si>
    <t xml:space="preserve">LUPITA </t>
  </si>
  <si>
    <t xml:space="preserve">ALICE ROMERO </t>
  </si>
  <si>
    <t>BAMBU</t>
  </si>
  <si>
    <t xml:space="preserve">ANTONIA ZUÑIGA </t>
  </si>
  <si>
    <t xml:space="preserve">MARYORI GARCIA </t>
  </si>
  <si>
    <t xml:space="preserve">CRISTIAN RENGIFO </t>
  </si>
  <si>
    <t>ERIKA JULIETH CONCHA</t>
  </si>
  <si>
    <t xml:space="preserve">ALEXANDER RODRIGUEZ </t>
  </si>
  <si>
    <t xml:space="preserve">YULIANY GRANDA </t>
  </si>
  <si>
    <t xml:space="preserve">MARGARITA MARMOLEJO </t>
  </si>
  <si>
    <t>JESSY OBANDO</t>
  </si>
  <si>
    <t xml:space="preserve">TOBIAS </t>
  </si>
  <si>
    <t>GUILLERMO LOZANO</t>
  </si>
  <si>
    <t>TOKIO</t>
  </si>
  <si>
    <t xml:space="preserve">LEIDY CORTES </t>
  </si>
  <si>
    <t xml:space="preserve">TERESA NUÑEZ </t>
  </si>
  <si>
    <t>GIRO</t>
  </si>
  <si>
    <t>JENNIFER CARDONA</t>
  </si>
  <si>
    <t>LUCHO</t>
  </si>
  <si>
    <t>GLORIA AMPARO FIGUEROA</t>
  </si>
  <si>
    <t>LUQUITA</t>
  </si>
  <si>
    <t>LULU</t>
  </si>
  <si>
    <t>ALEXA ZAPATA LONDOÑO</t>
  </si>
  <si>
    <t>DIANA ESPINAL</t>
  </si>
  <si>
    <t>CHOCOLATE</t>
  </si>
  <si>
    <t xml:space="preserve">LEYLA CAMARGO </t>
  </si>
  <si>
    <t xml:space="preserve">TOMMY BLUE </t>
  </si>
  <si>
    <t xml:space="preserve">MARTHA SALAZAR </t>
  </si>
  <si>
    <t xml:space="preserve">JANICE BRAVO </t>
  </si>
  <si>
    <t>SUSY</t>
  </si>
  <si>
    <t>JESSICA GARCIA</t>
  </si>
  <si>
    <t>MARIA SILVANA LLAMO</t>
  </si>
  <si>
    <t>VALENTINA ERAZO</t>
  </si>
  <si>
    <t>MILAN</t>
  </si>
  <si>
    <t>ANDREA RODRIGUEZ</t>
  </si>
  <si>
    <t xml:space="preserve">MATEO </t>
  </si>
  <si>
    <t xml:space="preserve">ALEJANDRA NARVAES </t>
  </si>
  <si>
    <t>SAMA</t>
  </si>
  <si>
    <t>MAGGIE</t>
  </si>
  <si>
    <t xml:space="preserve">DOBBY </t>
  </si>
  <si>
    <t xml:space="preserve">MARIA FERNANDA SANCHEZ </t>
  </si>
  <si>
    <t>MILU</t>
  </si>
  <si>
    <t xml:space="preserve">JOEL CASTRO </t>
  </si>
  <si>
    <t xml:space="preserve">KARLA HERNANDEZ </t>
  </si>
  <si>
    <t>MODRIK</t>
  </si>
  <si>
    <t>AMERICAN BULLY</t>
  </si>
  <si>
    <t xml:space="preserve">ANNY </t>
  </si>
  <si>
    <t xml:space="preserve">TOMMY </t>
  </si>
  <si>
    <t>EMILIA</t>
  </si>
  <si>
    <t>EFREN EDUARDO RAMIREZ</t>
  </si>
  <si>
    <t>COLLIN</t>
  </si>
  <si>
    <t>NATALIA LOPEZ</t>
  </si>
  <si>
    <t>VANESSA GARCIA</t>
  </si>
  <si>
    <t>JOSE EDIER CARDONA</t>
  </si>
  <si>
    <t>TOWI</t>
  </si>
  <si>
    <t>ANGELA MARIA NUÑEZ</t>
  </si>
  <si>
    <t>OSCAR PALACIOS</t>
  </si>
  <si>
    <t>NATALIA RAIGOSA</t>
  </si>
  <si>
    <t>MARIA A GALVEZ</t>
  </si>
  <si>
    <t>KATHERINE RAMIREZ</t>
  </si>
  <si>
    <t>LORENZA</t>
  </si>
  <si>
    <t>LAURA LASPRILLA</t>
  </si>
  <si>
    <t>SAMARA</t>
  </si>
  <si>
    <t>LAURA BORJA</t>
  </si>
  <si>
    <t>PAOLA TORRES</t>
  </si>
  <si>
    <t>YEFERSON GUZMAN</t>
  </si>
  <si>
    <t xml:space="preserve">OSCAR ROPERO </t>
  </si>
  <si>
    <t xml:space="preserve">LEIDY HERNANDEZ </t>
  </si>
  <si>
    <t>LINA MARCELA OSPINA</t>
  </si>
  <si>
    <t>SANDRA MILENA CASTILLO</t>
  </si>
  <si>
    <t xml:space="preserve">MAURICIO LOPEZ </t>
  </si>
  <si>
    <t>CHOCO</t>
  </si>
  <si>
    <t>YURANI NIÑO</t>
  </si>
  <si>
    <t xml:space="preserve">DIANA MARCELA </t>
  </si>
  <si>
    <t>OREO DE JESUS</t>
  </si>
  <si>
    <t xml:space="preserve">MARIAM CASTAÑO </t>
  </si>
  <si>
    <t xml:space="preserve">CAROLINA LOPEZ </t>
  </si>
  <si>
    <t xml:space="preserve">ALASKA </t>
  </si>
  <si>
    <t>LASSY</t>
  </si>
  <si>
    <t>MELISSA MEZA</t>
  </si>
  <si>
    <t>MECHAS</t>
  </si>
  <si>
    <t>PANCHA</t>
  </si>
  <si>
    <t>CHIA</t>
  </si>
  <si>
    <t>MINNI</t>
  </si>
  <si>
    <t xml:space="preserve">ANA MARIA GOMEZ </t>
  </si>
  <si>
    <t>CONGO</t>
  </si>
  <si>
    <t>RUFFO</t>
  </si>
  <si>
    <t>MAYRA ACOSTA</t>
  </si>
  <si>
    <t xml:space="preserve">TAMMY </t>
  </si>
  <si>
    <t>MARIA TEREZA MENDOZA</t>
  </si>
  <si>
    <t xml:space="preserve">ALEXANDRA CARDONA </t>
  </si>
  <si>
    <t xml:space="preserve">ODDY </t>
  </si>
  <si>
    <t>ANGELICA GONZALEZ</t>
  </si>
  <si>
    <t xml:space="preserve">DANTE </t>
  </si>
  <si>
    <t>TIAGO</t>
  </si>
  <si>
    <t xml:space="preserve">ALEXANDRA QUINTERO </t>
  </si>
  <si>
    <t xml:space="preserve">NOAH </t>
  </si>
  <si>
    <t xml:space="preserve">LUZ PIEDAD TOBAR </t>
  </si>
  <si>
    <t>MARIA JOSE</t>
  </si>
  <si>
    <t>HORACIO GOMEZ</t>
  </si>
  <si>
    <t>NACHO</t>
  </si>
  <si>
    <t>NANCY GARCIA</t>
  </si>
  <si>
    <t>FROY</t>
  </si>
  <si>
    <t>PAULA GIRALDO</t>
  </si>
  <si>
    <t>MARIA CAMILA VELASQUEZ</t>
  </si>
  <si>
    <t>PEDRO</t>
  </si>
  <si>
    <t>SOYLA NIETO</t>
  </si>
  <si>
    <t xml:space="preserve">LINA JOHANA MOLINA </t>
  </si>
  <si>
    <t>DANIELA RENGIFO</t>
  </si>
  <si>
    <t>NELSON OCAMPO</t>
  </si>
  <si>
    <t>OLIVER</t>
  </si>
  <si>
    <t>SANDRA FRANCO</t>
  </si>
  <si>
    <t>BENJI</t>
  </si>
  <si>
    <t>MARLENY MORENO</t>
  </si>
  <si>
    <t>NIEVES</t>
  </si>
  <si>
    <t xml:space="preserve">HERLAN </t>
  </si>
  <si>
    <t xml:space="preserve">ALEJANDRA TABARES </t>
  </si>
  <si>
    <t xml:space="preserve">VERONICA PEÑA </t>
  </si>
  <si>
    <t xml:space="preserve">MATILDA </t>
  </si>
  <si>
    <t>LIMPIEZA OIDOS</t>
  </si>
  <si>
    <t xml:space="preserve">CAROLINA LAVREZ </t>
  </si>
  <si>
    <t xml:space="preserve">LEO </t>
  </si>
  <si>
    <t>DIANA PALACIOS</t>
  </si>
  <si>
    <t>ZURICH</t>
  </si>
  <si>
    <t xml:space="preserve">AMANDA ROSERO </t>
  </si>
  <si>
    <t xml:space="preserve">CLAUDIA ESTELLA MEJIA </t>
  </si>
  <si>
    <t>CRISTINA VILLEGAS</t>
  </si>
  <si>
    <t xml:space="preserve">NEGRITA </t>
  </si>
  <si>
    <t xml:space="preserve">PAOLA SABOGAL </t>
  </si>
  <si>
    <t>ESTRELLA</t>
  </si>
  <si>
    <t>NATALIA PALACIOS</t>
  </si>
  <si>
    <t>NUBE</t>
  </si>
  <si>
    <t xml:space="preserve">DIEGO GONZALEZ </t>
  </si>
  <si>
    <t>SKYE</t>
  </si>
  <si>
    <t xml:space="preserve">ADRIANA LOZANO </t>
  </si>
  <si>
    <t xml:space="preserve">MARIA CONSUELO </t>
  </si>
  <si>
    <t xml:space="preserve">MOLY </t>
  </si>
  <si>
    <t>ELIANA RIVADENEIRA</t>
  </si>
  <si>
    <t>GALA</t>
  </si>
  <si>
    <t>FABIO LOPEZ</t>
  </si>
  <si>
    <t>MINNIE</t>
  </si>
  <si>
    <t>SESIÓN DESENREDO</t>
  </si>
  <si>
    <t>ANDRES FELIPE AGUDELO</t>
  </si>
  <si>
    <t>QUEEN</t>
  </si>
  <si>
    <t>DIANA</t>
  </si>
  <si>
    <t xml:space="preserve">KAREN SARMIENTO ARIZA </t>
  </si>
  <si>
    <t xml:space="preserve">BLACKY </t>
  </si>
  <si>
    <t>KENCHIN</t>
  </si>
  <si>
    <t>MAIK</t>
  </si>
  <si>
    <t xml:space="preserve">FABIO LOPEZ </t>
  </si>
  <si>
    <t xml:space="preserve">VIVIANA CASTRO </t>
  </si>
  <si>
    <t>BONO</t>
  </si>
  <si>
    <t>LUIS SANCHEZ</t>
  </si>
  <si>
    <t>PRINCIPITA</t>
  </si>
  <si>
    <t>YESSI OBANDO</t>
  </si>
  <si>
    <t>DIANA XIMENA CARDONA</t>
  </si>
  <si>
    <t>DANGER</t>
  </si>
  <si>
    <t>MARIA JOSE BARRETO</t>
  </si>
  <si>
    <t>SABRINA</t>
  </si>
  <si>
    <t xml:space="preserve">CLAUDIA FERNANDA VARELA </t>
  </si>
  <si>
    <t>ROGERT</t>
  </si>
  <si>
    <t>CONAN</t>
  </si>
  <si>
    <t>ALEJANDRO ROSAS</t>
  </si>
  <si>
    <t>MEZCAL</t>
  </si>
  <si>
    <t xml:space="preserve">ANDRES LONDOÑO </t>
  </si>
  <si>
    <t>MARINELLA SERNA</t>
  </si>
  <si>
    <t>COOPER</t>
  </si>
  <si>
    <t>LINA MARCELA JARAMILLO</t>
  </si>
  <si>
    <t>KODY</t>
  </si>
  <si>
    <t>ESTFANIA HERNANDEZ</t>
  </si>
  <si>
    <t>ADRIANA ENRIQUE</t>
  </si>
  <si>
    <t>JHONATAN MORALES</t>
  </si>
  <si>
    <t>ASAI</t>
  </si>
  <si>
    <t>CAROLINA CLAVIJO</t>
  </si>
  <si>
    <t>IGOR</t>
  </si>
  <si>
    <t>LIMIEZA OIDOS</t>
  </si>
  <si>
    <t xml:space="preserve">MARIA FERNANDA RIVAS </t>
  </si>
  <si>
    <t>LEIDY GONZALEZ</t>
  </si>
  <si>
    <t>DONNY</t>
  </si>
  <si>
    <t>ERIKA RIVERA</t>
  </si>
  <si>
    <t>NATALIA LOPEZ VALENCIA</t>
  </si>
  <si>
    <t>LEIDY GARCIA</t>
  </si>
  <si>
    <t>AMPARO PORTILLA</t>
  </si>
  <si>
    <t>MANOLA</t>
  </si>
  <si>
    <t>CORAJE</t>
  </si>
  <si>
    <t>JULIO CESAR VELEZ</t>
  </si>
  <si>
    <t xml:space="preserve">GUILLERMO LOZANO </t>
  </si>
  <si>
    <t xml:space="preserve">TOKIO </t>
  </si>
  <si>
    <t xml:space="preserve">LAURA VALERIA VASQUEZ </t>
  </si>
  <si>
    <t>MOCCA</t>
  </si>
  <si>
    <t>KATHERINE OSA</t>
  </si>
  <si>
    <t>MARIA JOSE ISAZA</t>
  </si>
  <si>
    <t xml:space="preserve">TEOFILO JAMES </t>
  </si>
  <si>
    <t>NIO</t>
  </si>
  <si>
    <t xml:space="preserve">JULIANA ARIAS </t>
  </si>
  <si>
    <t xml:space="preserve">YENI SANCHEZ </t>
  </si>
  <si>
    <t xml:space="preserve">MARCELA MARTINEZ </t>
  </si>
  <si>
    <t>CAROLINA</t>
  </si>
  <si>
    <t>DANNA</t>
  </si>
  <si>
    <t>JHOANA CARVAJAL</t>
  </si>
  <si>
    <t xml:space="preserve">YORKI </t>
  </si>
  <si>
    <t>AMPARO VALDERRAMA</t>
  </si>
  <si>
    <t xml:space="preserve">GALITO </t>
  </si>
  <si>
    <t>ALEXANDRA CARDONA</t>
  </si>
  <si>
    <t>ODDY</t>
  </si>
  <si>
    <t>KAREN SARMIENTO</t>
  </si>
  <si>
    <t>BLACKY</t>
  </si>
  <si>
    <t xml:space="preserve">LUCY MONTES </t>
  </si>
  <si>
    <t>DANIELA SANCLEMENTE</t>
  </si>
  <si>
    <t xml:space="preserve">YUNEIRI </t>
  </si>
  <si>
    <t>MAILY</t>
  </si>
  <si>
    <t xml:space="preserve">LINA MARIA BECERRA </t>
  </si>
  <si>
    <t xml:space="preserve">EDWIN CAÑAS </t>
  </si>
  <si>
    <t>YAKO</t>
  </si>
  <si>
    <t>NAREN ARANZAZU</t>
  </si>
  <si>
    <t xml:space="preserve">PACO </t>
  </si>
  <si>
    <t xml:space="preserve">MARIANA AGUIRRE </t>
  </si>
  <si>
    <t xml:space="preserve">SANTIAGO DIAZ </t>
  </si>
  <si>
    <t xml:space="preserve">JUAN MANUEL RODRIGUEZ </t>
  </si>
  <si>
    <t>ERNESTO</t>
  </si>
  <si>
    <t>TERRY</t>
  </si>
  <si>
    <t>JESSICA PONCE</t>
  </si>
  <si>
    <t>MONICA RIVERA</t>
  </si>
  <si>
    <t>ANGELICA TOVAR</t>
  </si>
  <si>
    <t>CATALINA LONDOÑO</t>
  </si>
  <si>
    <t>ANA MARIA AGUDELO</t>
  </si>
  <si>
    <t>FABIO VILLA</t>
  </si>
  <si>
    <t>PAULA ANDREA GOMEZ</t>
  </si>
  <si>
    <t>VAINILLA</t>
  </si>
  <si>
    <t>LANA</t>
  </si>
  <si>
    <t>CARLOS ANDRES</t>
  </si>
  <si>
    <t>VALERIA</t>
  </si>
  <si>
    <t xml:space="preserve">LUCAS </t>
  </si>
  <si>
    <t>BEATRIZ PULGARIN</t>
  </si>
  <si>
    <t>NINI</t>
  </si>
  <si>
    <t>MARI PRADO</t>
  </si>
  <si>
    <t xml:space="preserve">LOCKY </t>
  </si>
  <si>
    <t xml:space="preserve">PARCERO </t>
  </si>
  <si>
    <t>YUDI TRUJILLO</t>
  </si>
  <si>
    <t xml:space="preserve">VICTORIA HOLGUIN </t>
  </si>
  <si>
    <t xml:space="preserve">VALERIN DAYANA </t>
  </si>
  <si>
    <t>CAROL VANESSA ARBOLEDA</t>
  </si>
  <si>
    <t>SENIDA CHACON</t>
  </si>
  <si>
    <t>ANTONELLA GARCIA</t>
  </si>
  <si>
    <t>CHISPITA</t>
  </si>
  <si>
    <t>LAURA SOFIA JARAMILLO</t>
  </si>
  <si>
    <t xml:space="preserve">DIANA MARCELA SERNA </t>
  </si>
  <si>
    <t xml:space="preserve">PELUDO </t>
  </si>
  <si>
    <t>CHLOE</t>
  </si>
  <si>
    <t>WISTON</t>
  </si>
  <si>
    <t>NEGRITA</t>
  </si>
  <si>
    <t xml:space="preserve">ISABEL CRISTINA LEYES </t>
  </si>
  <si>
    <t>CHAVELA</t>
  </si>
  <si>
    <t xml:space="preserve">VALENTINA ERAZO </t>
  </si>
  <si>
    <t xml:space="preserve">EDILMA REINA </t>
  </si>
  <si>
    <t>CARLOS ESCALANTE</t>
  </si>
  <si>
    <t>ANGELIAC TOVAR</t>
  </si>
  <si>
    <t xml:space="preserve">VIVIANA CARDENAS </t>
  </si>
  <si>
    <t>JHOANA MENDEZ</t>
  </si>
  <si>
    <t>ROMMEL</t>
  </si>
  <si>
    <t>VALENTINA ROLDAN</t>
  </si>
  <si>
    <t>PATRICIO</t>
  </si>
  <si>
    <t>MARIA CLAUDIA TAMAYO</t>
  </si>
  <si>
    <t xml:space="preserve">KAREN ZAPATA </t>
  </si>
  <si>
    <t xml:space="preserve">YEIKO </t>
  </si>
  <si>
    <t xml:space="preserve">ISABELLA DIAZ </t>
  </si>
  <si>
    <t>NOA</t>
  </si>
  <si>
    <t>VALENTINA BETANCOUR</t>
  </si>
  <si>
    <t>ANIBAL MONCADA</t>
  </si>
  <si>
    <t>JACHI</t>
  </si>
  <si>
    <t xml:space="preserve">CHARLY </t>
  </si>
  <si>
    <t>MARIA A GALVES</t>
  </si>
  <si>
    <t xml:space="preserve">LUIS CARLOS FLORES </t>
  </si>
  <si>
    <t>PAULA ANDREA FRANCO</t>
  </si>
  <si>
    <t xml:space="preserve">MARIANA VASQUEZ </t>
  </si>
  <si>
    <t>MARIA ISABEL SAENZ</t>
  </si>
  <si>
    <t xml:space="preserve">ALEXA ZAPATA </t>
  </si>
  <si>
    <t>PAOLA SABOGAL</t>
  </si>
  <si>
    <t>MONICA VEGA</t>
  </si>
  <si>
    <t xml:space="preserve">DAHIANA MARIN MARIN </t>
  </si>
  <si>
    <t>NAHLA</t>
  </si>
  <si>
    <t>JAVIER SERNA</t>
  </si>
  <si>
    <t xml:space="preserve">FECHA </t>
  </si>
  <si>
    <t xml:space="preserve">JONATHAN MORALES </t>
  </si>
  <si>
    <t xml:space="preserve">ALEJANDRO MONCADA </t>
  </si>
  <si>
    <t xml:space="preserve">JESSI OBANDO </t>
  </si>
  <si>
    <t>TOBIAS</t>
  </si>
  <si>
    <t>LARISSA SANDOVAL</t>
  </si>
  <si>
    <t xml:space="preserve">YEFERSON GUZMAN </t>
  </si>
  <si>
    <t>ERIKA RENDON</t>
  </si>
  <si>
    <t>EBBA</t>
  </si>
  <si>
    <t>LAURA VELASQUEZ AGUDELO</t>
  </si>
  <si>
    <t>PUPPY</t>
  </si>
  <si>
    <t>DANIELA ESCOBAR LORZA</t>
  </si>
  <si>
    <t xml:space="preserve">NATALIA PALACIOS </t>
  </si>
  <si>
    <t xml:space="preserve">FELIPE GUZMAN </t>
  </si>
  <si>
    <t xml:space="preserve">SILENA SILVA </t>
  </si>
  <si>
    <t>TILIN</t>
  </si>
  <si>
    <t>MARTIN</t>
  </si>
  <si>
    <t xml:space="preserve">ANA MARIA ESCARRIA </t>
  </si>
  <si>
    <t xml:space="preserve">SANTIAGO HURTADO </t>
  </si>
  <si>
    <t>ASLAN</t>
  </si>
  <si>
    <t xml:space="preserve">CLAUDIA ATEHORTUA </t>
  </si>
  <si>
    <t xml:space="preserve">MAX </t>
  </si>
  <si>
    <t xml:space="preserve">DANIELA CONDUMI </t>
  </si>
  <si>
    <t>DIANA TAMAYO</t>
  </si>
  <si>
    <t>ANDRES SINISTERRA</t>
  </si>
  <si>
    <t>MOCA</t>
  </si>
  <si>
    <t>MAIRA ALEJANDRA ARIAS</t>
  </si>
  <si>
    <t>MAIA</t>
  </si>
  <si>
    <t>ANGELICA GARDEAZABAL</t>
  </si>
  <si>
    <t xml:space="preserve">KEVIN </t>
  </si>
  <si>
    <t xml:space="preserve">HADA </t>
  </si>
  <si>
    <t xml:space="preserve">CARLOS ESCALANTE </t>
  </si>
  <si>
    <t>GLADIS PALOMINO</t>
  </si>
  <si>
    <t>ADRIAN CALDERON</t>
  </si>
  <si>
    <t>NATALIA RODRIGUEZ</t>
  </si>
  <si>
    <t>SUGGAR</t>
  </si>
  <si>
    <t>VIVIANA CASTRO</t>
  </si>
  <si>
    <t xml:space="preserve">GILBERT ALEXANDER </t>
  </si>
  <si>
    <t>ORUS</t>
  </si>
  <si>
    <t xml:space="preserve">NATALIA LOPEZ </t>
  </si>
  <si>
    <t xml:space="preserve">CLAUDIA PATRICIA ARGOTY </t>
  </si>
  <si>
    <t>JULIAN HENAO</t>
  </si>
  <si>
    <t xml:space="preserve">EDWIN TORO </t>
  </si>
  <si>
    <t xml:space="preserve">ANGIE RODRIGUEZ </t>
  </si>
  <si>
    <t>COQUITA</t>
  </si>
  <si>
    <t xml:space="preserve">ANDRES FELIPE ANGEL </t>
  </si>
  <si>
    <t>ANA MARIA MENESES</t>
  </si>
  <si>
    <t>NAYSHA</t>
  </si>
  <si>
    <t xml:space="preserve">VALENTINA MARULANDA </t>
  </si>
  <si>
    <t xml:space="preserve">ALEJANDRO FONTECHA </t>
  </si>
  <si>
    <t>COCOA</t>
  </si>
  <si>
    <t>BOYERO DE BERNA</t>
  </si>
  <si>
    <t>SANDRA TAMAYO</t>
  </si>
  <si>
    <t>SARITA</t>
  </si>
  <si>
    <t>LEIDY ESGUERRA</t>
  </si>
  <si>
    <t>ALEJANDRO</t>
  </si>
  <si>
    <t>MURAT</t>
  </si>
  <si>
    <t xml:space="preserve">CAMILO ESCOBAR </t>
  </si>
  <si>
    <t>ALEXIS CASTRILLON</t>
  </si>
  <si>
    <t xml:space="preserve">NIKLAUS </t>
  </si>
  <si>
    <t>GABRIELA CASTAÑO</t>
  </si>
  <si>
    <t xml:space="preserve"> RUSSO</t>
  </si>
  <si>
    <t xml:space="preserve">MARIA TERESA MENDOZA </t>
  </si>
  <si>
    <t>MARIA CRISTINA</t>
  </si>
  <si>
    <t>NEGRA</t>
  </si>
  <si>
    <t xml:space="preserve">HORACIO GOMEZ </t>
  </si>
  <si>
    <t xml:space="preserve">NACHO </t>
  </si>
  <si>
    <t xml:space="preserve">JOSE DIVIER GONZALEZ </t>
  </si>
  <si>
    <t xml:space="preserve">AMIGO </t>
  </si>
  <si>
    <t xml:space="preserve">FABIAN ARIAS </t>
  </si>
  <si>
    <t>CUCKY</t>
  </si>
  <si>
    <t>ESTEFANIA HERNANDEZ</t>
  </si>
  <si>
    <t>JENNI MARCELA</t>
  </si>
  <si>
    <t>CHIQUITIN</t>
  </si>
  <si>
    <t>INICIO MENSUALIDAD</t>
  </si>
  <si>
    <t>VALERIA MORENO</t>
  </si>
  <si>
    <t xml:space="preserve">YESSICA PRADA </t>
  </si>
  <si>
    <t>DOKY</t>
  </si>
  <si>
    <t>PINSCHSER</t>
  </si>
  <si>
    <t xml:space="preserve">FAYSULY RIVAS </t>
  </si>
  <si>
    <t xml:space="preserve">KAREN SOFIA GALLON </t>
  </si>
  <si>
    <t xml:space="preserve">MARIA JOSE ISAZA </t>
  </si>
  <si>
    <t xml:space="preserve">PRINCESA </t>
  </si>
  <si>
    <t>TATIANA GARCIA</t>
  </si>
  <si>
    <t xml:space="preserve">ALEXANDER JIMENEZ </t>
  </si>
  <si>
    <t xml:space="preserve">JULIANA GOMEZ </t>
  </si>
  <si>
    <t xml:space="preserve">PACA </t>
  </si>
  <si>
    <t xml:space="preserve">ANGIE PEREZ </t>
  </si>
  <si>
    <t xml:space="preserve">COFFEE </t>
  </si>
  <si>
    <t>BOMBI</t>
  </si>
  <si>
    <t xml:space="preserve">FRANK LOPEZ </t>
  </si>
  <si>
    <t>LORENA SAENS</t>
  </si>
  <si>
    <t xml:space="preserve">MANUELA HERNANDEZ </t>
  </si>
  <si>
    <t>AZAY</t>
  </si>
  <si>
    <t>ANDREA VARGAS</t>
  </si>
  <si>
    <t>CHANELLE</t>
  </si>
  <si>
    <t>MARIA HELENA HINCAPIE</t>
  </si>
  <si>
    <t>VALERIA HOYOS TRIVIÑO</t>
  </si>
  <si>
    <t xml:space="preserve">LEIDY VANESSA PALACIOS </t>
  </si>
  <si>
    <t xml:space="preserve">JULIANA CORREA </t>
  </si>
  <si>
    <t>EDUARDO</t>
  </si>
  <si>
    <t xml:space="preserve">MANUELA HENAO </t>
  </si>
  <si>
    <t>FREYA</t>
  </si>
  <si>
    <t xml:space="preserve">SAMMY </t>
  </si>
  <si>
    <t xml:space="preserve">INICIO MENSUALIDAD </t>
  </si>
  <si>
    <t xml:space="preserve">DAVID CALDERON </t>
  </si>
  <si>
    <t xml:space="preserve">TATIANA PORRAS </t>
  </si>
  <si>
    <t xml:space="preserve">JHON ORDOÑEZ </t>
  </si>
  <si>
    <t xml:space="preserve">MILAN </t>
  </si>
  <si>
    <t xml:space="preserve">RAMON </t>
  </si>
  <si>
    <t xml:space="preserve">LINA OSPINA </t>
  </si>
  <si>
    <t xml:space="preserve">LUIS CARLOS PEREZ </t>
  </si>
  <si>
    <t xml:space="preserve">DARA </t>
  </si>
  <si>
    <t xml:space="preserve">DIANA XIEMAN CARDONA </t>
  </si>
  <si>
    <t xml:space="preserve">LICETH GALVEZ </t>
  </si>
  <si>
    <t xml:space="preserve">ISABELLA GALVEZ </t>
  </si>
  <si>
    <t>CLAUDIA PATRICIA RODRIGUEZ</t>
  </si>
  <si>
    <t>MONICA BEATRIZ ATEHORTUA</t>
  </si>
  <si>
    <t>JESSICA HERNANDEZ</t>
  </si>
  <si>
    <t>ROMA</t>
  </si>
  <si>
    <t>ADRIANA DIAZ TORRALBA</t>
  </si>
  <si>
    <t>LEIDY TATIANA GONZALEZ</t>
  </si>
  <si>
    <t xml:space="preserve">ALBA LUCI </t>
  </si>
  <si>
    <t xml:space="preserve">COCO </t>
  </si>
  <si>
    <t xml:space="preserve">XIMENA PATRICIA TORRES </t>
  </si>
  <si>
    <t xml:space="preserve">ALDO </t>
  </si>
  <si>
    <t xml:space="preserve">DOBBY PATRICIO </t>
  </si>
  <si>
    <t xml:space="preserve">ROSA VALDERRAMA </t>
  </si>
  <si>
    <t xml:space="preserve">MARIA PAULA MARTINEZ </t>
  </si>
  <si>
    <t xml:space="preserve">LAURA SANCHEZ </t>
  </si>
  <si>
    <t>MARCELA SANTAMARIA</t>
  </si>
  <si>
    <t>ADRIANA LOZANO</t>
  </si>
  <si>
    <t>CHANELL</t>
  </si>
  <si>
    <t>110 la limpieza</t>
  </si>
  <si>
    <t>JUAN ORDOÑEZ</t>
  </si>
  <si>
    <t>CLAUDIA FERNANDA VARELA</t>
  </si>
  <si>
    <t>DIANA CAROLINA MENDOZA</t>
  </si>
  <si>
    <t>HUGO GIRALDO</t>
  </si>
  <si>
    <t>LAURA VALERIA VASQUEZ</t>
  </si>
  <si>
    <t>CHER</t>
  </si>
  <si>
    <t>JESSI OBANDO</t>
  </si>
  <si>
    <t>DANIELA MANCILLA</t>
  </si>
  <si>
    <t>MARIA FERNANDA</t>
  </si>
  <si>
    <t>MATILDA</t>
  </si>
  <si>
    <t>ERIKA DIAZ</t>
  </si>
  <si>
    <t>ROMITA</t>
  </si>
  <si>
    <t>ROSA VALDERRAMA</t>
  </si>
  <si>
    <t>KIRA</t>
  </si>
  <si>
    <t xml:space="preserve">PANADORA </t>
  </si>
  <si>
    <t>GERMAN CARVAJAL</t>
  </si>
  <si>
    <t xml:space="preserve">YULIANA NOREÑA </t>
  </si>
  <si>
    <t xml:space="preserve">TATIANA MESSA </t>
  </si>
  <si>
    <t>MOCKA</t>
  </si>
  <si>
    <t>ROCKO</t>
  </si>
  <si>
    <t xml:space="preserve">BEATRIZ VELEZ </t>
  </si>
  <si>
    <t>PAULA ANDREA CASTRO</t>
  </si>
  <si>
    <t>POTTER</t>
  </si>
  <si>
    <t>YAMILETH RODRIGUEZ</t>
  </si>
  <si>
    <t>LAURA DANIELA ARIAS</t>
  </si>
  <si>
    <t>YEFFERSON GUZMAN</t>
  </si>
  <si>
    <t xml:space="preserve">DIANA XIMENA </t>
  </si>
  <si>
    <t>JULIANA GOMEZ</t>
  </si>
  <si>
    <t>CLAUDIA MILENA PEREZ</t>
  </si>
  <si>
    <t>JUANCHO</t>
  </si>
  <si>
    <t>KELLY VASQUEZ</t>
  </si>
  <si>
    <t>CARMEN RAMOS</t>
  </si>
  <si>
    <t>LORENZO</t>
  </si>
  <si>
    <t>MARIA CAMILA MUÑOZ</t>
  </si>
  <si>
    <t>TOÑA</t>
  </si>
  <si>
    <t xml:space="preserve">DAYANA </t>
  </si>
  <si>
    <t>GEORGE</t>
  </si>
  <si>
    <t>AURA MARIA ROJAS</t>
  </si>
  <si>
    <t>JULIANA DOMINGUEZ</t>
  </si>
  <si>
    <t>ALEJANDRO FONTECHA</t>
  </si>
  <si>
    <t>PIEDAD PAREDES</t>
  </si>
  <si>
    <t>PEPE</t>
  </si>
  <si>
    <t>JOSE LUIS</t>
  </si>
  <si>
    <t>TARA</t>
  </si>
  <si>
    <t xml:space="preserve">SARAH MONTOYA </t>
  </si>
  <si>
    <t xml:space="preserve">SANCHO </t>
  </si>
  <si>
    <t xml:space="preserve">CAROLINA OROZCO </t>
  </si>
  <si>
    <t>LIZETH RENTERIA</t>
  </si>
  <si>
    <t xml:space="preserve">BOBBY </t>
  </si>
  <si>
    <t>CLUADIA STELLA MEJIA</t>
  </si>
  <si>
    <t xml:space="preserve">LEIDY ESGUERRA </t>
  </si>
  <si>
    <t>BORA</t>
  </si>
  <si>
    <t>ANGIE DANIELA DUQUE</t>
  </si>
  <si>
    <t>YEIKO</t>
  </si>
  <si>
    <t>CARLOS MARIA ESCALANTE</t>
  </si>
  <si>
    <t>KAROL MORALES</t>
  </si>
  <si>
    <t>JUGUETE</t>
  </si>
  <si>
    <t>LIMPIEZA</t>
  </si>
  <si>
    <t>LUISANA PERAZA</t>
  </si>
  <si>
    <t>KAREN MENDOZA</t>
  </si>
  <si>
    <t>KARLA ANGULO</t>
  </si>
  <si>
    <t>ALIS PATRICIA PARRA</t>
  </si>
  <si>
    <t>BAMBI</t>
  </si>
  <si>
    <t>LUZ MERY LARGO</t>
  </si>
  <si>
    <t xml:space="preserve">DIANA MARIN </t>
  </si>
  <si>
    <t>JOY ALEJANRO</t>
  </si>
  <si>
    <t>DANIELA RINCON</t>
  </si>
  <si>
    <t>LAURA SANCHEZ</t>
  </si>
  <si>
    <t xml:space="preserve">JOSE DIDIER GONZALEZ </t>
  </si>
  <si>
    <t>YESSICA PRADA BEJARANO</t>
  </si>
  <si>
    <t>PEDRO EMILIO</t>
  </si>
  <si>
    <t>CAROLINA ALVAREZ</t>
  </si>
  <si>
    <t>MONICA SALAS</t>
  </si>
  <si>
    <t xml:space="preserve">ESTEFANIA ARIAS </t>
  </si>
  <si>
    <t>LORI</t>
  </si>
  <si>
    <t>JIMENA ESTRADA</t>
  </si>
  <si>
    <t>KENIA</t>
  </si>
  <si>
    <t>JUAN GIL</t>
  </si>
  <si>
    <t>ASGAR</t>
  </si>
  <si>
    <t>PILAR GALINDO</t>
  </si>
  <si>
    <t>LOLA</t>
  </si>
  <si>
    <t>DIEGO ALEJANDRO MADRID</t>
  </si>
  <si>
    <t>ALEJANDRA LOAIZA</t>
  </si>
  <si>
    <t xml:space="preserve">CHELSY </t>
  </si>
  <si>
    <t>JHOANA MORALES</t>
  </si>
  <si>
    <t xml:space="preserve">SUCY GARCIA </t>
  </si>
  <si>
    <t>VALRIA GRANOBLES</t>
  </si>
  <si>
    <t>KAEL</t>
  </si>
  <si>
    <t xml:space="preserve">YESSICA MARCELA RODRIGUEZ </t>
  </si>
  <si>
    <t xml:space="preserve">LIZ HELENA AGUIRRE </t>
  </si>
  <si>
    <t xml:space="preserve">NORA PINEDA </t>
  </si>
  <si>
    <t>POLAR</t>
  </si>
  <si>
    <t>ADRIANA</t>
  </si>
  <si>
    <t>WENDY</t>
  </si>
  <si>
    <t xml:space="preserve">LICETH GALVES </t>
  </si>
  <si>
    <t xml:space="preserve">STEFANIA MEJIA </t>
  </si>
  <si>
    <t xml:space="preserve">LEIDY ALFOSO </t>
  </si>
  <si>
    <t xml:space="preserve">NATALIA CORREA </t>
  </si>
  <si>
    <t xml:space="preserve">ALMA </t>
  </si>
  <si>
    <t xml:space="preserve">CHLOE </t>
  </si>
  <si>
    <t>LINA MARCELA SARRIA</t>
  </si>
  <si>
    <t xml:space="preserve">KYARA </t>
  </si>
  <si>
    <t xml:space="preserve">LUISA MUÑOZ </t>
  </si>
  <si>
    <t>TOM JAVIER</t>
  </si>
  <si>
    <t>ANDREA VANESA GALVIS</t>
  </si>
  <si>
    <t>YULIET GALEANO</t>
  </si>
  <si>
    <t>SHANNEL</t>
  </si>
  <si>
    <t xml:space="preserve">DIANA GUEVARA </t>
  </si>
  <si>
    <t xml:space="preserve">MATIAS </t>
  </si>
  <si>
    <t>MAGGY</t>
  </si>
  <si>
    <t xml:space="preserve">ERIKA DIAZ </t>
  </si>
  <si>
    <t>MANUELA GARCIA</t>
  </si>
  <si>
    <t>JAIRO ANDRES GALLEGO</t>
  </si>
  <si>
    <t xml:space="preserve">ESTAFANIA </t>
  </si>
  <si>
    <t>LILIANA LOPEZ</t>
  </si>
  <si>
    <t>CLAUDIA PATRICIA OSORIO</t>
  </si>
  <si>
    <t>DORI</t>
  </si>
  <si>
    <t>VALENTINA RAMIREZ ROSAS</t>
  </si>
  <si>
    <t>HOLLY</t>
  </si>
  <si>
    <t>DANIELA CAÑAS</t>
  </si>
  <si>
    <t xml:space="preserve">YISELA </t>
  </si>
  <si>
    <t>CATHERINE GARCIA</t>
  </si>
  <si>
    <t>BEATRIZ MORAN</t>
  </si>
  <si>
    <t>BRANDY</t>
  </si>
  <si>
    <t xml:space="preserve">ALEJANDRO </t>
  </si>
  <si>
    <t>ADRIANA ENRRIQUE</t>
  </si>
  <si>
    <t>JULIANA MENDOZA</t>
  </si>
  <si>
    <t xml:space="preserve">MARCELA SANTAMARIA </t>
  </si>
  <si>
    <t xml:space="preserve">CORAL </t>
  </si>
  <si>
    <t xml:space="preserve">VALERIA </t>
  </si>
  <si>
    <t>DUQUEZA</t>
  </si>
  <si>
    <t xml:space="preserve">SURY GARCIA </t>
  </si>
  <si>
    <t>DANTE</t>
  </si>
  <si>
    <t xml:space="preserve">MASHA </t>
  </si>
  <si>
    <t>JOHAN SEBASTIAN QUINTERO</t>
  </si>
  <si>
    <t xml:space="preserve">DARLA </t>
  </si>
  <si>
    <t xml:space="preserve">NANCY PEREZ </t>
  </si>
  <si>
    <t xml:space="preserve">MANGO </t>
  </si>
  <si>
    <t xml:space="preserve">MARIA SILVANA LLANO </t>
  </si>
  <si>
    <t xml:space="preserve">KARLA ANGULO </t>
  </si>
  <si>
    <t xml:space="preserve">DIANA SANCHEZ </t>
  </si>
  <si>
    <t>CHASE</t>
  </si>
  <si>
    <t xml:space="preserve">JOSE ZAMBRANO </t>
  </si>
  <si>
    <t xml:space="preserve">JULIANA GUZMAN </t>
  </si>
  <si>
    <t xml:space="preserve">JESSICA RICARDO </t>
  </si>
  <si>
    <t xml:space="preserve">FABIO JURADO </t>
  </si>
  <si>
    <t>JOSE DIDIER GONZALES</t>
  </si>
  <si>
    <t>NATASHA CORONA</t>
  </si>
  <si>
    <t>CARITA</t>
  </si>
  <si>
    <t xml:space="preserve">ANGELICA MESSA </t>
  </si>
  <si>
    <t xml:space="preserve">JORGE HUMBERTO GONZALEZ </t>
  </si>
  <si>
    <t xml:space="preserve">STIVEN SUAREZ </t>
  </si>
  <si>
    <t>MARISOL HERNAO</t>
  </si>
  <si>
    <t>JUAN RODRUIGUEZ</t>
  </si>
  <si>
    <t>MARIA MEDELLIN</t>
  </si>
  <si>
    <t>GAVANA</t>
  </si>
  <si>
    <t>SURY GARCIA</t>
  </si>
  <si>
    <t xml:space="preserve">MARIA MIRTA CASTAÑO </t>
  </si>
  <si>
    <t>DIEGO BRADSHAW</t>
  </si>
  <si>
    <t>THANOS</t>
  </si>
  <si>
    <t xml:space="preserve">MUFASA </t>
  </si>
  <si>
    <t xml:space="preserve">MARIA JOSE PULGARIN </t>
  </si>
  <si>
    <t>21/08/2025</t>
  </si>
  <si>
    <t>FABIAN ARIAS</t>
  </si>
  <si>
    <t>VILMA</t>
  </si>
  <si>
    <t>CARLOS VICTORIA</t>
  </si>
  <si>
    <t>VALENTINA MORA</t>
  </si>
  <si>
    <t>VENOM</t>
  </si>
  <si>
    <t>SURI GARCIA</t>
  </si>
  <si>
    <t>SARA EVA MARTINEZ</t>
  </si>
  <si>
    <t>NUNA</t>
  </si>
  <si>
    <t>LORENA</t>
  </si>
  <si>
    <t>MILOVE</t>
  </si>
  <si>
    <t>JHON ORDOÑEZ</t>
  </si>
  <si>
    <t>LEIDY VANESSA PALACIOS</t>
  </si>
  <si>
    <t>CRISTIAN NOREÑA</t>
  </si>
  <si>
    <t>AMPARO ALDERRAMA</t>
  </si>
  <si>
    <t>GALITO</t>
  </si>
  <si>
    <t>LEYDI JOHANNA NARVAEZ</t>
  </si>
  <si>
    <t>JUDITH FARFAN</t>
  </si>
  <si>
    <t>MANUELA HERNANDEZ</t>
  </si>
  <si>
    <t xml:space="preserve">VANESSA BONILLA </t>
  </si>
  <si>
    <t xml:space="preserve">KAREN CONTRERAS </t>
  </si>
  <si>
    <t xml:space="preserve">FIONA </t>
  </si>
  <si>
    <t xml:space="preserve">LUISA POSADA </t>
  </si>
  <si>
    <t xml:space="preserve">BERLIN </t>
  </si>
  <si>
    <t>WINSTON</t>
  </si>
  <si>
    <t>STEPHANI MARIN</t>
  </si>
  <si>
    <t xml:space="preserve">RODRIGO JOSE GARCIA </t>
  </si>
  <si>
    <t>MILENA ECHEVERRI</t>
  </si>
  <si>
    <t>PEPA</t>
  </si>
  <si>
    <t>MARIA JOSE POSO</t>
  </si>
  <si>
    <t xml:space="preserve">TATIANA LONDOÑO </t>
  </si>
  <si>
    <t xml:space="preserve">ISABELA DIAZ </t>
  </si>
  <si>
    <t xml:space="preserve">SANDIA </t>
  </si>
  <si>
    <t xml:space="preserve">JESSICA PRADA </t>
  </si>
  <si>
    <t xml:space="preserve">SOFIA ARBOLEDA </t>
  </si>
  <si>
    <t xml:space="preserve">RONE </t>
  </si>
  <si>
    <t xml:space="preserve">LAURA CAMPO </t>
  </si>
  <si>
    <t xml:space="preserve">ARGO </t>
  </si>
  <si>
    <t>MUÑECA</t>
  </si>
  <si>
    <t xml:space="preserve">ANGIE VELASQUEZ </t>
  </si>
  <si>
    <t>YANETH FORERO</t>
  </si>
  <si>
    <t>LEILA</t>
  </si>
  <si>
    <t xml:space="preserve">ADRIAN CALDERON </t>
  </si>
  <si>
    <t xml:space="preserve">SURI GARCIA </t>
  </si>
  <si>
    <t xml:space="preserve">LILIANA LOPEZ </t>
  </si>
  <si>
    <t xml:space="preserve">LUPE </t>
  </si>
  <si>
    <t>CLAUDIA FERNANDA VALERA</t>
  </si>
  <si>
    <t>KAREN ZAPATA</t>
  </si>
  <si>
    <t xml:space="preserve">PELUCHE </t>
  </si>
  <si>
    <t>VALERIA SERRANO</t>
  </si>
  <si>
    <t>YULIANA ANDREA OSPINA</t>
  </si>
  <si>
    <t xml:space="preserve">MORITA </t>
  </si>
  <si>
    <t xml:space="preserve">GLORIA ELENA RESTREPO </t>
  </si>
  <si>
    <t xml:space="preserve">DIANA XIMENA CARDONA </t>
  </si>
  <si>
    <t xml:space="preserve">DANGER </t>
  </si>
  <si>
    <t xml:space="preserve">MARIA TERESA TABARES </t>
  </si>
  <si>
    <t xml:space="preserve">PAOLA VARON </t>
  </si>
  <si>
    <t xml:space="preserve">ERIKA PEÑA </t>
  </si>
  <si>
    <t xml:space="preserve">CLAUDIA GOMEZ </t>
  </si>
  <si>
    <t xml:space="preserve">VALENTINA RAMIREZ </t>
  </si>
  <si>
    <t xml:space="preserve">CLAUDIA ISABEL NARANJO </t>
  </si>
  <si>
    <t xml:space="preserve">NATALIA CORREA BEDOYA </t>
  </si>
  <si>
    <t>ALMA</t>
  </si>
  <si>
    <t xml:space="preserve">JULIANA DOMINGUEZ </t>
  </si>
  <si>
    <t xml:space="preserve">TATIANA MESA </t>
  </si>
  <si>
    <t xml:space="preserve">COCO CHANEL </t>
  </si>
  <si>
    <t xml:space="preserve">PAULA RODRIGUEZ </t>
  </si>
  <si>
    <t xml:space="preserve">VALENTINA PEÑARANZA </t>
  </si>
  <si>
    <t xml:space="preserve">MARDORY BEDOYA </t>
  </si>
  <si>
    <t xml:space="preserve">LEIDY RUSSI </t>
  </si>
  <si>
    <t xml:space="preserve">IRIS </t>
  </si>
  <si>
    <t>TATIANA MESA</t>
  </si>
  <si>
    <t>MANUELA RUIZ</t>
  </si>
  <si>
    <t>ARO</t>
  </si>
  <si>
    <t>DAYANA</t>
  </si>
  <si>
    <t>CAROLINA OROZCO</t>
  </si>
  <si>
    <t>OLGA ALVAREZ</t>
  </si>
  <si>
    <t>DAYANA ALGARRA</t>
  </si>
  <si>
    <t>MALTA</t>
  </si>
  <si>
    <t>LINA JHOANA MOLINA</t>
  </si>
  <si>
    <t>ELIANA RIVADENERIA</t>
  </si>
  <si>
    <t>OIDOS</t>
  </si>
  <si>
    <t>ESTEBAN</t>
  </si>
  <si>
    <t>PAOLA BRAVO</t>
  </si>
  <si>
    <t>LUISA BENITEZ</t>
  </si>
  <si>
    <t xml:space="preserve">BELA </t>
  </si>
  <si>
    <t>LYZETH GALVIZ</t>
  </si>
  <si>
    <t xml:space="preserve">LUZADORA CACERES </t>
  </si>
  <si>
    <t xml:space="preserve">STUART </t>
  </si>
  <si>
    <t xml:space="preserve">CARMEN </t>
  </si>
  <si>
    <t xml:space="preserve">RUFFO </t>
  </si>
  <si>
    <t xml:space="preserve">CONGO </t>
  </si>
  <si>
    <t xml:space="preserve">LIMPIEZA </t>
  </si>
  <si>
    <t>MARIA FERNANDA RIVAS</t>
  </si>
  <si>
    <t>ODION</t>
  </si>
  <si>
    <t xml:space="preserve">LINA MARIA GARCIA </t>
  </si>
  <si>
    <t xml:space="preserve">BELLOTA </t>
  </si>
  <si>
    <t>MARIA DE LOS ANGELES MONTOYA</t>
  </si>
  <si>
    <t>ERIKA CATAÑO</t>
  </si>
  <si>
    <t xml:space="preserve">ALEJANDRA FRANCO </t>
  </si>
  <si>
    <t xml:space="preserve">JUANA </t>
  </si>
  <si>
    <t>YULIANA</t>
  </si>
  <si>
    <t xml:space="preserve">ESTEFANIA HERNANDEZ </t>
  </si>
  <si>
    <t xml:space="preserve">KATHERINE VASQUEZ </t>
  </si>
  <si>
    <t xml:space="preserve">RIGO </t>
  </si>
  <si>
    <t xml:space="preserve">JIMENA ESTRADA </t>
  </si>
  <si>
    <t>FERNANDA CASANOVA</t>
  </si>
  <si>
    <t>MARIA ALEJANDRA</t>
  </si>
  <si>
    <t xml:space="preserve">POLAR </t>
  </si>
  <si>
    <t>INICIO M</t>
  </si>
  <si>
    <t xml:space="preserve">PAGA LIMPIEZA PROFUNDA SE REALIZA PROXIMO VIERNES </t>
  </si>
  <si>
    <t xml:space="preserve">DASHURY </t>
  </si>
  <si>
    <t xml:space="preserve">ALIS PATRICIA PARRA </t>
  </si>
  <si>
    <t xml:space="preserve">LAURA BONILLA </t>
  </si>
  <si>
    <t xml:space="preserve">DIANA CAROLINA SANCHEZ </t>
  </si>
  <si>
    <t xml:space="preserve">CHASE </t>
  </si>
  <si>
    <t xml:space="preserve">JUAN CAMILO FERNANDEZ </t>
  </si>
  <si>
    <t xml:space="preserve">ASGARD </t>
  </si>
  <si>
    <t>SACHA</t>
  </si>
  <si>
    <t xml:space="preserve">SAMARA </t>
  </si>
  <si>
    <t xml:space="preserve"> </t>
  </si>
  <si>
    <t>ESTEFANY ARIZA</t>
  </si>
  <si>
    <t xml:space="preserve">GLORIA INES ROJAS </t>
  </si>
  <si>
    <t xml:space="preserve">CARLOS ANDRES </t>
  </si>
  <si>
    <t xml:space="preserve">VIVIANA MARCELA ALVARES </t>
  </si>
  <si>
    <t>MAXIMMILIANO</t>
  </si>
  <si>
    <t xml:space="preserve">LUIS HERNANDO ZULETA </t>
  </si>
  <si>
    <t xml:space="preserve">STEPHANYA MARIN </t>
  </si>
  <si>
    <t xml:space="preserve">KENCHIN </t>
  </si>
  <si>
    <t xml:space="preserve">PAULA ANDREA FRANCO </t>
  </si>
  <si>
    <t xml:space="preserve">ANA MARIA GARCIA </t>
  </si>
  <si>
    <t xml:space="preserve">VIVIANA PEREZ </t>
  </si>
  <si>
    <t>EDGAR DIAZ</t>
  </si>
  <si>
    <t>LUKAS</t>
  </si>
  <si>
    <t>DIANA CAROLINA MORCILLA</t>
  </si>
  <si>
    <t>CORAZON</t>
  </si>
  <si>
    <t>YESSICA PRADA</t>
  </si>
  <si>
    <t>YISELA</t>
  </si>
  <si>
    <t xml:space="preserve">ZIA </t>
  </si>
  <si>
    <t xml:space="preserve">YULIETH BEJARANO </t>
  </si>
  <si>
    <t xml:space="preserve">COPITO </t>
  </si>
  <si>
    <t>SESION DESENREDO</t>
  </si>
  <si>
    <t>DANIELA GONZALES</t>
  </si>
  <si>
    <t>LUISANA PEREZA</t>
  </si>
  <si>
    <t xml:space="preserve">JUANITA </t>
  </si>
  <si>
    <t xml:space="preserve">RICARDO TREMONT </t>
  </si>
  <si>
    <t xml:space="preserve">NUCITA </t>
  </si>
  <si>
    <t>JULIANA CORREA</t>
  </si>
  <si>
    <t xml:space="preserve">JAVIER SERNA </t>
  </si>
  <si>
    <t xml:space="preserve">CAROLINA SILVA </t>
  </si>
  <si>
    <t xml:space="preserve">JULIETH BEJARANO </t>
  </si>
  <si>
    <t>ERIKA VALERA</t>
  </si>
  <si>
    <t>LINA SEGURA</t>
  </si>
  <si>
    <t xml:space="preserve">JULIAN OCAMPO </t>
  </si>
  <si>
    <t>ANA MARIA ESCARRIA</t>
  </si>
  <si>
    <t>JAIRO CASTRO</t>
  </si>
  <si>
    <t>ELIANA</t>
  </si>
  <si>
    <t>LINA ACEVEDO</t>
  </si>
  <si>
    <t xml:space="preserve">EDWIND </t>
  </si>
  <si>
    <t>KAI</t>
  </si>
  <si>
    <t>NATALY CARO</t>
  </si>
  <si>
    <t>MARISOL MUÑOZ</t>
  </si>
  <si>
    <t>MILAGROS</t>
  </si>
  <si>
    <t xml:space="preserve">JOSEPE </t>
  </si>
  <si>
    <t xml:space="preserve">DIANA VELASQUEZ </t>
  </si>
  <si>
    <t>PP</t>
  </si>
  <si>
    <t xml:space="preserve">JHOANA MENDEZ </t>
  </si>
  <si>
    <t xml:space="preserve">ROMMEL </t>
  </si>
  <si>
    <t xml:space="preserve">CLAUDIA ARROYAVE </t>
  </si>
  <si>
    <t xml:space="preserve">GOOFY </t>
  </si>
  <si>
    <t xml:space="preserve">YULIANA BURBANO </t>
  </si>
  <si>
    <t xml:space="preserve">MILU </t>
  </si>
  <si>
    <t xml:space="preserve">DASHIRI </t>
  </si>
  <si>
    <t xml:space="preserve">RAFAEL ZABALA </t>
  </si>
  <si>
    <t xml:space="preserve">ROMA </t>
  </si>
  <si>
    <t xml:space="preserve">JUDITH FARRAN </t>
  </si>
  <si>
    <t xml:space="preserve">KAROL MORALES </t>
  </si>
  <si>
    <t xml:space="preserve">JUGUETE </t>
  </si>
  <si>
    <t xml:space="preserve">MARIA FERNANDA LOPEZ </t>
  </si>
  <si>
    <t>ASTON</t>
  </si>
  <si>
    <t xml:space="preserve">KAROL BERON </t>
  </si>
  <si>
    <t xml:space="preserve">EDWIN MONTAÑA </t>
  </si>
  <si>
    <t xml:space="preserve">ANGELICA GARDEAZABAL </t>
  </si>
  <si>
    <t xml:space="preserve">PIMIENTA </t>
  </si>
  <si>
    <t xml:space="preserve">CATHERINE GARCIA </t>
  </si>
  <si>
    <t xml:space="preserve">PAULA ANDREA CASTRO </t>
  </si>
  <si>
    <t xml:space="preserve">POTTER </t>
  </si>
  <si>
    <t xml:space="preserve">CRISTIAN ACBRERA </t>
  </si>
  <si>
    <t>TOMY</t>
  </si>
  <si>
    <t xml:space="preserve">VALENTINA NARVAES </t>
  </si>
  <si>
    <t xml:space="preserve">ANGELICA VELASQUEZ </t>
  </si>
  <si>
    <t xml:space="preserve">CELESTE </t>
  </si>
  <si>
    <t>ANDRES FELIPE SAENZ</t>
  </si>
  <si>
    <t xml:space="preserve">SPRINGER SPANIEL </t>
  </si>
  <si>
    <t>ANDREA DAVILA</t>
  </si>
  <si>
    <t xml:space="preserve">BUNITO </t>
  </si>
  <si>
    <t xml:space="preserve">JOSE EVER GARCIA </t>
  </si>
  <si>
    <t xml:space="preserve">BEETHOVEN </t>
  </si>
  <si>
    <t xml:space="preserve">BELLA </t>
  </si>
  <si>
    <t xml:space="preserve">CHANNEL </t>
  </si>
  <si>
    <t xml:space="preserve">LAURA POLANCO </t>
  </si>
  <si>
    <t xml:space="preserve">CLIENTES NUEVOS </t>
  </si>
  <si>
    <t xml:space="preserve">BAÑO EVA </t>
  </si>
  <si>
    <t xml:space="preserve">EVA´S GROOMING </t>
  </si>
  <si>
    <t xml:space="preserve">EVA PRIMITIVO </t>
  </si>
  <si>
    <t xml:space="preserve">EVA LISO PERFECTO </t>
  </si>
  <si>
    <t xml:space="preserve">CAT LOVER </t>
  </si>
  <si>
    <t xml:space="preserve">CORTE DE UÑAS 13 </t>
  </si>
  <si>
    <t xml:space="preserve">PEINADO </t>
  </si>
  <si>
    <t xml:space="preserve">CLIENTE NUEVO </t>
  </si>
  <si>
    <t xml:space="preserve">DANIELA LOPEZA </t>
  </si>
  <si>
    <t xml:space="preserve">JHOANA AGUDELO </t>
  </si>
  <si>
    <t>LUISA FERNANDA CASTRO</t>
  </si>
  <si>
    <t xml:space="preserve">DULCE </t>
  </si>
  <si>
    <t>SI</t>
  </si>
  <si>
    <t xml:space="preserve">VALERIA SERRANO </t>
  </si>
  <si>
    <t xml:space="preserve">JERRY </t>
  </si>
  <si>
    <t xml:space="preserve">CONAN </t>
  </si>
  <si>
    <t>RAPADO</t>
  </si>
  <si>
    <t xml:space="preserve">ROGER </t>
  </si>
  <si>
    <t>MARIA VISTORIA CASTAÑO</t>
  </si>
  <si>
    <t xml:space="preserve"> CHLOE </t>
  </si>
  <si>
    <t xml:space="preserve">MARCELA GIRALDO </t>
  </si>
  <si>
    <t xml:space="preserve">MARIA QUINTERO </t>
  </si>
  <si>
    <t>DIANA GUEVARA</t>
  </si>
  <si>
    <t>LAURA ARIAS</t>
  </si>
  <si>
    <t>JULIANA BONILLA</t>
  </si>
  <si>
    <t>MELISSA GIRALDO RUIZ</t>
  </si>
  <si>
    <t>DIXIE</t>
  </si>
  <si>
    <t>LYZETH GALVIS</t>
  </si>
  <si>
    <t>JULIANA HENAO CASTAÑO</t>
  </si>
  <si>
    <t>BLANCA INES</t>
  </si>
  <si>
    <t>ISABEL HERRERA MONTOYA</t>
  </si>
  <si>
    <t>MOISES</t>
  </si>
  <si>
    <t>CLAUDIA RODRIGUEZ</t>
  </si>
  <si>
    <t>STICH</t>
  </si>
  <si>
    <t xml:space="preserve">DANIELA GONZALEZ </t>
  </si>
  <si>
    <t>ENZO</t>
  </si>
  <si>
    <t>LINA ALVAREZ</t>
  </si>
  <si>
    <t>NATALIA CORREA BEDOYA</t>
  </si>
  <si>
    <t>DANIELA LOPEZ</t>
  </si>
  <si>
    <t xml:space="preserve">EVIS HERRERA </t>
  </si>
  <si>
    <t xml:space="preserve">LINA JHOANA MOLINA </t>
  </si>
  <si>
    <t xml:space="preserve">LIMPIEZA DENTAL </t>
  </si>
  <si>
    <t xml:space="preserve">ALEANDRO FONTECHA </t>
  </si>
  <si>
    <t xml:space="preserve">MANUELA POSADA </t>
  </si>
  <si>
    <t xml:space="preserve">ARI </t>
  </si>
  <si>
    <t xml:space="preserve">SARA EVA MARTINEZ </t>
  </si>
  <si>
    <t xml:space="preserve">KAREN </t>
  </si>
  <si>
    <t xml:space="preserve">ANA MARIA AGUDELO </t>
  </si>
  <si>
    <t>SE RAPÓ</t>
  </si>
  <si>
    <t>SONIA MONTOYA</t>
  </si>
  <si>
    <t>ANDREA AVILA</t>
  </si>
  <si>
    <t>LUKA</t>
  </si>
  <si>
    <t>ALVARO JIMENEZ</t>
  </si>
  <si>
    <t xml:space="preserve">TATIANA YUMASUMA </t>
  </si>
  <si>
    <t xml:space="preserve">LLUVIA </t>
  </si>
  <si>
    <t xml:space="preserve">ISABELLA DUQUE </t>
  </si>
  <si>
    <t xml:space="preserve">GUARDIAN </t>
  </si>
  <si>
    <t xml:space="preserve">MAURICIO GONZALEZ </t>
  </si>
  <si>
    <t xml:space="preserve">DOKI </t>
  </si>
  <si>
    <t xml:space="preserve">XIMENA AYALA </t>
  </si>
  <si>
    <t xml:space="preserve">THOR </t>
  </si>
  <si>
    <t xml:space="preserve">YINETH RUIZ </t>
  </si>
  <si>
    <t xml:space="preserve">DUQUESA </t>
  </si>
  <si>
    <t>ANTONELLA SANCHEZ</t>
  </si>
  <si>
    <t>GABRIELA ARBOLEDA</t>
  </si>
  <si>
    <t>JIMMY</t>
  </si>
  <si>
    <t xml:space="preserve">JUAN RODRIGUES </t>
  </si>
  <si>
    <t xml:space="preserve">LINA MARCELA OSPINA </t>
  </si>
  <si>
    <t>MONICA CASTAÑEDA</t>
  </si>
  <si>
    <t>FLOKY</t>
  </si>
  <si>
    <t xml:space="preserve">BONO </t>
  </si>
  <si>
    <t>LAURA DAVILA</t>
  </si>
  <si>
    <t xml:space="preserve">EDWIN TIRADO </t>
  </si>
  <si>
    <t xml:space="preserve">AVRIL </t>
  </si>
  <si>
    <t xml:space="preserve">MARIA ANDREA BETANCOURT </t>
  </si>
  <si>
    <t>CHEWBACCA</t>
  </si>
  <si>
    <t xml:space="preserve">MARIA IRENE MONTERO </t>
  </si>
  <si>
    <t xml:space="preserve">ROKY </t>
  </si>
  <si>
    <t xml:space="preserve">MARIA JOSE PARRA </t>
  </si>
  <si>
    <t xml:space="preserve">SHORO </t>
  </si>
  <si>
    <t xml:space="preserve">ANGELICA </t>
  </si>
  <si>
    <t xml:space="preserve">HERA </t>
  </si>
  <si>
    <t xml:space="preserve">ANDREA DAVILA </t>
  </si>
  <si>
    <t>CLIENTE NUEVO</t>
  </si>
  <si>
    <t xml:space="preserve">LUIS CARLOS </t>
  </si>
  <si>
    <t>LIANA PEÑA</t>
  </si>
  <si>
    <t xml:space="preserve">JAIRO CASTRO </t>
  </si>
  <si>
    <t xml:space="preserve">ANDRES FELIPE SAENZ </t>
  </si>
  <si>
    <t xml:space="preserve">THEO </t>
  </si>
  <si>
    <t xml:space="preserve">MINIE </t>
  </si>
  <si>
    <t xml:space="preserve">EVA'S GROOMING </t>
  </si>
  <si>
    <t xml:space="preserve">EDWARD NIETO </t>
  </si>
  <si>
    <t>CAMILO JARAMILLO</t>
  </si>
  <si>
    <t xml:space="preserve"> ENZO </t>
  </si>
  <si>
    <t xml:space="preserve">ADRIANA HENAO </t>
  </si>
  <si>
    <t xml:space="preserve">NATALIA GALLEGO </t>
  </si>
  <si>
    <t xml:space="preserve">LAURA CAMILA DOMINGUEZ </t>
  </si>
  <si>
    <t xml:space="preserve">MANUELA </t>
  </si>
  <si>
    <t xml:space="preserve">VALERIA CASTILLO </t>
  </si>
  <si>
    <t xml:space="preserve">GIO </t>
  </si>
  <si>
    <t>DALMATA</t>
  </si>
  <si>
    <t xml:space="preserve">LUISA BENITEZ </t>
  </si>
  <si>
    <t xml:space="preserve">PAOLA ANDREA SABOGAL </t>
  </si>
  <si>
    <t xml:space="preserve">FRIDA </t>
  </si>
  <si>
    <t xml:space="preserve">LINA MARCELA SUA </t>
  </si>
  <si>
    <t>SKY</t>
  </si>
  <si>
    <t xml:space="preserve">NELSON OCAMPO </t>
  </si>
  <si>
    <t xml:space="preserve">OLIVER </t>
  </si>
  <si>
    <t xml:space="preserve">JHON FABER CAÑOLA </t>
  </si>
  <si>
    <t xml:space="preserve">FERNANDA CASANOVA </t>
  </si>
  <si>
    <t xml:space="preserve">ISABEL TEJADA </t>
  </si>
  <si>
    <t xml:space="preserve">NUBE </t>
  </si>
  <si>
    <t xml:space="preserve">ANDRES FERNANDO RODRIGUEZ </t>
  </si>
  <si>
    <t xml:space="preserve">ANDRIANA ENRRIQUE </t>
  </si>
  <si>
    <t xml:space="preserve">FREYA </t>
  </si>
  <si>
    <t xml:space="preserve">KEVIN ANDRES MORENO </t>
  </si>
  <si>
    <t xml:space="preserve">DOCKY </t>
  </si>
  <si>
    <t xml:space="preserve">JUAN DAVID RUIZ MORENO </t>
  </si>
  <si>
    <t>PINO</t>
  </si>
  <si>
    <t xml:space="preserve">BENITO </t>
  </si>
  <si>
    <t xml:space="preserve">CLUADIA PRADO </t>
  </si>
  <si>
    <t xml:space="preserve">PAPI </t>
  </si>
  <si>
    <t xml:space="preserve">SEGUNDO SERVICIO MENSUALIDAD </t>
  </si>
  <si>
    <t xml:space="preserve">DANIELA SERNA ANDRADE </t>
  </si>
  <si>
    <t>MARCELA HOLGUIN MURILLO</t>
  </si>
  <si>
    <t xml:space="preserve"> CARLA </t>
  </si>
  <si>
    <t xml:space="preserve">FREDY DAZA </t>
  </si>
  <si>
    <t>LAURA CAMPO</t>
  </si>
  <si>
    <t xml:space="preserve">MARIA CAMILA MUÑOZ </t>
  </si>
  <si>
    <t xml:space="preserve">TOÑA </t>
  </si>
  <si>
    <t>1312/2025</t>
  </si>
  <si>
    <t>FELIPE ARTEAGA</t>
  </si>
  <si>
    <t>SCOTT</t>
  </si>
  <si>
    <t xml:space="preserve">ROGERT </t>
  </si>
  <si>
    <t xml:space="preserve">MARIA CAMILA VELAZQUEZ </t>
  </si>
  <si>
    <t xml:space="preserve">PEDRO </t>
  </si>
  <si>
    <t xml:space="preserve">BUNNITO </t>
  </si>
  <si>
    <t xml:space="preserve">ZULY JANETH BOLAÑOS </t>
  </si>
  <si>
    <t>AMBAR</t>
  </si>
  <si>
    <t xml:space="preserve">LEIDY GONZALEZ </t>
  </si>
  <si>
    <t>VALRIA HOYOS TRIBIÑO</t>
  </si>
  <si>
    <t xml:space="preserve">MARIA CLEMENCIA DAVILA </t>
  </si>
  <si>
    <t xml:space="preserve">MARCO </t>
  </si>
  <si>
    <t xml:space="preserve">FATIMA </t>
  </si>
  <si>
    <t xml:space="preserve">PAOLA ANDREA DE LA ROSA </t>
  </si>
  <si>
    <t xml:space="preserve">CAFE </t>
  </si>
  <si>
    <t xml:space="preserve">GLORIA SANTANA </t>
  </si>
  <si>
    <t>MANTRA</t>
  </si>
  <si>
    <t xml:space="preserve">JULIETA LONDOÑO </t>
  </si>
  <si>
    <t>SIMARICANO</t>
  </si>
  <si>
    <t xml:space="preserve">AZUL </t>
  </si>
  <si>
    <t xml:space="preserve">BELKIS DEL CARMEN ARAQUE </t>
  </si>
  <si>
    <t>ARANDELA</t>
  </si>
  <si>
    <t xml:space="preserve">ERIKA VANESSA GOMEZ </t>
  </si>
  <si>
    <t>JUNG SU</t>
  </si>
  <si>
    <t>servicio de 80</t>
  </si>
  <si>
    <t>servicio de 70</t>
  </si>
  <si>
    <t xml:space="preserve">LUISANA PERAZA </t>
  </si>
  <si>
    <t xml:space="preserve">HILDA MURILLO </t>
  </si>
  <si>
    <t xml:space="preserve">MANUELA GONZALEZ </t>
  </si>
  <si>
    <t xml:space="preserve">SKYE </t>
  </si>
  <si>
    <t>DAYANA GARCIA</t>
  </si>
  <si>
    <t xml:space="preserve">OSWALDO CAMPO </t>
  </si>
  <si>
    <t xml:space="preserve">KAZAN </t>
  </si>
  <si>
    <t xml:space="preserve">IVAN VIVAS TORRES </t>
  </si>
  <si>
    <t xml:space="preserve">BECKY </t>
  </si>
  <si>
    <t xml:space="preserve">JHONATAN MORALES </t>
  </si>
  <si>
    <t>AZAI</t>
  </si>
  <si>
    <t>NO ASISTIO</t>
  </si>
  <si>
    <t xml:space="preserve">ESMERALDA GIRALDO </t>
  </si>
  <si>
    <t>MILLERNET GARCIA</t>
  </si>
  <si>
    <t xml:space="preserve">GRECIA </t>
  </si>
  <si>
    <t xml:space="preserve">GUSTAVO ZUÑIGA </t>
  </si>
  <si>
    <t>BECKER</t>
  </si>
  <si>
    <t>IRIS</t>
  </si>
  <si>
    <t xml:space="preserve">JESSICA LIBREROS </t>
  </si>
  <si>
    <t>KENAI</t>
  </si>
  <si>
    <t xml:space="preserve">ANA SOFIA SANCHEZ </t>
  </si>
  <si>
    <t>COFEE</t>
  </si>
  <si>
    <t xml:space="preserve">MARTHA CECILIA MARTINEZ </t>
  </si>
  <si>
    <t xml:space="preserve">CARLOS ARTURO GALEANO </t>
  </si>
  <si>
    <t xml:space="preserve">ADRIANA MORALES </t>
  </si>
  <si>
    <t>TONY</t>
  </si>
  <si>
    <t>CLAUDIA CEDIEL</t>
  </si>
  <si>
    <t xml:space="preserve">LAURA LASPRILLA </t>
  </si>
  <si>
    <t xml:space="preserve">KIARA SOFIA </t>
  </si>
  <si>
    <t xml:space="preserve">JOHAN SEBASTIAN SALDARRIAGA </t>
  </si>
  <si>
    <t xml:space="preserve">ENZO </t>
  </si>
  <si>
    <t>BEATRIZ ROLDAN</t>
  </si>
  <si>
    <t>PAPI PAPI</t>
  </si>
  <si>
    <t xml:space="preserve">ALEXANDRA </t>
  </si>
  <si>
    <t xml:space="preserve">SERGIO ARCE </t>
  </si>
  <si>
    <t xml:space="preserve">HONEY </t>
  </si>
  <si>
    <t xml:space="preserve">ALEXANDRA AVILA </t>
  </si>
  <si>
    <t xml:space="preserve">GALLETA </t>
  </si>
  <si>
    <t>JANETH FORERO</t>
  </si>
  <si>
    <t xml:space="preserve">LEILA </t>
  </si>
  <si>
    <t xml:space="preserve">LAURA JARAMILLO </t>
  </si>
  <si>
    <t>LINA MARIA GALVEZ</t>
  </si>
  <si>
    <t>NO VINO</t>
  </si>
  <si>
    <t>LUZ DARY</t>
  </si>
  <si>
    <t>OSCAR VALLECILLA</t>
  </si>
  <si>
    <t>MARIA ALEJANDRA MEJIA</t>
  </si>
  <si>
    <t xml:space="preserve">LINA MARCELA OPSINA </t>
  </si>
  <si>
    <t>JULY ANDREA BERNAL</t>
  </si>
  <si>
    <t>EDWIND TIRADO</t>
  </si>
  <si>
    <t>CORAL</t>
  </si>
  <si>
    <t>NELLY LOPEZ</t>
  </si>
  <si>
    <t>FELIPE PRADO</t>
  </si>
  <si>
    <t>SANSON</t>
  </si>
  <si>
    <t>ERIKA VALENCIA</t>
  </si>
  <si>
    <t>STEFANY HERNANDEZ</t>
  </si>
  <si>
    <t>VICTOR USECHE</t>
  </si>
  <si>
    <t>SALOME VALENCIA</t>
  </si>
  <si>
    <t xml:space="preserve">GEORGE </t>
  </si>
  <si>
    <t xml:space="preserve">LAURA ARIAS </t>
  </si>
  <si>
    <t xml:space="preserve">VALERIA HERRERA </t>
  </si>
  <si>
    <t xml:space="preserve">KLOE </t>
  </si>
  <si>
    <t xml:space="preserve">MANUELA RUIZ </t>
  </si>
  <si>
    <t xml:space="preserve">CHANEL </t>
  </si>
  <si>
    <t xml:space="preserve">ERIKA VALENCIA </t>
  </si>
  <si>
    <t>CLAUDIA ISABEL NARANJO</t>
  </si>
  <si>
    <t>JONATHAN CORTES</t>
  </si>
  <si>
    <t>MONO</t>
  </si>
  <si>
    <t>LAURA POLANCO</t>
  </si>
  <si>
    <t>FELIPE MONSALVE</t>
  </si>
  <si>
    <t>KAREN RIVERA</t>
  </si>
  <si>
    <t xml:space="preserve">STEFANIA FORONDA </t>
  </si>
  <si>
    <t>CHARLES</t>
  </si>
  <si>
    <t>MARIA ANGELICA</t>
  </si>
  <si>
    <t>HERA</t>
  </si>
  <si>
    <t>JESSICA GARCÍA</t>
  </si>
  <si>
    <t>FELIPE ARTEGA</t>
  </si>
  <si>
    <t xml:space="preserve">CAROLINA PATIÑO </t>
  </si>
  <si>
    <t xml:space="preserve">TATIANA YUMAYUSA </t>
  </si>
  <si>
    <t xml:space="preserve">YULIANA JAIMES </t>
  </si>
  <si>
    <t>DANIELA SERNA ANDRADE</t>
  </si>
  <si>
    <t xml:space="preserve">LIZ RAMIREZ </t>
  </si>
  <si>
    <t>DANIEL 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</si>
</sst>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 $]#,##0"/>
    <numFmt numFmtId="165" formatCode="0.0"/>
    <numFmt numFmtId="166" formatCode="dd/mm/yyyy"/>
    <numFmt numFmtId="167" formatCode="d\.m"/>
    <numFmt numFmtId="168" formatCode="d/m/yyyy"/>
  </numFmts>
  <fonts count="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3C4043"/>
      <name val="Arial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rgb="FF3C40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66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5" fillId="2" borderId="0" xfId="0" applyFont="1" applyFill="1"/>
    <xf numFmtId="168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E438D76-344A-DB2F-DE01-CD4E025A38A6}"/>
            </a:ext>
          </a:extLst>
        </xdr:cNvPr>
        <xdr:cNvSpPr txBox="1">
          <a:spLocks noChangeArrowheads="1"/>
        </xdr:cNvSpPr>
      </xdr:nvSpPr>
      <xdr:spPr bwMode="auto">
        <a:xfrm>
          <a:off x="1155700" y="330200"/>
          <a:ext cx="77216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190500</xdr:colOff>
      <xdr:row>215</xdr:row>
      <xdr:rowOff>127000</xdr:rowOff>
    </xdr:from>
    <xdr:to>
      <xdr:col>12</xdr:col>
      <xdr:colOff>190500</xdr:colOff>
      <xdr:row>221</xdr:row>
      <xdr:rowOff>50800</xdr:rowOff>
    </xdr:to>
    <xdr:sp macro="" textlink="">
      <xdr:nvSpPr>
        <xdr:cNvPr id="3124" name="Text Box 52" hidden="1">
          <a:extLst>
            <a:ext uri="{FF2B5EF4-FFF2-40B4-BE49-F238E27FC236}">
              <a16:creationId xmlns:a16="http://schemas.microsoft.com/office/drawing/2014/main" id="{E6EA7CFD-0777-7850-64D6-972EEC4272C2}"/>
            </a:ext>
          </a:extLst>
        </xdr:cNvPr>
        <xdr:cNvSpPr txBox="1">
          <a:spLocks noChangeArrowheads="1"/>
        </xdr:cNvSpPr>
      </xdr:nvSpPr>
      <xdr:spPr bwMode="auto">
        <a:xfrm>
          <a:off x="12319000" y="41084500"/>
          <a:ext cx="49276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ñorita eva" id="{86AA2667-3936-4BBD-A6E6-AB08F2D8D7E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6T22:20:13.00" personId="{86AA2667-3936-4BBD-A6E6-AB08F2D8D7E6}" id="{AA14268D-3A25-4305-9EBA-89C4A9DA1DE7}">
    <text>Tarjeta</text>
  </threadedComment>
  <threadedComment ref="H6" dT="2025-01-04T14:08:24.00" personId="{86AA2667-3936-4BBD-A6E6-AB08F2D8D7E6}" id="{81B47262-D94D-4955-873D-DB7B12C56B51}">
    <text>TARJETA</text>
  </threadedComment>
  <threadedComment ref="H9" dT="2025-01-04T22:05:31.00" personId="{86AA2667-3936-4BBD-A6E6-AB08F2D8D7E6}" id="{25EC8193-96F4-4238-804D-E6719A45218E}">
    <text>TARJETA</text>
  </threadedComment>
  <threadedComment ref="H10" dT="2025-01-04T22:05:24.00" personId="{86AA2667-3936-4BBD-A6E6-AB08F2D8D7E6}" id="{8BB2B1A4-D3E7-4210-B5AC-D6E4EB5A4067}">
    <text>TARJETA</text>
  </threadedComment>
  <threadedComment ref="H14" dT="2025-01-07T13:39:55.00" personId="{86AA2667-3936-4BBD-A6E6-AB08F2D8D7E6}" id="{8BCE9C8C-953C-4531-AAFE-57AA7A06F9D0}">
    <text>tarjeta</text>
  </threadedComment>
  <threadedComment ref="H15" dT="2025-01-08T13:27:27.00" personId="{86AA2667-3936-4BBD-A6E6-AB08F2D8D7E6}" id="{9E2D97CD-BE62-4859-BF00-F4AB13EEEC14}">
    <text>25 transferencia 
35 efectivo</text>
  </threadedComment>
  <threadedComment ref="H17" dT="2025-01-08T13:27:05.00" personId="{86AA2667-3936-4BBD-A6E6-AB08F2D8D7E6}" id="{1B6E9272-8E21-44BA-A671-926315E55BAC}">
    <text>transferencia</text>
  </threadedComment>
  <threadedComment ref="H18" dT="2025-01-08T13:26:59.00" personId="{86AA2667-3936-4BBD-A6E6-AB08F2D8D7E6}" id="{FFE92FD9-9B5A-41BD-85C2-1BD8E0C12327}">
    <text>tarjeta</text>
  </threadedComment>
  <threadedComment ref="H23" dT="2025-01-08T17:03:36.00" personId="{86AA2667-3936-4BBD-A6E6-AB08F2D8D7E6}" id="{A4DE710D-B7DB-482F-9595-D0E8D4E8F436}">
    <text>25 TRANSFERENCIA
110 EFECTIVO</text>
  </threadedComment>
  <threadedComment ref="H32" dT="2025-01-09T13:16:53.00" personId="{86AA2667-3936-4BBD-A6E6-AB08F2D8D7E6}" id="{2B1158BF-E7E5-4094-A758-A0D6128D053A}">
    <text>TRANSFERENCIA</text>
  </threadedComment>
  <threadedComment ref="H34" dT="2025-01-09T16:21:33.00" personId="{86AA2667-3936-4BBD-A6E6-AB08F2D8D7E6}" id="{7B276A58-C682-4EAA-B466-E01600175286}">
    <text>tarjeta</text>
  </threadedComment>
  <threadedComment ref="H35" dT="2025-01-09T16:21:38.00" personId="{86AA2667-3936-4BBD-A6E6-AB08F2D8D7E6}" id="{C56A5E67-49A4-48FD-81B9-CE035EEA73F4}">
    <text>tarjeta</text>
  </threadedComment>
  <threadedComment ref="H36" dT="2025-01-09T16:44:33.00" personId="{86AA2667-3936-4BBD-A6E6-AB08F2D8D7E6}" id="{C9A8E7A9-5492-4757-AE1B-200DED847C47}">
    <text>TARJETA</text>
  </threadedComment>
  <threadedComment ref="H38" dT="2025-01-10T21:04:19.00" personId="{86AA2667-3936-4BBD-A6E6-AB08F2D8D7E6}" id="{E2EE90A8-9BF1-41CE-AB7C-ED1933B6EF9B}">
    <text>TARJETA</text>
  </threadedComment>
  <threadedComment ref="H41" dT="2025-01-10T21:05:08.00" personId="{86AA2667-3936-4BBD-A6E6-AB08F2D8D7E6}" id="{A35AD5D3-296F-433B-8A15-B3895C934BA5}">
    <text>TARJETA</text>
  </threadedComment>
  <threadedComment ref="H42" dT="2025-01-10T21:05:03.00" personId="{86AA2667-3936-4BBD-A6E6-AB08F2D8D7E6}" id="{AE5C384A-C74F-4AD6-8BC5-78C57F6A9003}">
    <text>TARJETA</text>
  </threadedComment>
  <threadedComment ref="H46" dT="2025-01-10T22:55:12.00" personId="{86AA2667-3936-4BBD-A6E6-AB08F2D8D7E6}" id="{223AEB68-5C2E-4B3F-9D5A-52851F6FD58C}">
    <text>100 EFECTIVO
20 TRANSFERENCIA</text>
  </threadedComment>
  <threadedComment ref="H52" dT="2025-01-11T15:17:57.00" personId="{86AA2667-3936-4BBD-A6E6-AB08F2D8D7E6}" id="{A6F9F1BA-DDAB-4A7B-8500-3011E74D28FC}">
    <text>TRANSFERENCIA</text>
  </threadedComment>
  <threadedComment ref="H53" dT="2025-01-13T13:15:56.00" personId="{86AA2667-3936-4BBD-A6E6-AB08F2D8D7E6}" id="{20239BC0-D73B-4264-BC66-F226F69ECC96}">
    <text>transferencia</text>
  </threadedComment>
  <threadedComment ref="H58" dT="2025-01-11T18:42:58.00" personId="{86AA2667-3936-4BBD-A6E6-AB08F2D8D7E6}" id="{3E155D3A-7664-4D78-937C-A72332E76F1B}">
    <text>TARJETA</text>
  </threadedComment>
  <threadedComment ref="H59" dT="2025-01-11T18:42:52.00" personId="{86AA2667-3936-4BBD-A6E6-AB08F2D8D7E6}" id="{7BAF9C95-023A-495A-AD11-22C7AC2F8E65}">
    <text>TARJETA</text>
  </threadedComment>
  <threadedComment ref="H60" dT="2025-01-11T18:42:46.00" personId="{86AA2667-3936-4BBD-A6E6-AB08F2D8D7E6}" id="{E2D8303D-7414-4CC8-8C1B-0DFF521749FD}">
    <text>TARJETA</text>
  </threadedComment>
  <threadedComment ref="H63" dT="2025-01-13T12:55:05.00" personId="{86AA2667-3936-4BBD-A6E6-AB08F2D8D7E6}" id="{2CB7B56C-1EAA-42A4-9EF0-73150BBDD003}">
    <text>TRANSFERENCIA</text>
  </threadedComment>
  <threadedComment ref="H66" dT="2025-01-13T19:09:07.00" personId="{86AA2667-3936-4BBD-A6E6-AB08F2D8D7E6}" id="{354C2EBC-594F-4573-AF85-90C5879E3F1F}">
    <text>Transferencia</text>
  </threadedComment>
  <threadedComment ref="H67" dT="2025-01-13T21:15:15.00" personId="{86AA2667-3936-4BBD-A6E6-AB08F2D8D7E6}" id="{8BD1A08D-29EA-431F-927D-47D3C3529B80}">
    <text>transferencia</text>
  </threadedComment>
  <threadedComment ref="H72" dT="2025-01-15T14:16:45.00" personId="{86AA2667-3936-4BBD-A6E6-AB08F2D8D7E6}" id="{34AA81B8-5F21-410E-BA6A-B4EA4388D42C}">
    <text>25.000 transferencia
55.000 efectivo</text>
  </threadedComment>
  <threadedComment ref="H76" dT="2025-01-14T20:27:00.00" personId="{86AA2667-3936-4BBD-A6E6-AB08F2D8D7E6}" id="{7686137F-AE90-4965-8391-2A8657B41C93}">
    <text>Tarjeta</text>
  </threadedComment>
  <threadedComment ref="H79" dT="2025-01-15T19:36:42.00" personId="{86AA2667-3936-4BBD-A6E6-AB08F2D8D7E6}" id="{352EA7F5-6FBF-4527-8C94-B6122599B3A2}">
    <text>Tarjeta</text>
  </threadedComment>
  <threadedComment ref="H81" dT="2025-01-15T19:55:16.00" personId="{86AA2667-3936-4BBD-A6E6-AB08F2D8D7E6}" id="{1FB63F94-6061-4B9F-BD40-CAA4AF8DA5C3}">
    <text>Transferencia</text>
  </threadedComment>
  <threadedComment ref="H84" dT="2025-01-15T19:40:37.00" personId="{86AA2667-3936-4BBD-A6E6-AB08F2D8D7E6}" id="{08A7B4F6-33F4-4C28-B96B-110FCFB89861}">
    <text>184.000 efectivo
16.000 Transferencia</text>
  </threadedComment>
  <threadedComment ref="H85" dT="2025-01-15T19:41:04.00" personId="{86AA2667-3936-4BBD-A6E6-AB08F2D8D7E6}" id="{D4D0C4CA-B4B0-40B0-882C-8CEF34B6B2AE}">
    <text>184.000 Efectivo
16.000 Transferencia</text>
  </threadedComment>
  <threadedComment ref="H86" dT="2025-01-15T19:42:17.00" personId="{86AA2667-3936-4BBD-A6E6-AB08F2D8D7E6}" id="{9C28DC40-DA79-4A40-8A0E-80729F370404}">
    <text>184.000 Efectivo
16.000 Transferencia</text>
  </threadedComment>
  <threadedComment ref="H87" dT="2025-01-15T19:43:15.00" personId="{86AA2667-3936-4BBD-A6E6-AB08F2D8D7E6}" id="{13866EAD-6D6A-4067-BDCC-D911655332CC}">
    <text>184.000 Efectivo
16.000 Transferencia</text>
  </threadedComment>
  <threadedComment ref="H96" dT="2025-01-16T15:42:28.00" personId="{86AA2667-3936-4BBD-A6E6-AB08F2D8D7E6}" id="{2C4DA2EA-4895-48E8-BAAD-5595CE47987C}">
    <text>Tarjeta</text>
  </threadedComment>
  <threadedComment ref="H97" dT="2025-01-16T17:10:12.00" personId="{86AA2667-3936-4BBD-A6E6-AB08F2D8D7E6}" id="{C6BD963F-324E-4A52-B6FA-158550093DFF}">
    <text>Tarjeta</text>
  </threadedComment>
  <threadedComment ref="H103" dT="2025-01-18T13:21:17.00" personId="{86AA2667-3936-4BBD-A6E6-AB08F2D8D7E6}" id="{A4E58BE6-759D-441F-924F-DEE7930A735C}">
    <text>TARJETA</text>
  </threadedComment>
  <threadedComment ref="H104" dT="2025-01-17T15:56:56.00" personId="{86AA2667-3936-4BBD-A6E6-AB08F2D8D7E6}" id="{226FA81B-DE0C-4B15-8DE5-8E382131BD67}">
    <text>tarjeta</text>
  </threadedComment>
  <threadedComment ref="H105" dT="2025-01-17T16:14:17.00" personId="{86AA2667-3936-4BBD-A6E6-AB08F2D8D7E6}" id="{10EA166E-D8A6-488C-B194-D624F6135F6E}">
    <text>tarjeta</text>
  </threadedComment>
  <threadedComment ref="H107" dT="2025-01-17T16:54:21.00" personId="{86AA2667-3936-4BBD-A6E6-AB08F2D8D7E6}" id="{C64777D5-705F-4239-9E39-E850B476A1D9}">
    <text>TARJETA</text>
  </threadedComment>
  <threadedComment ref="H108" dT="2025-01-18T13:33:53.00" personId="{86AA2667-3936-4BBD-A6E6-AB08F2D8D7E6}" id="{4F48D631-108A-4E32-83EF-98A34437EA13}">
    <text>TRANSFERENCIA</text>
  </threadedComment>
  <threadedComment ref="H109" dT="2025-01-17T20:52:11.00" personId="{86AA2667-3936-4BBD-A6E6-AB08F2D8D7E6}" id="{72FB5692-D36F-4525-AFC6-83D85C399E7B}">
    <text>Transferencia</text>
  </threadedComment>
  <threadedComment ref="H111" dT="2025-01-17T22:31:19.00" personId="{86AA2667-3936-4BBD-A6E6-AB08F2D8D7E6}" id="{E4E813D2-0E15-407E-A719-0B4BA5A2381B}">
    <text>Tarjeta</text>
  </threadedComment>
  <threadedComment ref="H114" dT="2025-01-18T16:04:52.00" personId="{86AA2667-3936-4BBD-A6E6-AB08F2D8D7E6}" id="{29683B6E-0426-42F1-9C79-7209C4ABE78E}">
    <text>TARJETA</text>
  </threadedComment>
  <threadedComment ref="H116" dT="2025-01-18T16:04:44.00" personId="{86AA2667-3936-4BBD-A6E6-AB08F2D8D7E6}" id="{AB19227D-4A17-4149-8012-25350A87D86A}">
    <text>TRANSFERENCIA</text>
  </threadedComment>
  <threadedComment ref="H120" dT="2025-01-18T22:12:07.00" personId="{86AA2667-3936-4BBD-A6E6-AB08F2D8D7E6}" id="{F22B69FD-44B5-483B-B16B-2E810F61794B}">
    <text>TARJETA</text>
  </threadedComment>
  <threadedComment ref="H121" dT="2025-01-18T22:12:17.00" personId="{86AA2667-3936-4BBD-A6E6-AB08F2D8D7E6}" id="{BDA05BFE-8C28-456F-9EB7-2027A870C728}">
    <text>TARJETA</text>
  </threadedComment>
  <threadedComment ref="H123" dT="2025-01-18T17:33:44.00" personId="{86AA2667-3936-4BBD-A6E6-AB08F2D8D7E6}" id="{777C3E22-81E6-4411-B629-1CF5EA48D335}">
    <text>TRANSFERENCIA</text>
  </threadedComment>
  <threadedComment ref="H126" dT="2025-01-18T22:06:03.00" personId="{86AA2667-3936-4BBD-A6E6-AB08F2D8D7E6}" id="{5FB47EE2-C9CD-4491-BBD8-8DA46228FCEF}">
    <text>TARJETA</text>
  </threadedComment>
  <threadedComment ref="H128" dT="2025-01-20T17:02:13.00" personId="{86AA2667-3936-4BBD-A6E6-AB08F2D8D7E6}" id="{0470FE4C-B8DF-43F5-9044-E5A8E02084E8}">
    <text>transferencia</text>
  </threadedComment>
  <threadedComment ref="H136" dT="2025-01-21T17:07:36.00" personId="{86AA2667-3936-4BBD-A6E6-AB08F2D8D7E6}" id="{0CF0CAD8-ADBF-44B1-B24A-75DAA603BC0D}">
    <text>50.000 efectivo 
15.000 transferencia</text>
  </threadedComment>
  <threadedComment ref="H137" dT="2025-01-21T17:08:07.00" personId="{86AA2667-3936-4BBD-A6E6-AB08F2D8D7E6}" id="{DEB17E25-9F2C-4185-A77F-0FE5F6D1A5D9}">
    <text>transferencia</text>
  </threadedComment>
  <threadedComment ref="H143" dT="2025-01-22T14:44:35.00" personId="{86AA2667-3936-4BBD-A6E6-AB08F2D8D7E6}" id="{56F8AE38-FB40-4B7D-9988-1239C01A8738}">
    <text>Transferencia</text>
  </threadedComment>
  <threadedComment ref="H144" dT="2025-01-22T15:44:36.00" personId="{86AA2667-3936-4BBD-A6E6-AB08F2D8D7E6}" id="{A748D436-598D-4898-8A92-FAC873199834}">
    <text>Transferencia</text>
  </threadedComment>
  <threadedComment ref="H146" dT="2025-01-22T19:51:51.00" personId="{86AA2667-3936-4BBD-A6E6-AB08F2D8D7E6}" id="{0725F3E9-3E83-4164-8ED2-DEC9E7E03BF6}">
    <text>Transferencia</text>
  </threadedComment>
  <threadedComment ref="H147" dT="2025-01-22T21:59:21.00" personId="{86AA2667-3936-4BBD-A6E6-AB08F2D8D7E6}" id="{5FC8BD17-B692-4C80-A4F7-815C37D07643}">
    <text>Transferencia</text>
  </threadedComment>
  <threadedComment ref="H148" dT="2025-01-23T13:10:10.00" personId="{86AA2667-3936-4BBD-A6E6-AB08F2D8D7E6}" id="{ED344F58-8AA0-460A-AAB9-67F5DF68EB0D}">
    <text>Tarjeta</text>
  </threadedComment>
  <threadedComment ref="H155" dT="2025-01-23T22:56:16.00" personId="{86AA2667-3936-4BBD-A6E6-AB08F2D8D7E6}" id="{BDB93B8B-70FB-4DB4-AE4F-E8C045D12768}">
    <text>Tarjeta</text>
  </threadedComment>
  <threadedComment ref="H156" dT="2025-01-23T16:52:55.00" personId="{86AA2667-3936-4BBD-A6E6-AB08F2D8D7E6}" id="{22BD03EC-1E83-4ABF-A16E-6DDB5E525813}">
    <text>Tarjeta</text>
  </threadedComment>
  <threadedComment ref="H157" dT="2025-01-24T17:10:24.00" personId="{86AA2667-3936-4BBD-A6E6-AB08F2D8D7E6}" id="{DB8A7E3E-73A5-403F-953A-3B964B9F5FFB}">
    <text>Transferencia</text>
  </threadedComment>
  <threadedComment ref="H158" dT="2025-01-24T15:44:32.00" personId="{86AA2667-3936-4BBD-A6E6-AB08F2D8D7E6}" id="{21010B9A-14F9-4E1F-85CB-400C5BE22A1F}">
    <text>TRANSFERENCIA</text>
  </threadedComment>
  <threadedComment ref="H163" dT="2025-01-24T22:58:25.00" personId="{86AA2667-3936-4BBD-A6E6-AB08F2D8D7E6}" id="{082963EB-7119-4FAB-9113-ACE4214A7E3B}">
    <text>TRANSFERENCIA</text>
  </threadedComment>
  <threadedComment ref="H167" dT="2025-01-25T18:12:02.00" personId="{86AA2667-3936-4BBD-A6E6-AB08F2D8D7E6}" id="{5E04D4E5-9638-40A8-85DF-D4C91F3464B3}">
    <text>Tarjeta</text>
  </threadedComment>
  <threadedComment ref="H169" dT="2025-01-25T22:51:30.00" personId="{86AA2667-3936-4BBD-A6E6-AB08F2D8D7E6}" id="{CA6B7A2C-20BE-4F76-898F-EB51E461DB0D}">
    <text>TRANSFERENCIA</text>
  </threadedComment>
  <threadedComment ref="H171" dT="2025-01-25T15:27:14.00" personId="{86AA2667-3936-4BBD-A6E6-AB08F2D8D7E6}" id="{6F21A81E-835C-436E-B2F6-6A75AC8ACC1A}">
    <text>TRANSFERENCIA</text>
  </threadedComment>
  <threadedComment ref="H176" dT="2025-01-25T22:16:26.00" personId="{86AA2667-3936-4BBD-A6E6-AB08F2D8D7E6}" id="{6BD24E03-BAF9-482D-9AD4-13DEF04E9E63}">
    <text>TARJETA</text>
  </threadedComment>
  <threadedComment ref="H177" dT="2025-01-25T22:39:10.00" personId="{86AA2667-3936-4BBD-A6E6-AB08F2D8D7E6}" id="{85956909-D414-468D-B78C-2D762E0FE967}">
    <text>TRANSFERENCIA</text>
  </threadedComment>
  <threadedComment ref="H179" dT="2025-01-25T23:05:03.00" personId="{86AA2667-3936-4BBD-A6E6-AB08F2D8D7E6}" id="{7F935206-7244-4C46-A16C-E13AB25FDB38}">
    <text>TRANSFERENCIA</text>
  </threadedComment>
  <threadedComment ref="H180" dT="2025-01-25T21:07:59.00" personId="{86AA2667-3936-4BBD-A6E6-AB08F2D8D7E6}" id="{308F9060-6B8A-4DA8-9150-A658EE016FAF}">
    <text>TARJETA</text>
  </threadedComment>
  <threadedComment ref="H184" dT="2025-01-27T21:57:49.00" personId="{86AA2667-3936-4BBD-A6E6-AB08F2D8D7E6}" id="{91982383-1929-41E6-9F42-7823D26884C3}">
    <text>TARJETA</text>
  </threadedComment>
  <threadedComment ref="H186" dT="2025-01-28T12:53:48.00" personId="{86AA2667-3936-4BBD-A6E6-AB08F2D8D7E6}" id="{F1B6BB9C-D330-4A83-9CF8-9F1A4C4B8070}">
    <text>TARJETA</text>
  </threadedComment>
  <threadedComment ref="H187" dT="2025-01-27T22:12:49.00" personId="{86AA2667-3936-4BBD-A6E6-AB08F2D8D7E6}" id="{2344F1DB-D8BC-4D48-BF2C-20D528EEF18E}">
    <text>TRANSFERENCIA</text>
  </threadedComment>
  <threadedComment ref="H192" dT="2025-01-28T16:53:04.00" personId="{86AA2667-3936-4BBD-A6E6-AB08F2D8D7E6}" id="{A92B350F-E98D-4B89-BF96-883D9FD7D9C3}">
    <text>TARJETA</text>
  </threadedComment>
  <threadedComment ref="H200" dT="2025-01-29T13:23:40.00" personId="{86AA2667-3936-4BBD-A6E6-AB08F2D8D7E6}" id="{8D2697C9-500C-4BEA-B52D-429551A981A5}">
    <text>Transferencia</text>
  </threadedComment>
  <threadedComment ref="H201" dT="2025-01-29T13:24:12.00" personId="{86AA2667-3936-4BBD-A6E6-AB08F2D8D7E6}" id="{31D125C3-9BA3-49A2-A029-BEE13D9134DC}">
    <text>Transferencia</text>
  </threadedComment>
  <threadedComment ref="H203" dT="2025-01-28T21:39:50.00" personId="{86AA2667-3936-4BBD-A6E6-AB08F2D8D7E6}" id="{EABC20F1-463E-4419-81FA-5133CDC15B81}">
    <text>TRANSFERENCIA</text>
  </threadedComment>
  <threadedComment ref="H204" dT="2025-01-28T21:39:58.00" personId="{86AA2667-3936-4BBD-A6E6-AB08F2D8D7E6}" id="{594D6BC0-9633-46F6-8B9E-E3D1EE498A9C}">
    <text>TRANSFERENCIA</text>
  </threadedComment>
  <threadedComment ref="H205" dT="2025-01-28T21:40:04.00" personId="{86AA2667-3936-4BBD-A6E6-AB08F2D8D7E6}" id="{F193EC34-DFF9-4143-BEE8-C6E6354142FB}">
    <text>TRANSFERENCIA</text>
  </threadedComment>
  <threadedComment ref="H206" dT="2025-01-28T21:40:11.00" personId="{86AA2667-3936-4BBD-A6E6-AB08F2D8D7E6}" id="{FB9CBBD1-6E4B-4C51-9497-CFEDF617B911}">
    <text>TRANSFERENCIA</text>
  </threadedComment>
  <threadedComment ref="H207" dT="2025-01-29T13:40:12.00" personId="{86AA2667-3936-4BBD-A6E6-AB08F2D8D7E6}" id="{4AAF6CED-51C2-44FE-9EC0-70546C4A33A8}">
    <text>TRANSFERENCIA</text>
  </threadedComment>
  <threadedComment ref="H208" dT="2025-01-29T13:40:20.00" personId="{86AA2667-3936-4BBD-A6E6-AB08F2D8D7E6}" id="{EE061F2C-AE17-4566-AA80-3B1DA8BD08AE}">
    <text>TRANSFERENCIA</text>
  </threadedComment>
  <threadedComment ref="H209" dT="2025-01-29T19:36:14.00" personId="{86AA2667-3936-4BBD-A6E6-AB08F2D8D7E6}" id="{0A8ADD0A-BDA5-48D6-9433-4D5F1FA2A923}">
    <text>Transferencia</text>
  </threadedComment>
  <threadedComment ref="H210" dT="2025-01-29T19:36:31.00" personId="{86AA2667-3936-4BBD-A6E6-AB08F2D8D7E6}" id="{626F92AA-7093-4D8E-9012-1CF6283C1585}">
    <text>Transferencia</text>
  </threadedComment>
  <threadedComment ref="H211" dT="2025-01-29T19:36:41.00" personId="{86AA2667-3936-4BBD-A6E6-AB08F2D8D7E6}" id="{FD5FE728-ADB1-444F-BD05-B8A6DE41016A}">
    <text>Transferencia</text>
  </threadedComment>
  <threadedComment ref="H213" dT="2025-01-29T19:35:20.00" personId="{86AA2667-3936-4BBD-A6E6-AB08F2D8D7E6}" id="{380C9F54-E6C3-44C8-83D5-5135EC4A4CD5}">
    <text>Transferencia</text>
  </threadedComment>
  <threadedComment ref="H214" dT="2025-01-29T20:28:42.00" personId="{86AA2667-3936-4BBD-A6E6-AB08F2D8D7E6}" id="{E02CE073-0DDA-47DB-B2CF-B9A5E92E7F1B}">
    <text>Factura</text>
  </threadedComment>
  <threadedComment ref="H215" dT="2025-01-29T20:31:42.00" personId="{86AA2667-3936-4BBD-A6E6-AB08F2D8D7E6}" id="{6DE8E020-7A63-436E-AB23-E3EC32DF2881}">
    <text>TRANSFERENCIA</text>
  </threadedComment>
  <threadedComment ref="H216" dT="2025-01-29T21:30:02.00" personId="{86AA2667-3936-4BBD-A6E6-AB08F2D8D7E6}" id="{20EE5EDD-CEAF-4F74-801D-A4B7F02F86DF}">
    <text>Tarjeta</text>
  </threadedComment>
  <threadedComment ref="H217" dT="2025-01-29T20:37:13.00" personId="{86AA2667-3936-4BBD-A6E6-AB08F2D8D7E6}" id="{C6C76EF1-05CA-4CE1-ADCA-476FE698B5E8}">
    <text>Transferencia</text>
  </threadedComment>
  <threadedComment ref="H220" dT="2025-01-30T16:10:04.00" personId="{86AA2667-3936-4BBD-A6E6-AB08F2D8D7E6}" id="{80FDB154-B0FD-4BAB-98D5-A4B876169243}">
    <text>Transferencia</text>
  </threadedComment>
  <threadedComment ref="H223" dT="2025-01-30T21:32:35.00" personId="{86AA2667-3936-4BBD-A6E6-AB08F2D8D7E6}" id="{D9970585-9851-45D2-9783-EA5026CDDBA9}">
    <text>Transferencia</text>
  </threadedComment>
  <threadedComment ref="H229" dT="2025-01-31T19:03:14.00" personId="{86AA2667-3936-4BBD-A6E6-AB08F2D8D7E6}" id="{17B4600F-CB70-4939-8FEB-CE9555E3228C}">
    <text>Transferencia</text>
  </threadedComment>
  <threadedComment ref="H230" dT="2025-01-31T19:03:24.00" personId="{86AA2667-3936-4BBD-A6E6-AB08F2D8D7E6}" id="{026150DE-D0A4-4630-88C2-5E71D1EE6A5C}">
    <text>Transferencia</text>
  </threadedComment>
  <threadedComment ref="H232" dT="2025-01-31T19:02:17.00" personId="{86AA2667-3936-4BBD-A6E6-AB08F2D8D7E6}" id="{97454399-7748-4ECA-A770-FCD4843743FF}">
    <text>Tarjeta</text>
  </threadedComment>
  <threadedComment ref="H233" dT="2025-01-31T19:02:26.00" personId="{86AA2667-3936-4BBD-A6E6-AB08F2D8D7E6}" id="{C8BDF476-2653-4125-A346-D95C0A70A4FD}">
    <text>Tarjeta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5-02-01T15:12:30.00" personId="{86AA2667-3936-4BBD-A6E6-AB08F2D8D7E6}" id="{86CB2013-690B-4FBA-862D-8F227D9D6021}">
    <text>Transferencia</text>
  </threadedComment>
  <threadedComment ref="H10" dT="2025-02-01T22:56:41.00" personId="{86AA2667-3936-4BBD-A6E6-AB08F2D8D7E6}" id="{5C5F215F-CF91-4254-8E7C-C17FBE0F9A9C}">
    <text>Tarjeta</text>
  </threadedComment>
  <threadedComment ref="H16" dT="2025-02-01T22:25:13.00" personId="{86AA2667-3936-4BBD-A6E6-AB08F2D8D7E6}" id="{C6A9A4CE-0857-46C8-915F-26E0A2DFB5DB}">
    <text>Transferencia</text>
  </threadedComment>
  <threadedComment ref="H17" dT="2025-02-01T22:25:21.00" personId="{86AA2667-3936-4BBD-A6E6-AB08F2D8D7E6}" id="{5D5B0B53-5A46-4EF9-AE44-332F6519C915}">
    <text>Transferencia</text>
  </threadedComment>
  <threadedComment ref="H19" dT="2025-02-03T13:36:26.00" personId="{86AA2667-3936-4BBD-A6E6-AB08F2D8D7E6}" id="{B9EDDAC1-2C9C-4DE5-A46C-80FBAC94A510}">
    <text>Tarjeta</text>
  </threadedComment>
  <threadedComment ref="H31" dT="2025-02-04T16:16:30.00" personId="{86AA2667-3936-4BBD-A6E6-AB08F2D8D7E6}" id="{31892BF1-8F55-4928-88BF-CF3ED87886EA}">
    <text>Tarjeta</text>
  </threadedComment>
  <threadedComment ref="H35" dT="2025-02-04T20:47:21.00" personId="{86AA2667-3936-4BBD-A6E6-AB08F2D8D7E6}" id="{584A323B-224D-4315-8822-04657DEB1CDF}">
    <text>Tarjeta</text>
  </threadedComment>
  <threadedComment ref="H36" dT="2025-02-04T20:47:29.00" personId="{86AA2667-3936-4BBD-A6E6-AB08F2D8D7E6}" id="{7BD723A7-42E0-4256-8AE6-6EDC82E8C1B2}">
    <text>Tarjeta</text>
  </threadedComment>
  <threadedComment ref="H37" dT="2025-02-05T13:41:21.00" personId="{86AA2667-3936-4BBD-A6E6-AB08F2D8D7E6}" id="{7ED32821-CA0F-43F3-A9DD-09E52D5D0916}">
    <text>Transferencia</text>
  </threadedComment>
  <threadedComment ref="H38" dT="2025-02-05T17:18:55.00" personId="{86AA2667-3936-4BBD-A6E6-AB08F2D8D7E6}" id="{0D7E3C9A-B037-426B-B7CF-6885E418D723}">
    <text>Tarjeta</text>
  </threadedComment>
  <threadedComment ref="H39" dT="2025-02-05T17:19:02.00" personId="{86AA2667-3936-4BBD-A6E6-AB08F2D8D7E6}" id="{3A0BA0E1-00EC-4729-AD30-BDD7FD4B0DB2}">
    <text>Tarjeta</text>
  </threadedComment>
  <threadedComment ref="H40" dT="2025-02-05T16:24:04.00" personId="{86AA2667-3936-4BBD-A6E6-AB08F2D8D7E6}" id="{5E98D8A5-7FC1-4CC8-91DD-3040D1533A44}">
    <text>Tarjeta</text>
  </threadedComment>
  <threadedComment ref="H42" dT="2025-02-05T22:00:16.00" personId="{86AA2667-3936-4BBD-A6E6-AB08F2D8D7E6}" id="{7239B0EA-7ACA-422F-8E45-B8E8170B832A}">
    <text>TARJETA</text>
  </threadedComment>
  <threadedComment ref="H43" dT="2025-02-05T21:21:40.00" personId="{86AA2667-3936-4BBD-A6E6-AB08F2D8D7E6}" id="{B6214385-7632-4D87-8993-5016735A858F}">
    <text>Tarjeta</text>
  </threadedComment>
  <threadedComment ref="H50" dT="2025-02-06T18:55:29.00" personId="{86AA2667-3936-4BBD-A6E6-AB08F2D8D7E6}" id="{3A8B7A8A-6AA8-43B9-80DE-0F4A4F566D6E}">
    <text>Tarjeta</text>
  </threadedComment>
  <threadedComment ref="H51" dT="2025-02-06T22:01:55.00" personId="{86AA2667-3936-4BBD-A6E6-AB08F2D8D7E6}" id="{1885913E-7D83-42C2-A26E-317308D030AC}">
    <text>Tarjeta</text>
  </threadedComment>
  <threadedComment ref="H52" dT="2025-02-06T16:25:19.00" personId="{86AA2667-3936-4BBD-A6E6-AB08F2D8D7E6}" id="{FB3F2F0B-AF28-4FB6-A882-51E54A761136}">
    <text>Tarjeta</text>
  </threadedComment>
  <threadedComment ref="H54" dT="2025-02-07T16:26:12.00" personId="{86AA2667-3936-4BBD-A6E6-AB08F2D8D7E6}" id="{B12A7C33-34B7-4267-A3A4-011C9DA64F21}">
    <text>Tarjeta</text>
  </threadedComment>
  <threadedComment ref="H56" dT="2025-02-07T14:04:58.00" personId="{86AA2667-3936-4BBD-A6E6-AB08F2D8D7E6}" id="{D80B97EC-BD0F-4222-B72F-0E03583D6F01}">
    <text>Tarjeta</text>
  </threadedComment>
  <threadedComment ref="H59" dT="2025-02-07T16:51:54.00" personId="{86AA2667-3936-4BBD-A6E6-AB08F2D8D7E6}" id="{7AC87ADB-9A32-4F83-9306-7B966732504A}">
    <text>Tarjeta</text>
  </threadedComment>
  <threadedComment ref="H64" dT="2025-02-07T22:46:12.00" personId="{86AA2667-3936-4BBD-A6E6-AB08F2D8D7E6}" id="{1DB7546B-8C9A-44E6-A618-5CAE026744D6}">
    <text>Transferencia</text>
  </threadedComment>
  <threadedComment ref="H65" dT="2025-02-07T22:43:52.00" personId="{86AA2667-3936-4BBD-A6E6-AB08F2D8D7E6}" id="{A2FDDF7B-2350-4AB5-8AAF-B0843F38684C}">
    <text>Transferencia</text>
  </threadedComment>
  <threadedComment ref="H68" dT="2025-02-08T16:39:59.00" personId="{86AA2667-3936-4BBD-A6E6-AB08F2D8D7E6}" id="{3682DA4E-AB57-4E80-8678-275C394E693A}">
    <text>TARJETA</text>
  </threadedComment>
  <threadedComment ref="H70" dT="2025-02-08T13:31:09.00" personId="{86AA2667-3936-4BBD-A6E6-AB08F2D8D7E6}" id="{08BC8829-46E1-404C-A796-E53D8899F852}">
    <text>TARJETA</text>
  </threadedComment>
  <threadedComment ref="H71" dT="2025-02-08T13:31:14.00" personId="{86AA2667-3936-4BBD-A6E6-AB08F2D8D7E6}" id="{CB775045-0622-4CBE-BDE5-50C5A37A8BBE}">
    <text>TARJETA</text>
  </threadedComment>
  <threadedComment ref="H72" dT="2025-02-08T15:51:31.00" personId="{86AA2667-3936-4BBD-A6E6-AB08F2D8D7E6}" id="{4429A569-AF1B-4B0A-83BC-5E8CDE137616}">
    <text>Transferencia</text>
  </threadedComment>
  <threadedComment ref="H76" dT="2025-02-08T20:49:54.00" personId="{86AA2667-3936-4BBD-A6E6-AB08F2D8D7E6}" id="{FF017CC4-AFAC-454E-A5F0-0435919A7DEF}">
    <text>TARJETA</text>
  </threadedComment>
  <threadedComment ref="H77" dT="2025-02-08T21:32:42.00" personId="{86AA2667-3936-4BBD-A6E6-AB08F2D8D7E6}" id="{705D59B4-DC09-4491-A2E2-911B8D6FCACA}">
    <text>TARJETA</text>
  </threadedComment>
  <threadedComment ref="H78" dT="2025-02-08T21:32:49.00" personId="{86AA2667-3936-4BBD-A6E6-AB08F2D8D7E6}" id="{71EBC115-64B9-469D-A03E-180AB8F0013B}">
    <text>TARJETA</text>
  </threadedComment>
  <threadedComment ref="H79" dT="2025-02-08T21:32:55.00" personId="{86AA2667-3936-4BBD-A6E6-AB08F2D8D7E6}" id="{992E5F8D-DA2E-4406-84B7-35EC2F7C4E97}">
    <text>TARJETA</text>
  </threadedComment>
  <threadedComment ref="H80" dT="2025-02-10T15:37:26.00" personId="{86AA2667-3936-4BBD-A6E6-AB08F2D8D7E6}" id="{0A69FAC7-F73C-4DF9-83EA-920FBACC4F94}">
    <text>Tarjeta</text>
  </threadedComment>
  <threadedComment ref="H81" dT="2025-02-08T20:06:37.00" personId="{86AA2667-3936-4BBD-A6E6-AB08F2D8D7E6}" id="{20D93164-D88E-4E3F-9A50-4A74609AA313}">
    <text>TRANSFERENCIA</text>
  </threadedComment>
  <threadedComment ref="H82" dT="2025-02-08T22:26:42.00" personId="{86AA2667-3936-4BBD-A6E6-AB08F2D8D7E6}" id="{F3BAC027-C052-4BDA-9BCB-54BDBBB2E2D5}">
    <text>Transferencia</text>
  </threadedComment>
  <threadedComment ref="H91" dT="2025-02-10T19:10:13.00" personId="{86AA2667-3936-4BBD-A6E6-AB08F2D8D7E6}" id="{99AAD722-E2FF-471F-BC44-45CABF4E34C7}">
    <text>Tarjeta</text>
  </threadedComment>
  <threadedComment ref="H92" dT="2025-02-10T20:38:32.00" personId="{86AA2667-3936-4BBD-A6E6-AB08F2D8D7E6}" id="{542A6BFB-5986-4125-BB30-AB8A26F79A3C}">
    <text>Tarjeta</text>
  </threadedComment>
  <threadedComment ref="H93" dT="2025-02-10T20:38:41.00" personId="{86AA2667-3936-4BBD-A6E6-AB08F2D8D7E6}" id="{9D14DD07-FA23-4D71-BBBB-440CD21FC460}">
    <text>Tarjeta</text>
  </threadedComment>
  <threadedComment ref="H94" dT="2025-02-10T20:50:03.00" personId="{86AA2667-3936-4BBD-A6E6-AB08F2D8D7E6}" id="{4DE6FE3B-62D4-4301-B796-216640A688B5}">
    <text>Transferencia</text>
  </threadedComment>
  <threadedComment ref="H96" dT="2025-02-11T16:23:49.00" personId="{86AA2667-3936-4BBD-A6E6-AB08F2D8D7E6}" id="{03C7E9F1-783F-48E7-A7D5-F32615A9467D}">
    <text>Transferencia</text>
  </threadedComment>
  <threadedComment ref="H102" dT="2025-02-12T13:10:32.00" personId="{86AA2667-3936-4BBD-A6E6-AB08F2D8D7E6}" id="{C6793E05-7DFF-49E4-97CC-515F4F162183}">
    <text>Transferencia</text>
  </threadedComment>
  <threadedComment ref="H103" dT="2025-02-12T13:10:22.00" personId="{86AA2667-3936-4BBD-A6E6-AB08F2D8D7E6}" id="{93607487-B335-4744-B3B6-17CBF706399F}">
    <text>Tarjeta</text>
  </threadedComment>
  <threadedComment ref="H104" dT="2025-02-12T13:10:48.00" personId="{86AA2667-3936-4BBD-A6E6-AB08F2D8D7E6}" id="{2DB097BD-1238-4532-BF6B-A53038328556}">
    <text>Tarjeta</text>
  </threadedComment>
  <threadedComment ref="H105" dT="2025-02-12T16:11:53.00" personId="{86AA2667-3936-4BBD-A6E6-AB08F2D8D7E6}" id="{4A5C096A-F3DE-404C-B301-B5761D695A04}">
    <text>Transferencia</text>
  </threadedComment>
  <threadedComment ref="H110" dT="2025-02-12T20:56:46.00" personId="{86AA2667-3936-4BBD-A6E6-AB08F2D8D7E6}" id="{0E63C540-1BED-4A75-A0AB-C810031E95D8}">
    <text>Tarjeta</text>
  </threadedComment>
  <threadedComment ref="H111" dT="2025-02-12T20:57:18.00" personId="{86AA2667-3936-4BBD-A6E6-AB08F2D8D7E6}" id="{EEF6AE1B-11D6-45C5-894A-4C151068E5EB}">
    <text>Tarjeta</text>
  </threadedComment>
  <threadedComment ref="H114" dT="2025-02-13T21:20:25.00" personId="{86AA2667-3936-4BBD-A6E6-AB08F2D8D7E6}" id="{37F166E8-4FB4-4E8C-BB2C-CDB3A243DD42}">
    <text>Tarjeta</text>
  </threadedComment>
  <threadedComment ref="H118" dT="2025-02-14T13:55:00.00" personId="{86AA2667-3936-4BBD-A6E6-AB08F2D8D7E6}" id="{BFFD88F5-DC1A-45B5-8CCD-3F08892980DD}">
    <text>TRANSFERENCIA</text>
  </threadedComment>
  <threadedComment ref="H120" dT="2025-02-14T17:13:32.00" personId="{86AA2667-3936-4BBD-A6E6-AB08F2D8D7E6}" id="{62D5ACD6-EA3D-4DF5-82F3-C3EECBB36A35}">
    <text>Tarjeta</text>
  </threadedComment>
  <threadedComment ref="H122" dT="2025-02-14T19:16:21.00" personId="{86AA2667-3936-4BBD-A6E6-AB08F2D8D7E6}" id="{10A03E5C-7A3E-4499-829E-B745BBF7D2F0}">
    <text>Tarjeta</text>
  </threadedComment>
  <threadedComment ref="H128" dT="2025-02-15T16:56:30.00" personId="{86AA2667-3936-4BBD-A6E6-AB08F2D8D7E6}" id="{359C431A-BF64-4081-971C-ED2FE542A847}">
    <text>Tarjeta</text>
  </threadedComment>
  <threadedComment ref="H129" dT="2025-02-15T16:56:41.00" personId="{86AA2667-3936-4BBD-A6E6-AB08F2D8D7E6}" id="{C927E242-B8B5-4D69-B0B9-250FA437AFEB}">
    <text>Tarjeta</text>
  </threadedComment>
  <threadedComment ref="H131" dT="2025-02-15T21:10:48.00" personId="{86AA2667-3936-4BBD-A6E6-AB08F2D8D7E6}" id="{E8ED9B21-CAFD-443E-A813-1D87C91C2E12}">
    <text>Tarjeta</text>
  </threadedComment>
  <threadedComment ref="H133" dT="2025-02-15T21:17:06.00" personId="{86AA2667-3936-4BBD-A6E6-AB08F2D8D7E6}" id="{36AD478C-BC4D-49C2-B71A-9D207A84B112}">
    <text>Tarjeta</text>
  </threadedComment>
  <threadedComment ref="H138" dT="2025-02-17T19:12:30.00" personId="{86AA2667-3936-4BBD-A6E6-AB08F2D8D7E6}" id="{383E73A6-EB0A-4AF7-89A4-E84E846CBA18}">
    <text>TARJETA</text>
  </threadedComment>
  <threadedComment ref="H139" dT="2025-02-17T21:55:27.00" personId="{86AA2667-3936-4BBD-A6E6-AB08F2D8D7E6}" id="{426A417F-C0F5-4D27-A644-0E7B1A8CFDDB}">
    <text>TRANSFERENCIA</text>
  </threadedComment>
  <threadedComment ref="H141" dT="2025-02-17T15:46:27.00" personId="{86AA2667-3936-4BBD-A6E6-AB08F2D8D7E6}" id="{E5C30A79-5260-4165-BE4F-AD7D31EE85DD}">
    <text>TARJETA</text>
  </threadedComment>
  <threadedComment ref="H142" dT="2025-02-18T13:15:57.00" personId="{86AA2667-3936-4BBD-A6E6-AB08F2D8D7E6}" id="{5BC394DF-4F04-4696-864A-315DA17215F9}">
    <text>TRANSFERENCIA</text>
  </threadedComment>
  <threadedComment ref="H143" dT="2025-02-18T13:17:02.00" personId="{86AA2667-3936-4BBD-A6E6-AB08F2D8D7E6}" id="{5E89AC90-1CC8-41F0-9D2A-B18E84D43EBA}">
    <text>TRANSFERENCIA</text>
  </threadedComment>
  <threadedComment ref="H144" dT="2025-02-18T13:21:49.00" personId="{86AA2667-3936-4BBD-A6E6-AB08F2D8D7E6}" id="{9D1AC7A3-D636-49FE-B394-D8ABBE650D64}">
    <text>TRANSFERENCIA</text>
  </threadedComment>
  <threadedComment ref="H146" dT="2025-02-18T22:22:37.00" personId="{86AA2667-3936-4BBD-A6E6-AB08F2D8D7E6}" id="{EF21EFFF-4DA0-4E1F-913A-D6164A388CBC}">
    <text>TRANSFERENCIA</text>
  </threadedComment>
  <threadedComment ref="H148" dT="2025-02-18T22:22:22.00" personId="{86AA2667-3936-4BBD-A6E6-AB08F2D8D7E6}" id="{01C7C42F-591E-4EBB-8F56-A14748F74BA6}">
    <text>TARJETA</text>
  </threadedComment>
  <threadedComment ref="H149" dT="2025-02-19T16:59:51.00" personId="{86AA2667-3936-4BBD-A6E6-AB08F2D8D7E6}" id="{5428146D-670B-4AA3-BAD4-37A7A45302DB}">
    <text>TRANSFERENCIA</text>
  </threadedComment>
  <threadedComment ref="H150" dT="2025-02-19T19:52:26.00" personId="{86AA2667-3936-4BBD-A6E6-AB08F2D8D7E6}" id="{D9714571-699A-46FD-9CE3-99372ABBA6D3}">
    <text>TRANSFERENCIA</text>
  </threadedComment>
  <threadedComment ref="H151" dT="2025-02-19T19:52:19.00" personId="{86AA2667-3936-4BBD-A6E6-AB08F2D8D7E6}" id="{0D182453-C924-4CFA-B193-F80D90FA6B1F}">
    <text>TRANSFERENCIA</text>
  </threadedComment>
  <threadedComment ref="H156" dT="2025-02-20T16:38:00.00" personId="{86AA2667-3936-4BBD-A6E6-AB08F2D8D7E6}" id="{65064E75-17E6-4DB5-AB7E-021F071E2995}">
    <text>TRANSFERENCIA</text>
  </threadedComment>
  <threadedComment ref="H157" dT="2025-02-20T15:54:12.00" personId="{86AA2667-3936-4BBD-A6E6-AB08F2D8D7E6}" id="{9B6B3DE1-0C96-4E13-A2DA-C7D008438972}">
    <text>TRANSFERENCIA</text>
  </threadedComment>
  <threadedComment ref="H158" dT="2025-02-20T22:15:50.00" personId="{86AA2667-3936-4BBD-A6E6-AB08F2D8D7E6}" id="{479AD462-BB64-499A-8AA3-C806ECC72C4C}">
    <text>Transferencia</text>
  </threadedComment>
  <threadedComment ref="H159" dT="2025-02-20T22:16:00.00" personId="{86AA2667-3936-4BBD-A6E6-AB08F2D8D7E6}" id="{897CE154-B9CC-46C3-B40D-ED86256BBBFE}">
    <text>Transferencia</text>
  </threadedComment>
  <threadedComment ref="H160" dT="2025-02-20T21:55:11.00" personId="{86AA2667-3936-4BBD-A6E6-AB08F2D8D7E6}" id="{253501A2-C2D1-4F0E-A3CD-094C94A89667}">
    <text>tarjeta</text>
  </threadedComment>
  <threadedComment ref="H166" dT="2025-02-21T14:30:03.00" personId="{86AA2667-3936-4BBD-A6E6-AB08F2D8D7E6}" id="{9C7B03C4-B699-4E76-B52B-F6ACE4203E7B}">
    <text>TRANSFERENCIA</text>
  </threadedComment>
  <threadedComment ref="H167" dT="2025-02-21T16:48:56.00" personId="{86AA2667-3936-4BBD-A6E6-AB08F2D8D7E6}" id="{9218E400-0249-4D5C-A95A-6B8C8C026B8E}">
    <text>Transferencia</text>
  </threadedComment>
  <threadedComment ref="H168" dT="2025-02-21T18:58:56.00" personId="{86AA2667-3936-4BBD-A6E6-AB08F2D8D7E6}" id="{89EB5CFB-24FD-4748-8A5F-8BC16C01C25F}">
    <text>70.000 Transferencia
20.000 Efectivo</text>
  </threadedComment>
  <threadedComment ref="H169" dT="2025-02-21T22:46:35.00" personId="{86AA2667-3936-4BBD-A6E6-AB08F2D8D7E6}" id="{674E874E-3543-40AD-B4D8-20F1C19AA322}">
    <text>tarjeta</text>
  </threadedComment>
  <threadedComment ref="H174" dT="2025-02-24T13:07:20.00" personId="{86AA2667-3936-4BBD-A6E6-AB08F2D8D7E6}" id="{03445DD7-2D57-4625-A4FE-6E0DEF0FE3C1}">
    <text>TRANSFERENCIA</text>
  </threadedComment>
  <threadedComment ref="H175" dT="2025-02-22T16:59:38.00" personId="{86AA2667-3936-4BBD-A6E6-AB08F2D8D7E6}" id="{B4D5C07C-B796-45E7-A68D-A80A9B7F9A55}">
    <text>TRANSFERENCIA</text>
  </threadedComment>
  <threadedComment ref="H179" dT="2025-02-22T21:55:03.00" personId="{86AA2667-3936-4BBD-A6E6-AB08F2D8D7E6}" id="{6CDA4172-9FA4-4B09-BEA3-85426E44DC69}">
    <text>TARJETA</text>
  </threadedComment>
  <threadedComment ref="H180" dT="2025-02-22T21:55:08.00" personId="{86AA2667-3936-4BBD-A6E6-AB08F2D8D7E6}" id="{3D190D5E-BAC2-4913-9BD5-3F877D0D39FA}">
    <text>TARJETA</text>
  </threadedComment>
  <threadedComment ref="H181" dT="2025-02-22T21:55:14.00" personId="{86AA2667-3936-4BBD-A6E6-AB08F2D8D7E6}" id="{98088EE8-176C-441D-8E10-D1F090B19C04}">
    <text>TARJETA</text>
  </threadedComment>
  <threadedComment ref="H182" dT="2025-02-22T21:55:21.00" personId="{86AA2667-3936-4BBD-A6E6-AB08F2D8D7E6}" id="{ACC3FDE4-ED00-4630-B7C5-5A539DFFDB8F}">
    <text>TARJETA</text>
  </threadedComment>
  <threadedComment ref="H187" dT="2025-02-24T14:25:33.00" personId="{86AA2667-3936-4BBD-A6E6-AB08F2D8D7E6}" id="{F07EDFB1-7874-4A70-B22F-891491F2987A}">
    <text>tarjeta</text>
  </threadedComment>
  <threadedComment ref="H191" dT="2025-02-24T21:02:24.00" personId="{86AA2667-3936-4BBD-A6E6-AB08F2D8D7E6}" id="{EAECF223-B401-4BD9-A06F-930F019D823C}">
    <text>TARJETA</text>
  </threadedComment>
  <threadedComment ref="H193" dT="2025-02-25T13:12:11.00" personId="{86AA2667-3936-4BBD-A6E6-AB08F2D8D7E6}" id="{814C1A49-C5A4-4530-8339-7C8E9C701FD4}">
    <text>factura</text>
  </threadedComment>
  <threadedComment ref="H194" dT="2025-02-25T13:12:17.00" personId="{86AA2667-3936-4BBD-A6E6-AB08F2D8D7E6}" id="{D0D292DC-9306-4EB1-9C85-BF1F415FF512}">
    <text>factra</text>
  </threadedComment>
  <threadedComment ref="H197" dT="2025-02-25T16:48:15.00" personId="{86AA2667-3936-4BBD-A6E6-AB08F2D8D7E6}" id="{C2488D45-316F-4AFE-9641-3CC840323748}">
    <text>TARJETA</text>
  </threadedComment>
  <threadedComment ref="H198" dT="2025-02-25T16:48:21.00" personId="{86AA2667-3936-4BBD-A6E6-AB08F2D8D7E6}" id="{B1D2450D-54BD-4470-ABA7-22FFBCC39E7A}">
    <text>TARJETA</text>
  </threadedComment>
  <threadedComment ref="H203" dT="2025-02-26T19:04:42.00" personId="{86AA2667-3936-4BBD-A6E6-AB08F2D8D7E6}" id="{A0248867-EFA9-4A03-884E-16D8F224CD28}">
    <text>FACTURA - TRANSFERENCIA</text>
  </threadedComment>
  <threadedComment ref="H204" dT="2025-02-26T19:05:42.00" personId="{86AA2667-3936-4BBD-A6E6-AB08F2D8D7E6}" id="{DEDC7892-EA3B-40AA-931A-04E8C4937997}">
    <text>TRANSFRECIA</text>
  </threadedComment>
  <threadedComment ref="H210" dT="2025-02-26T22:23:30.00" personId="{86AA2667-3936-4BBD-A6E6-AB08F2D8D7E6}" id="{35C935E4-09A7-4B12-B25E-DDA5FA28968E}">
    <text>transferencia</text>
  </threadedComment>
  <threadedComment ref="H211" dT="2025-02-27T13:20:49.00" personId="{86AA2667-3936-4BBD-A6E6-AB08F2D8D7E6}" id="{6FC2A740-D909-4362-8D00-00C93E25E033}">
    <text>TRANSFERENCIA</text>
  </threadedComment>
  <threadedComment ref="H212" dT="2025-02-27T13:21:14.00" personId="{86AA2667-3936-4BBD-A6E6-AB08F2D8D7E6}" id="{D38525FA-154D-47C1-9256-C2464E3D0ADF}">
    <text>TRANSFERENCIA</text>
  </threadedComment>
  <threadedComment ref="H213" dT="2025-02-27T13:21:33.00" personId="{86AA2667-3936-4BBD-A6E6-AB08F2D8D7E6}" id="{426ACAD9-88DF-47FE-9BD4-92E742AD0852}">
    <text>TRANSFERENCIA</text>
  </threadedComment>
  <threadedComment ref="H218" dT="2025-02-27T20:02:02.00" personId="{86AA2667-3936-4BBD-A6E6-AB08F2D8D7E6}" id="{15BBB87D-CA14-4516-8F4B-D1EBC28F45C3}">
    <text>TRANSFERENCIA</text>
  </threadedComment>
  <threadedComment ref="H222" dT="2025-02-28T19:42:38.00" personId="{86AA2667-3936-4BBD-A6E6-AB08F2D8D7E6}" id="{4C99AF32-55A4-43DE-B133-03330CB14043}">
    <text>TRANSFERENCIA</text>
  </threadedComment>
  <threadedComment ref="H224" dT="2025-02-28T21:57:52.00" personId="{86AA2667-3936-4BBD-A6E6-AB08F2D8D7E6}" id="{6F2B3DAD-5AD7-4D68-B1F8-4D49F11D3946}">
    <text>transferencia</text>
  </threadedComment>
  <threadedComment ref="H225" dT="2025-02-28T19:44:29.00" personId="{86AA2667-3936-4BBD-A6E6-AB08F2D8D7E6}" id="{437EDE84-997E-4283-A27B-C8C7E20DFD85}">
    <text>TARJETA</text>
  </threadedComment>
  <threadedComment ref="H226" dT="2025-02-28T19:45:03.00" personId="{86AA2667-3936-4BBD-A6E6-AB08F2D8D7E6}" id="{396327DE-0CF5-47D0-814B-7775622E13D0}">
    <text>TARJETA</text>
  </threadedComment>
  <threadedComment ref="H227" dT="2025-02-28T21:37:29.00" personId="{86AA2667-3936-4BBD-A6E6-AB08F2D8D7E6}" id="{9EAD9226-727A-4BA6-83FA-713AA093D521}">
    <text>TRANSFERENCIA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4" dT="2025-03-01T16:12:22.00" personId="{86AA2667-3936-4BBD-A6E6-AB08F2D8D7E6}" id="{15049DB1-48A0-4BED-860D-7DF31B2EAF76}">
    <text>transferencia</text>
  </threadedComment>
  <threadedComment ref="H7" dT="2025-03-01T16:48:38.00" personId="{86AA2667-3936-4BBD-A6E6-AB08F2D8D7E6}" id="{8E3C7541-37FC-413A-897F-9B42E2E55F96}">
    <text>transferencia + FACTURA</text>
  </threadedComment>
  <threadedComment ref="H9" dT="2025-03-01T21:44:08.00" personId="{86AA2667-3936-4BBD-A6E6-AB08F2D8D7E6}" id="{D1E74B89-5332-4B03-B0D5-767BAB0A3E17}">
    <text>transferencia+tarjeta</text>
  </threadedComment>
  <threadedComment ref="H12" dT="2025-03-01T20:49:01.00" personId="{86AA2667-3936-4BBD-A6E6-AB08F2D8D7E6}" id="{510B4FEE-BF95-48C3-87E7-FE60F37A7B3E}">
    <text>transferencia</text>
  </threadedComment>
  <threadedComment ref="H16" dT="2025-03-01T20:59:05.00" personId="{86AA2667-3936-4BBD-A6E6-AB08F2D8D7E6}" id="{5ACBEEEA-DE0B-4694-B072-B1E480A9F737}">
    <text>transferencia</text>
  </threadedComment>
  <threadedComment ref="H19" dT="2025-03-03T20:03:40.00" personId="{86AA2667-3936-4BBD-A6E6-AB08F2D8D7E6}" id="{29087860-BA00-4EEB-AC0E-C521FBCCD0B9}">
    <text>TRANSFERENCIA</text>
  </threadedComment>
  <threadedComment ref="H20" dT="2025-03-03T20:05:00.00" personId="{86AA2667-3936-4BBD-A6E6-AB08F2D8D7E6}" id="{408658E8-704B-4533-A2CB-27029D054B5E}">
    <text>TARJETA</text>
  </threadedComment>
  <threadedComment ref="H22" dT="2025-03-03T20:06:40.00" personId="{86AA2667-3936-4BBD-A6E6-AB08F2D8D7E6}" id="{DB199A73-7946-4DE8-8BE5-E7B2E541230A}">
    <text>TARJETA</text>
  </threadedComment>
  <threadedComment ref="H23" dT="2025-03-03T21:20:22.00" personId="{86AA2667-3936-4BBD-A6E6-AB08F2D8D7E6}" id="{2AA41D28-274F-4098-BED6-6E8FA2DBA50A}">
    <text>tarjeta</text>
  </threadedComment>
  <threadedComment ref="H24" dT="2025-03-03T20:58:56.00" personId="{86AA2667-3936-4BBD-A6E6-AB08F2D8D7E6}" id="{CFB6FED5-46EE-4031-B788-47928CB7A546}">
    <text>TRANSFERENCIA</text>
  </threadedComment>
  <threadedComment ref="H25" dT="2025-03-03T20:58:25.00" personId="{86AA2667-3936-4BBD-A6E6-AB08F2D8D7E6}" id="{333F72D9-8644-427A-B6BA-6630A6D8C192}">
    <text>TRANSFERENCIA</text>
  </threadedComment>
  <threadedComment ref="H26" dT="2025-03-03T20:58:31.00" personId="{86AA2667-3936-4BBD-A6E6-AB08F2D8D7E6}" id="{9320AA4E-F8F1-49F6-A424-A1F9D5966799}">
    <text>TRANSFERENCIA</text>
  </threadedComment>
  <threadedComment ref="H27" dT="2025-03-04T13:35:32.00" personId="{86AA2667-3936-4BBD-A6E6-AB08F2D8D7E6}" id="{B3D59CC8-52BB-4874-9783-EE601967B328}">
    <text>transferencia</text>
  </threadedComment>
  <threadedComment ref="H28" dT="2025-03-04T19:23:55.00" personId="{86AA2667-3936-4BBD-A6E6-AB08F2D8D7E6}" id="{302D42CB-376E-4E0D-8B79-36339E9D840C}">
    <text>TRANSFERENCIA</text>
  </threadedComment>
  <threadedComment ref="H29" dT="2025-03-04T21:51:04.00" personId="{86AA2667-3936-4BBD-A6E6-AB08F2D8D7E6}" id="{510CF129-748D-4ADE-9B24-5971E4D16791}">
    <text>Tarjeta</text>
  </threadedComment>
  <threadedComment ref="H30" dT="2025-03-04T20:32:42.00" personId="{86AA2667-3936-4BBD-A6E6-AB08F2D8D7E6}" id="{E81FE49B-6E58-4744-88BE-72D8117E7EA4}">
    <text>transfrencia</text>
  </threadedComment>
  <threadedComment ref="H31" dT="2025-03-04T20:32:36.00" personId="{86AA2667-3936-4BBD-A6E6-AB08F2D8D7E6}" id="{16F5191C-4A58-41CC-935D-A92F826A70A4}">
    <text>transferencia</text>
  </threadedComment>
  <threadedComment ref="H32" dT="2025-03-04T22:20:15.00" personId="{86AA2667-3936-4BBD-A6E6-AB08F2D8D7E6}" id="{6738736D-D398-4655-B19D-5E5BDB54655A}">
    <text>tarjeta</text>
  </threadedComment>
  <threadedComment ref="H36" dT="2025-03-05T19:00:38.00" personId="{86AA2667-3936-4BBD-A6E6-AB08F2D8D7E6}" id="{2B7C88F5-DC8B-41E9-B225-F46E7143399F}">
    <text>TARJETA</text>
  </threadedComment>
  <threadedComment ref="H37" dT="2025-03-05T19:08:13.00" personId="{86AA2667-3936-4BBD-A6E6-AB08F2D8D7E6}" id="{BD311A35-B1C4-4CE4-B481-069D96DCD7E3}">
    <text>transferencia</text>
  </threadedComment>
  <threadedComment ref="H38" dT="2025-03-05T18:59:14.00" personId="{86AA2667-3936-4BBD-A6E6-AB08F2D8D7E6}" id="{E3BD5E44-D22E-41AB-8EE6-541985D7F637}">
    <text>TRANSFERENCIA</text>
  </threadedComment>
  <threadedComment ref="H45" dT="2025-03-05T22:30:42.00" personId="{86AA2667-3936-4BBD-A6E6-AB08F2D8D7E6}" id="{9EBC2475-9CC2-412F-847C-152187A42387}">
    <text>transferencia</text>
  </threadedComment>
  <threadedComment ref="H47" dT="2025-03-05T22:46:00.00" personId="{86AA2667-3936-4BBD-A6E6-AB08F2D8D7E6}" id="{F391AC51-0A78-40D8-8868-C75010E60B5B}">
    <text>tarjeta</text>
  </threadedComment>
  <threadedComment ref="H53" dT="2025-03-07T13:53:52.00" personId="{86AA2667-3936-4BBD-A6E6-AB08F2D8D7E6}" id="{F8B5543B-E9BF-49A2-BCAF-4110A4E7E954}">
    <text>tarjeta</text>
  </threadedComment>
  <threadedComment ref="H55" dT="2025-03-07T13:54:01.00" personId="{86AA2667-3936-4BBD-A6E6-AB08F2D8D7E6}" id="{A38753E0-DA53-4B98-8EC3-4CE53F7CF27D}">
    <text>transferencia</text>
  </threadedComment>
  <threadedComment ref="H59" dT="2025-03-07T16:56:52.00" personId="{86AA2667-3936-4BBD-A6E6-AB08F2D8D7E6}" id="{8B1E89A5-7945-44DB-9320-3F69D1BBDC05}">
    <text>Tarjeta</text>
  </threadedComment>
  <threadedComment ref="H62" dT="2025-03-07T21:04:38.00" personId="{86AA2667-3936-4BBD-A6E6-AB08F2D8D7E6}" id="{38D27597-BE6A-4EEE-840D-6082497815B1}">
    <text>Tarjeta</text>
  </threadedComment>
  <threadedComment ref="H63" dT="2025-03-07T22:25:00.00" personId="{86AA2667-3936-4BBD-A6E6-AB08F2D8D7E6}" id="{0637BBF2-F197-42BE-8B4B-DA05088C3D9B}">
    <text>Tarjeta</text>
  </threadedComment>
  <threadedComment ref="H68" dT="2025-03-08T15:37:49.00" personId="{86AA2667-3936-4BBD-A6E6-AB08F2D8D7E6}" id="{5E92EC32-4575-4DEF-86EA-34F87CE47C53}">
    <text>Tarjeta</text>
  </threadedComment>
  <threadedComment ref="H69" dT="2025-03-08T15:37:54.00" personId="{86AA2667-3936-4BBD-A6E6-AB08F2D8D7E6}" id="{A65E0435-EB4B-4CCF-962A-8A7A8213370A}">
    <text>Tarjeta</text>
  </threadedComment>
  <threadedComment ref="H71" dT="2025-03-10T14:01:09.00" personId="{86AA2667-3936-4BBD-A6E6-AB08F2D8D7E6}" id="{89E551B0-B5D1-4256-80BD-484B98AD065F}">
    <text>Transferencia</text>
  </threadedComment>
  <threadedComment ref="H72" dT="2025-03-08T19:22:03.00" personId="{86AA2667-3936-4BBD-A6E6-AB08F2D8D7E6}" id="{9395F6FB-652E-49FB-A95B-80ACAF886379}">
    <text>tarjeta</text>
  </threadedComment>
  <threadedComment ref="H76" dT="2025-03-08T21:46:26.00" personId="{86AA2667-3936-4BBD-A6E6-AB08F2D8D7E6}" id="{E3E3DF96-456D-4859-99A6-C9F15C0A4E0B}">
    <text>Tarjeta</text>
  </threadedComment>
  <threadedComment ref="H79" dT="2025-03-08T22:39:00.00" personId="{86AA2667-3936-4BBD-A6E6-AB08F2D8D7E6}" id="{0AE5202E-A551-4E7B-8665-4D5799512FA4}">
    <text>Tarjeta</text>
  </threadedComment>
  <threadedComment ref="H81" dT="2025-03-08T21:13:01.00" personId="{86AA2667-3936-4BBD-A6E6-AB08F2D8D7E6}" id="{3C047D7C-1A16-423E-827A-FF5C1D786C12}">
    <text>Transferencia</text>
  </threadedComment>
  <threadedComment ref="H82" dT="2025-03-10T16:19:16.00" personId="{86AA2667-3936-4BBD-A6E6-AB08F2D8D7E6}" id="{43DA7675-D0A7-4449-B473-2DAE458F7343}">
    <text>transferencia</text>
  </threadedComment>
  <threadedComment ref="H83" dT="2025-03-10T16:19:38.00" personId="{86AA2667-3936-4BBD-A6E6-AB08F2D8D7E6}" id="{D1E92FE7-A153-437B-A582-55762C0ED094}">
    <text>transferencia</text>
  </threadedComment>
  <threadedComment ref="H84" dT="2025-03-10T16:19:43.00" personId="{86AA2667-3936-4BBD-A6E6-AB08F2D8D7E6}" id="{CF6FF999-F37F-43DF-847A-DB92BECAD45B}">
    <text>transferencia</text>
  </threadedComment>
  <threadedComment ref="H93" dT="2025-03-11T14:07:01.00" personId="{86AA2667-3936-4BBD-A6E6-AB08F2D8D7E6}" id="{EDA5BD21-D04D-410D-9A25-0F2494710309}">
    <text>Transferencia</text>
  </threadedComment>
  <threadedComment ref="H95" dT="2025-03-11T19:10:47.00" personId="{86AA2667-3936-4BBD-A6E6-AB08F2D8D7E6}" id="{84E5D29C-3348-489C-A94C-FACBA55DF090}">
    <text>tarjeta</text>
  </threadedComment>
  <threadedComment ref="H97" dT="2025-03-11T21:00:25.00" personId="{86AA2667-3936-4BBD-A6E6-AB08F2D8D7E6}" id="{4495BA10-A81C-4AC6-95DE-6E5116DBA48C}">
    <text>tarjeta</text>
  </threadedComment>
  <threadedComment ref="H98" dT="2025-03-11T22:50:10.00" personId="{86AA2667-3936-4BBD-A6E6-AB08F2D8D7E6}" id="{B3F60CBF-DF2F-43C5-890D-591AA3A889B4}">
    <text>tarjeta</text>
  </threadedComment>
  <threadedComment ref="H99" dT="2025-03-12T14:39:14.00" personId="{86AA2667-3936-4BBD-A6E6-AB08F2D8D7E6}" id="{80215BB0-065A-4231-ACC6-3D7F1E98A5C6}">
    <text>TARJETA</text>
  </threadedComment>
  <threadedComment ref="H100" dT="2025-03-12T16:47:11.00" personId="{86AA2667-3936-4BBD-A6E6-AB08F2D8D7E6}" id="{CE1FB1B2-E1DC-4155-94F0-5297A8E2A3F5}">
    <text>transferencia</text>
  </threadedComment>
  <threadedComment ref="H101" dT="2025-03-12T16:47:19.00" personId="{86AA2667-3936-4BBD-A6E6-AB08F2D8D7E6}" id="{BF6024E3-C2BB-42C9-8B45-CD765F9A9A38}">
    <text>transferencia</text>
  </threadedComment>
  <threadedComment ref="H102" dT="2025-03-12T16:34:06.00" personId="{86AA2667-3936-4BBD-A6E6-AB08F2D8D7E6}" id="{144A8BCB-E235-41EE-9365-C6003A5CB334}">
    <text>tarjeta</text>
  </threadedComment>
  <threadedComment ref="H113" dT="2025-03-14T19:54:04.00" personId="{86AA2667-3936-4BBD-A6E6-AB08F2D8D7E6}" id="{CDE3299F-2064-4652-B3C3-A82E5C3B7D4D}">
    <text>tarjeta</text>
  </threadedComment>
  <threadedComment ref="H114" dT="2025-03-14T19:54:12.00" personId="{86AA2667-3936-4BBD-A6E6-AB08F2D8D7E6}" id="{A2239C3F-64DD-4806-B029-F15DED993403}">
    <text>tarjeta</text>
  </threadedComment>
  <threadedComment ref="H115" dT="2025-03-14T19:53:57.00" personId="{86AA2667-3936-4BBD-A6E6-AB08F2D8D7E6}" id="{3304BB41-42DD-4F77-92A5-F16EB6D44AE4}">
    <text>transferencia</text>
  </threadedComment>
  <threadedComment ref="H116" dT="2025-03-14T22:05:27.00" personId="{86AA2667-3936-4BBD-A6E6-AB08F2D8D7E6}" id="{6CDABE49-282A-4341-9E47-D9506BE0D643}">
    <text>tarjeta</text>
  </threadedComment>
  <threadedComment ref="H117" dT="2025-03-14T23:28:57.00" personId="{86AA2667-3936-4BBD-A6E6-AB08F2D8D7E6}" id="{63047F78-076B-4343-9065-C62B2CC2E017}">
    <text>tarjeta</text>
  </threadedComment>
  <threadedComment ref="H118" dT="2025-03-14T21:18:52.00" personId="{86AA2667-3936-4BBD-A6E6-AB08F2D8D7E6}" id="{1706EFA1-55A3-4FD0-B707-97CFE6A72C93}">
    <text>FACTURA</text>
  </threadedComment>
  <threadedComment ref="H126" dT="2025-03-15T21:11:54.00" personId="{86AA2667-3936-4BBD-A6E6-AB08F2D8D7E6}" id="{8BB4A954-E05D-478F-96C8-3A48C2232D37}">
    <text>tarjeta</text>
  </threadedComment>
  <threadedComment ref="H134" dT="2025-03-18T12:50:31.00" personId="{86AA2667-3936-4BBD-A6E6-AB08F2D8D7E6}" id="{D15F7EC8-C8B6-4D70-8A4A-3C508FACE03F}">
    <text>transferencia</text>
  </threadedComment>
  <threadedComment ref="H135" dT="2025-03-17T19:12:55.00" personId="{86AA2667-3936-4BBD-A6E6-AB08F2D8D7E6}" id="{E4EAAE8B-71C0-4097-9DAC-D7579E5E0468}">
    <text>transferencia</text>
  </threadedComment>
  <threadedComment ref="H136" dT="2025-03-17T19:13:02.00" personId="{86AA2667-3936-4BBD-A6E6-AB08F2D8D7E6}" id="{A9D9287E-21A1-4FEA-B397-47A2C83DC443}">
    <text>transferencia</text>
  </threadedComment>
  <threadedComment ref="H138" dT="2025-03-17T22:17:05.00" personId="{86AA2667-3936-4BBD-A6E6-AB08F2D8D7E6}" id="{6D065948-5EB9-48FE-9283-9F375B9C4160}">
    <text>tarjeta</text>
  </threadedComment>
  <threadedComment ref="H140" dT="2025-03-18T16:48:15.00" personId="{86AA2667-3936-4BBD-A6E6-AB08F2D8D7E6}" id="{D4FB76E0-A26A-4C67-ABC3-583383D008B8}">
    <text>Transferencia</text>
  </threadedComment>
  <threadedComment ref="H141" dT="2025-03-18T16:48:34.00" personId="{86AA2667-3936-4BBD-A6E6-AB08F2D8D7E6}" id="{4A4EFA90-22A4-40D6-9E26-68D5F1C93C56}">
    <text>Transferencia</text>
  </threadedComment>
  <threadedComment ref="H142" dT="2025-03-18T16:48:42.00" personId="{86AA2667-3936-4BBD-A6E6-AB08F2D8D7E6}" id="{33584D9E-20A1-4FFD-ACED-CEC448BAA9E9}">
    <text>Transferencia</text>
  </threadedComment>
  <threadedComment ref="H143" dT="2025-03-18T16:48:49.00" personId="{86AA2667-3936-4BBD-A6E6-AB08F2D8D7E6}" id="{05438607-D2A7-43C2-89CD-A21E803A407E}">
    <text>Transferencia</text>
  </threadedComment>
  <threadedComment ref="H144" dT="2025-03-18T12:59:31.00" personId="{86AA2667-3936-4BBD-A6E6-AB08F2D8D7E6}" id="{03F7AACA-BDB8-442C-9679-9C82D4427A09}">
    <text>TRANSFERENCIA</text>
  </threadedComment>
  <threadedComment ref="H152" dT="2025-03-20T13:07:09.00" personId="{86AA2667-3936-4BBD-A6E6-AB08F2D8D7E6}" id="{6406E959-E9CF-46D6-8A63-606BF3FC6C2B}">
    <text>25 transferencia
40 efectivo</text>
  </threadedComment>
  <threadedComment ref="H156" dT="2025-03-19T16:50:22.00" personId="{86AA2667-3936-4BBD-A6E6-AB08F2D8D7E6}" id="{FCFC15B9-E202-4BF5-8916-8E2A0994E44B}">
    <text>transferencia</text>
  </threadedComment>
  <threadedComment ref="H157" dT="2025-03-19T16:59:10.00" personId="{86AA2667-3936-4BBD-A6E6-AB08F2D8D7E6}" id="{25FE3317-549A-4CCA-BC52-282D7C6980D2}">
    <text>transferencia</text>
  </threadedComment>
  <threadedComment ref="H161" dT="2025-03-20T14:50:47.00" personId="{86AA2667-3936-4BBD-A6E6-AB08F2D8D7E6}" id="{71AAB482-44EF-49AD-952D-FDDBA9FCD807}">
    <text>Transferencia</text>
  </threadedComment>
  <threadedComment ref="H162" dT="2025-03-20T14:50:40.00" personId="{86AA2667-3936-4BBD-A6E6-AB08F2D8D7E6}" id="{1440B1D1-5E24-4EC2-9E41-D0E1D3A16CF9}">
    <text>Transferencia</text>
  </threadedComment>
  <threadedComment ref="H168" dT="2025-03-21T13:05:27.00" personId="{86AA2667-3936-4BBD-A6E6-AB08F2D8D7E6}" id="{B25F9DA0-95F1-435E-A958-72353591031A}">
    <text>transferencia</text>
  </threadedComment>
  <threadedComment ref="H175" dT="2025-03-21T16:19:17.00" personId="{86AA2667-3936-4BBD-A6E6-AB08F2D8D7E6}" id="{D79A5B34-ECC9-4159-9A03-9ED609D1D0BA}">
    <text>transferencia</text>
  </threadedComment>
  <threadedComment ref="H178" dT="2025-03-21T13:46:22.00" personId="{86AA2667-3936-4BBD-A6E6-AB08F2D8D7E6}" id="{BC92607B-2E00-4A88-B11C-077E16DB1FC9}">
    <text>tarejta</text>
  </threadedComment>
  <threadedComment ref="H181" dT="2025-03-21T22:09:52.00" personId="{86AA2667-3936-4BBD-A6E6-AB08F2D8D7E6}" id="{1BAD792B-283D-460F-81E4-F4C82983F406}">
    <text>tarjeta</text>
  </threadedComment>
  <threadedComment ref="H187" dT="2025-03-22T19:33:42.00" personId="{86AA2667-3936-4BBD-A6E6-AB08F2D8D7E6}" id="{F3CDD2DA-CE51-48C3-913B-719ACD0216A8}">
    <text>Transferencia</text>
  </threadedComment>
  <threadedComment ref="H189" dT="2025-03-22T17:24:05.00" personId="{86AA2667-3936-4BBD-A6E6-AB08F2D8D7E6}" id="{525E5B9B-945B-4FDA-93C8-4C0666FD83FB}" done="1">
    <text>tarjeta</text>
  </threadedComment>
  <threadedComment ref="H193" dT="2025-03-22T19:08:36.00" personId="{86AA2667-3936-4BBD-A6E6-AB08F2D8D7E6}" id="{8C5FC727-DC52-4799-BC06-81C55BBDDE27}">
    <text>tarjeta</text>
  </threadedComment>
  <threadedComment ref="H194" dT="2025-03-22T21:23:59.00" personId="{86AA2667-3936-4BBD-A6E6-AB08F2D8D7E6}" id="{A5C7C778-925F-40BE-9652-3006505811AE}">
    <text>transferencia</text>
  </threadedComment>
  <threadedComment ref="H195" dT="2025-03-22T22:09:00.00" personId="{86AA2667-3936-4BBD-A6E6-AB08F2D8D7E6}" id="{CF9389B3-10F1-49AB-A89B-5E213D3F326A}">
    <text>60 tarjeta
10 efectivo</text>
  </threadedComment>
  <threadedComment ref="H197" dT="2025-03-22T20:29:56.00" personId="{86AA2667-3936-4BBD-A6E6-AB08F2D8D7E6}" id="{C53EAED0-6AE8-4F8F-86CD-2EAEE0EEDE43}">
    <text>tarjjeta</text>
  </threadedComment>
  <threadedComment ref="H200" dT="2025-03-22T21:01:08.00" personId="{86AA2667-3936-4BBD-A6E6-AB08F2D8D7E6}" id="{8EA2857B-1304-4235-952B-7B13BAFDDDE6}">
    <text>transferencia</text>
  </threadedComment>
  <threadedComment ref="H201" dT="2025-03-22T21:01:01.00" personId="{86AA2667-3936-4BBD-A6E6-AB08F2D8D7E6}" id="{E6A2DC28-4CD1-4625-A387-514C8E23E233}">
    <text>transferencia</text>
  </threadedComment>
  <threadedComment ref="H202" dT="2025-03-22T21:00:55.00" personId="{86AA2667-3936-4BBD-A6E6-AB08F2D8D7E6}" id="{D46316E8-41A3-4274-A592-2524841E1177}">
    <text>transferencia</text>
  </threadedComment>
  <threadedComment ref="H203" dT="2025-03-22T21:00:50.00" personId="{86AA2667-3936-4BBD-A6E6-AB08F2D8D7E6}" id="{380100C5-C61F-4960-8C59-3A8B047DD2DA}">
    <text>transferencia</text>
  </threadedComment>
  <threadedComment ref="H207" dT="2025-03-25T21:39:19.00" personId="{86AA2667-3936-4BBD-A6E6-AB08F2D8D7E6}" id="{A24D42A8-0CC7-479A-B777-1D22C6567A94}">
    <text>TARJETA</text>
  </threadedComment>
  <threadedComment ref="H212" dT="2025-03-26T19:23:21.00" personId="{86AA2667-3936-4BBD-A6E6-AB08F2D8D7E6}" id="{59E86E27-8C1B-469A-9A1C-B8B7C6F18DC1}">
    <text>tarjeta</text>
  </threadedComment>
  <threadedComment ref="H216" dT="2025-03-26T22:28:47.00" personId="{86AA2667-3936-4BBD-A6E6-AB08F2D8D7E6}" id="{ECF8EB18-1E11-4492-93BA-60C4A46D8E0E}">
    <text>tarjeta</text>
  </threadedComment>
  <threadedComment ref="H217" dT="2025-03-27T19:16:27.00" personId="{86AA2667-3936-4BBD-A6E6-AB08F2D8D7E6}" id="{9585DB74-C5F6-46C1-9F2C-EBD95E03F595}">
    <text>transferencia</text>
  </threadedComment>
  <threadedComment ref="H218" dT="2025-03-27T19:16:18.00" personId="{86AA2667-3936-4BBD-A6E6-AB08F2D8D7E6}" id="{391660CC-F8C1-4D88-BAB8-1267257BAF8E}">
    <text>transferencia</text>
  </threadedComment>
  <threadedComment ref="H223" dT="2025-03-27T22:59:13.00" personId="{86AA2667-3936-4BBD-A6E6-AB08F2D8D7E6}" id="{8A57AD11-B3AC-439B-A0A8-22F39D19F212}">
    <text>tarjeta</text>
  </threadedComment>
  <threadedComment ref="H225" dT="2025-03-27T23:03:14.00" personId="{86AA2667-3936-4BBD-A6E6-AB08F2D8D7E6}" id="{4A67527C-B688-4552-A46D-6A43D202D396}">
    <text>tarjeta</text>
  </threadedComment>
  <threadedComment ref="H231" dT="2025-03-28T19:09:54.00" personId="{86AA2667-3936-4BBD-A6E6-AB08F2D8D7E6}" id="{70EA2B0F-2490-43A3-8455-7039DC9E4444}">
    <text>transferencia</text>
  </threadedComment>
  <threadedComment ref="H234" dT="2025-03-28T22:15:10.00" personId="{86AA2667-3936-4BBD-A6E6-AB08F2D8D7E6}" id="{7E97C5EC-A4EA-4598-8CF8-949AF111C7FC}">
    <text>transferencia</text>
  </threadedComment>
  <threadedComment ref="H235" dT="2025-03-28T19:29:27.00" personId="{86AA2667-3936-4BBD-A6E6-AB08F2D8D7E6}" id="{5AC42F15-4567-4F79-A279-6D8A56EEFAB3}">
    <text>tarjeta</text>
  </threadedComment>
  <threadedComment ref="H236" dT="2025-03-29T13:30:21.00" personId="{86AA2667-3936-4BBD-A6E6-AB08F2D8D7E6}" id="{4DB15F7D-EDD9-4C64-BC4B-A92738051863}">
    <text>TARJETA</text>
  </threadedComment>
  <threadedComment ref="H238" dT="2025-03-29T16:30:35.00" personId="{86AA2667-3936-4BBD-A6E6-AB08F2D8D7E6}" id="{B768F296-7222-4AA0-A681-868F5CE0818C}">
    <text>tarjeta</text>
  </threadedComment>
  <threadedComment ref="H240" dT="2025-03-29T16:30:45.00" personId="{86AA2667-3936-4BBD-A6E6-AB08F2D8D7E6}" id="{2271E6B7-8724-4901-92AF-DCC5355A5D89}">
    <text>tarjeta</text>
  </threadedComment>
  <threadedComment ref="H241" dT="2025-03-29T16:30:53.00" personId="{86AA2667-3936-4BBD-A6E6-AB08F2D8D7E6}" id="{67AE956A-2982-4332-9A3E-48C6C13FCEFE}">
    <text>tarjeta</text>
  </threadedComment>
  <threadedComment ref="H243" dT="2025-03-29T22:27:19.00" personId="{86AA2667-3936-4BBD-A6E6-AB08F2D8D7E6}" id="{33A1AD80-4C7D-4D3A-A386-14D24ABC7755}">
    <text>tarjeta</text>
  </threadedComment>
  <threadedComment ref="H248" dT="2025-03-29T22:43:03.00" personId="{86AA2667-3936-4BBD-A6E6-AB08F2D8D7E6}" id="{20DA4E2B-FB75-4149-B718-6F30310A3F33}">
    <text>TARJETA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7" dT="2025-04-01T20:17:31.00" personId="{86AA2667-3936-4BBD-A6E6-AB08F2D8D7E6}" id="{41BF0AE9-FB20-4D74-807B-BD695EC877C6}">
    <text>transferencia</text>
  </threadedComment>
  <threadedComment ref="H9" dT="2025-04-02T15:31:21.00" personId="{86AA2667-3936-4BBD-A6E6-AB08F2D8D7E6}" id="{E1906DD8-326B-4AF7-805B-FB3DB5E9E00D}">
    <text>TRANSFERENCIA</text>
  </threadedComment>
  <threadedComment ref="H11" dT="2025-04-02T14:55:53.00" personId="{86AA2667-3936-4BBD-A6E6-AB08F2D8D7E6}" id="{42D74292-C53D-4EF1-B5FE-AA34D0B060E2}">
    <text>TRANSFERENCIA</text>
  </threadedComment>
  <threadedComment ref="H15" dT="2025-04-03T13:03:02.00" personId="{86AA2667-3936-4BBD-A6E6-AB08F2D8D7E6}" id="{7DCBB5B6-629F-43B9-836E-A298D2525606}">
    <text>TRANSFERENCIA</text>
  </threadedComment>
  <threadedComment ref="H16" dT="2025-04-02T21:09:34.00" personId="{86AA2667-3936-4BBD-A6E6-AB08F2D8D7E6}" id="{48187AB2-6C76-4562-BEE0-2BA9076F9D43}">
    <text>tarjeta</text>
  </threadedComment>
  <threadedComment ref="H17" dT="2025-04-03T16:08:30.00" personId="{86AA2667-3936-4BBD-A6E6-AB08F2D8D7E6}" id="{56253172-5762-4A1B-9A71-C1A525F14A43}">
    <text>transferencia</text>
  </threadedComment>
  <threadedComment ref="H18" dT="2025-04-03T16:08:20.00" personId="{86AA2667-3936-4BBD-A6E6-AB08F2D8D7E6}" id="{0BE8C24A-281D-4C67-8C3F-E8D905AF037B}">
    <text>transferencia</text>
  </threadedComment>
  <threadedComment ref="H20" dT="2025-04-03T15:00:53.00" personId="{86AA2667-3936-4BBD-A6E6-AB08F2D8D7E6}" id="{B7CFD4FC-CACB-41C8-AE6E-11B93212D76D}">
    <text>tarjeta</text>
  </threadedComment>
  <threadedComment ref="H22" dT="2025-04-03T21:46:45.00" personId="{86AA2667-3936-4BBD-A6E6-AB08F2D8D7E6}" id="{0FBBB475-4284-4D31-91E3-365647E2C2D8}">
    <text>transferencia</text>
  </threadedComment>
  <threadedComment ref="H23" dT="2025-04-03T21:46:56.00" personId="{86AA2667-3936-4BBD-A6E6-AB08F2D8D7E6}" id="{5CC97781-036D-47BD-B74C-5A3EB74412E6}">
    <text>transferencia</text>
  </threadedComment>
  <threadedComment ref="H24" dT="2025-04-04T13:09:25.00" personId="{86AA2667-3936-4BBD-A6E6-AB08F2D8D7E6}" id="{79CD4E8A-B2FA-4BF2-BF79-DDCD19344F2C}">
    <text>transferencia</text>
  </threadedComment>
  <threadedComment ref="H27" dT="2025-04-04T19:16:20.00" personId="{86AA2667-3936-4BBD-A6E6-AB08F2D8D7E6}" id="{75B1466C-C719-486B-9B0F-3C5F8B368244}">
    <text>transferencia</text>
  </threadedComment>
  <threadedComment ref="H35" dT="2025-04-04T19:18:02.00" personId="{86AA2667-3936-4BBD-A6E6-AB08F2D8D7E6}" id="{F6B7A513-381F-4F06-A2EE-6D2E0BD31A36}">
    <text>TRANSFERENCIA</text>
  </threadedComment>
  <threadedComment ref="H39" dT="2025-04-05T15:49:36.00" personId="{86AA2667-3936-4BBD-A6E6-AB08F2D8D7E6}" id="{8B99589F-4E4A-406B-8AD7-666C322FC934}">
    <text>transferencia</text>
  </threadedComment>
  <threadedComment ref="H49" dT="2025-04-07T13:52:15.00" personId="{86AA2667-3936-4BBD-A6E6-AB08F2D8D7E6}" id="{E663C864-C735-4DD2-AA2D-FD9432E59A99}">
    <text>TRANSFERENCIA</text>
  </threadedComment>
  <threadedComment ref="H52" dT="2025-04-07T19:24:25.00" personId="{86AA2667-3936-4BBD-A6E6-AB08F2D8D7E6}" id="{D3BC972B-CE7F-4576-81FB-6041DEA6AE99}">
    <text>tarjeta</text>
  </threadedComment>
  <threadedComment ref="H53" dT="2025-04-07T19:24:34.00" personId="{86AA2667-3936-4BBD-A6E6-AB08F2D8D7E6}" id="{34B023C2-9772-48C7-82E5-23D5970C8AD4}">
    <text>tarjeta</text>
  </threadedComment>
  <threadedComment ref="H54" dT="2025-04-07T22:32:04.00" personId="{86AA2667-3936-4BBD-A6E6-AB08F2D8D7E6}" id="{8D33F002-A0AC-42EC-8B7A-7DBC92EE2B83}">
    <text>Tarjeta</text>
  </threadedComment>
  <threadedComment ref="H58" dT="2025-04-08T14:37:20.00" personId="{86AA2667-3936-4BBD-A6E6-AB08F2D8D7E6}" id="{3AB05A4C-A21C-4F23-AE8D-9CEF97F18818}">
    <text>FACTURA</text>
  </threadedComment>
  <threadedComment ref="H61" dT="2025-04-08T14:37:08.00" personId="{86AA2667-3936-4BBD-A6E6-AB08F2D8D7E6}" id="{EFCEC8FD-0376-48E7-87B0-39DB942419EE}">
    <text>TRANSFERENCIA</text>
  </threadedComment>
  <threadedComment ref="H63" dT="2025-04-08T21:19:20.00" personId="{86AA2667-3936-4BBD-A6E6-AB08F2D8D7E6}" id="{E7F0DC6A-61D7-4055-B5B4-61B8E025858B}">
    <text>tarjeta</text>
  </threadedComment>
  <threadedComment ref="H64" dT="2025-04-08T22:41:05.00" personId="{86AA2667-3936-4BBD-A6E6-AB08F2D8D7E6}" id="{0212C715-DEB3-419F-8372-BA7535A8B4D8}">
    <text>transferencia</text>
  </threadedComment>
  <threadedComment ref="H66" dT="2025-04-09T13:12:52.00" personId="{86AA2667-3936-4BBD-A6E6-AB08F2D8D7E6}" id="{2A4AC061-111E-4913-BC08-ECC89BB5C5B4}">
    <text>TARJETA</text>
  </threadedComment>
  <threadedComment ref="H72" dT="2025-04-09T21:27:43.00" personId="{86AA2667-3936-4BBD-A6E6-AB08F2D8D7E6}" id="{36513520-8986-409C-9391-33D932CA92D3}">
    <text>transferencia</text>
  </threadedComment>
  <threadedComment ref="H74" dT="2025-04-09T21:13:22.00" personId="{86AA2667-3936-4BBD-A6E6-AB08F2D8D7E6}" id="{7A1E0E19-808F-413B-B9F5-D6880BE4B6D3}">
    <text>transferencia</text>
  </threadedComment>
  <threadedComment ref="H76" dT="2025-04-09T22:41:02.00" personId="{86AA2667-3936-4BBD-A6E6-AB08F2D8D7E6}" id="{8C2B9E43-37AF-4BA6-A239-56F1FDCFC280}">
    <text>transferencia</text>
  </threadedComment>
  <threadedComment ref="H77" dT="2025-04-10T19:36:15.00" personId="{86AA2667-3936-4BBD-A6E6-AB08F2D8D7E6}" id="{E068C59E-AC1E-42BD-9A16-89B8732C5D7E}">
    <text>transferencia</text>
  </threadedComment>
  <threadedComment ref="H78" dT="2025-04-10T19:36:22.00" personId="{86AA2667-3936-4BBD-A6E6-AB08F2D8D7E6}" id="{6C4483C7-B9DB-4397-9A81-FA82FCDF5CE8}">
    <text>transferencia</text>
  </threadedComment>
  <threadedComment ref="H79" dT="2025-04-10T19:36:29.00" personId="{86AA2667-3936-4BBD-A6E6-AB08F2D8D7E6}" id="{7F55F58C-46D8-4670-ADB8-CB3D39566A1C}">
    <text>transferencia</text>
  </threadedComment>
  <threadedComment ref="H80" dT="2025-04-10T19:36:40.00" personId="{86AA2667-3936-4BBD-A6E6-AB08F2D8D7E6}" id="{647CBEB9-6B8C-47AC-94C7-46A6E1F80E79}">
    <text>transferencia</text>
  </threadedComment>
  <threadedComment ref="H81" dT="2025-04-10T19:36:48.00" personId="{86AA2667-3936-4BBD-A6E6-AB08F2D8D7E6}" id="{F22D42F3-18F0-4B1B-A5C5-26AF314914D2}">
    <text>transferencia</text>
  </threadedComment>
  <threadedComment ref="H84" dT="2025-04-11T13:01:19.00" personId="{86AA2667-3936-4BBD-A6E6-AB08F2D8D7E6}" id="{ECDD0F35-064E-4088-83C0-C3F9F57196C3}">
    <text>tarjeta</text>
  </threadedComment>
  <threadedComment ref="H86" dT="2025-04-15T13:42:57.00" personId="{86AA2667-3936-4BBD-A6E6-AB08F2D8D7E6}" id="{AEFDD096-8E60-4DD2-BE33-A7B880C3F31A}">
    <text>factura</text>
  </threadedComment>
  <threadedComment ref="H88" dT="2025-04-15T13:43:27.00" personId="{86AA2667-3936-4BBD-A6E6-AB08F2D8D7E6}" id="{DB311947-3867-4B69-9285-28CC35BDB813}">
    <text>tarjeta</text>
  </threadedComment>
  <threadedComment ref="H94" dT="2025-04-12T17:10:42.00" personId="{86AA2667-3936-4BBD-A6E6-AB08F2D8D7E6}" id="{E5BE875A-418D-433E-8427-9227086564FE}">
    <text>TRANSFERENCIA</text>
  </threadedComment>
  <threadedComment ref="H100" dT="2025-04-12T22:02:27.00" personId="{86AA2667-3936-4BBD-A6E6-AB08F2D8D7E6}" id="{D7EA2B29-939B-4AF9-AC59-4E74282D1F73}">
    <text>TARJETA</text>
  </threadedComment>
  <threadedComment ref="H101" dT="2025-04-12T14:37:46.00" personId="{86AA2667-3936-4BBD-A6E6-AB08F2D8D7E6}" id="{D4AFD33A-BD64-41E0-B3A5-6CE9D65F5D05}">
    <text>Tarjeta</text>
  </threadedComment>
  <threadedComment ref="H103" dT="2025-04-12T20:56:07.00" personId="{86AA2667-3936-4BBD-A6E6-AB08F2D8D7E6}" id="{42E1DD17-FDD9-4142-8152-1A9D3A0E126B}">
    <text>Transferencia</text>
  </threadedComment>
  <threadedComment ref="H106" dT="2025-04-14T16:54:25.00" personId="{86AA2667-3936-4BBD-A6E6-AB08F2D8D7E6}" id="{71B37908-CB8C-4B62-AA90-7AEEF60BC01E}">
    <text>Tarjeta</text>
  </threadedComment>
  <threadedComment ref="H107" dT="2025-04-14T16:54:32.00" personId="{86AA2667-3936-4BBD-A6E6-AB08F2D8D7E6}" id="{C2884795-4701-499A-837E-CA8DB7811239}">
    <text>Tarjeta</text>
  </threadedComment>
  <threadedComment ref="H108" dT="2025-04-14T19:06:01.00" personId="{86AA2667-3936-4BBD-A6E6-AB08F2D8D7E6}" id="{7BC10332-2145-4D7D-A016-E6D5A0A4509A}">
    <text>Tarjeta</text>
  </threadedComment>
  <threadedComment ref="H109" dT="2025-04-14T22:56:14.00" personId="{86AA2667-3936-4BBD-A6E6-AB08F2D8D7E6}" id="{8C4DA847-E259-4354-BE54-B231648795D5}">
    <text>Transferencia</text>
  </threadedComment>
  <threadedComment ref="H111" dT="2025-04-14T20:17:29.00" personId="{86AA2667-3936-4BBD-A6E6-AB08F2D8D7E6}" id="{9AB21197-EDE4-4B23-8742-5AD5B189E36F}">
    <text>Transferencia</text>
  </threadedComment>
  <threadedComment ref="H112" dT="2025-04-15T16:47:32.00" personId="{86AA2667-3936-4BBD-A6E6-AB08F2D8D7E6}" id="{53AFF88F-8E13-4297-9360-276C69AC6CDF}">
    <text>TARJETA</text>
  </threadedComment>
  <threadedComment ref="H118" dT="2025-04-15T21:31:40.00" personId="{86AA2667-3936-4BBD-A6E6-AB08F2D8D7E6}" id="{D24E0640-F043-4FA1-A944-DC20F65D7858}">
    <text>tarjeta</text>
  </threadedComment>
  <threadedComment ref="H119" dT="2025-04-15T21:31:51.00" personId="{86AA2667-3936-4BBD-A6E6-AB08F2D8D7E6}" id="{EFD12471-2956-490B-A1FE-59DB3C8A9DDA}">
    <text>tarjeta</text>
  </threadedComment>
  <threadedComment ref="H120" dT="2025-04-16T13:19:28.00" personId="{86AA2667-3936-4BBD-A6E6-AB08F2D8D7E6}" id="{F846D9B2-8D02-4A39-92BA-BBE623F874C5}">
    <text>tarjeta</text>
  </threadedComment>
  <threadedComment ref="H121" dT="2025-04-16T13:19:19.00" personId="{86AA2667-3936-4BBD-A6E6-AB08F2D8D7E6}" id="{BD6F74C8-E763-42F0-9BE5-1DF37F0C7A40}">
    <text>transferencia</text>
  </threadedComment>
  <threadedComment ref="H125" dT="2025-04-16T15:12:43.00" personId="{86AA2667-3936-4BBD-A6E6-AB08F2D8D7E6}" id="{700C894F-8F7B-4B6F-B7CB-00C986D9C626}">
    <text>transferencia</text>
  </threadedComment>
  <threadedComment ref="H126" dT="2025-04-16T15:12:35.00" personId="{86AA2667-3936-4BBD-A6E6-AB08F2D8D7E6}" id="{F4DD2CF1-149C-4C99-B251-B952D25C2568}">
    <text>transferencia</text>
  </threadedComment>
  <threadedComment ref="H128" dT="2025-04-16T15:37:57.00" personId="{86AA2667-3936-4BBD-A6E6-AB08F2D8D7E6}" id="{A04B350B-0CBC-478A-B873-07754CEF3612}">
    <text>tarjeta</text>
  </threadedComment>
  <threadedComment ref="H129" dT="2025-04-16T17:02:21.00" personId="{86AA2667-3936-4BBD-A6E6-AB08F2D8D7E6}" id="{EE084E4C-CA53-4714-ADC1-B19B7313B26D}">
    <text>tarjeta</text>
  </threadedComment>
  <threadedComment ref="H130" dT="2025-04-16T17:02:29.00" personId="{86AA2667-3936-4BBD-A6E6-AB08F2D8D7E6}" id="{768DBDF4-222F-4A61-A959-7B6563EF4BA4}">
    <text>tarjeta</text>
  </threadedComment>
  <threadedComment ref="H131" dT="2025-04-16T17:02:36.00" personId="{86AA2667-3936-4BBD-A6E6-AB08F2D8D7E6}" id="{74C56390-03E4-46D0-A9E4-2061253140E2}">
    <text>tarjeta</text>
  </threadedComment>
  <threadedComment ref="H132" dT="2025-04-16T17:02:43.00" personId="{86AA2667-3936-4BBD-A6E6-AB08F2D8D7E6}" id="{39B61F67-CFC2-49E6-83A8-C1CEC46C5A0B}">
    <text>tarjeta</text>
  </threadedComment>
  <threadedComment ref="H135" dT="2025-04-16T21:31:56.00" personId="{86AA2667-3936-4BBD-A6E6-AB08F2D8D7E6}" id="{1023F325-6304-4B3F-B810-F2B7E42B9100}">
    <text>tarjeta</text>
  </threadedComment>
  <threadedComment ref="H136" dT="2025-04-16T21:32:02.00" personId="{86AA2667-3936-4BBD-A6E6-AB08F2D8D7E6}" id="{CE938CC5-2FDC-4514-A0B0-FE0C362D798F}">
    <text>tarjeta</text>
  </threadedComment>
  <threadedComment ref="H137" dT="2025-04-16T20:15:35.00" personId="{86AA2667-3936-4BBD-A6E6-AB08F2D8D7E6}" id="{89E16E3C-31DB-4A5D-9770-F2F1A848E3CA}">
    <text>tarjeta</text>
  </threadedComment>
  <threadedComment ref="H139" dT="2025-04-19T13:12:40.00" personId="{86AA2667-3936-4BBD-A6E6-AB08F2D8D7E6}" id="{0AB404B4-29E3-474D-8BE0-A582E0AAF8E3}">
    <text>transferencia</text>
  </threadedComment>
  <threadedComment ref="H140" dT="2025-04-16T21:33:19.00" personId="{86AA2667-3936-4BBD-A6E6-AB08F2D8D7E6}" id="{1A411B22-DB3D-447C-8761-0331A9500E93}">
    <text>transferencia</text>
  </threadedComment>
  <threadedComment ref="H141" dT="2025-04-19T16:33:53.00" personId="{86AA2667-3936-4BBD-A6E6-AB08F2D8D7E6}" id="{C2B4BD0D-2A16-44E7-A6F8-94147D7918A1}">
    <text>transferencia</text>
  </threadedComment>
  <threadedComment ref="H142" dT="2025-04-19T15:44:01.00" personId="{86AA2667-3936-4BBD-A6E6-AB08F2D8D7E6}" id="{DE94DDFF-4AA5-443B-A0D3-24274F9E0DEA}">
    <text>TRANSFERENCIA</text>
  </threadedComment>
  <threadedComment ref="H143" dT="2025-04-19T15:44:14.00" personId="{86AA2667-3936-4BBD-A6E6-AB08F2D8D7E6}" id="{E186EC92-8B82-4BA8-926C-FDD471BDFDE3}">
    <text>TARJETA</text>
  </threadedComment>
  <threadedComment ref="H144" dT="2025-04-21T13:31:38.00" personId="{86AA2667-3936-4BBD-A6E6-AB08F2D8D7E6}" id="{EB9E8D55-7447-46F6-8E08-B9AD987D028D}">
    <text>TRANSFERENCIA</text>
  </threadedComment>
  <threadedComment ref="H145" dT="2025-04-19T14:27:14.00" personId="{86AA2667-3936-4BBD-A6E6-AB08F2D8D7E6}" id="{C381E7D0-41CB-469C-9DA9-F6D5D7032857}">
    <text>FACTURA - TARJETA</text>
  </threadedComment>
  <threadedComment ref="H146" dT="2025-04-19T16:55:31.00" personId="{86AA2667-3936-4BBD-A6E6-AB08F2D8D7E6}" id="{AB5A0A1D-ED8C-4A4E-AA72-F0760E526419}">
    <text>transferencia</text>
  </threadedComment>
  <threadedComment ref="H149" dT="2025-04-19T21:28:28.00" personId="{86AA2667-3936-4BBD-A6E6-AB08F2D8D7E6}" id="{A1182084-104B-48C9-92A6-EE8C49F5E523}">
    <text>tarjeta</text>
  </threadedComment>
  <threadedComment ref="H150" dT="2025-04-19T21:28:36.00" personId="{86AA2667-3936-4BBD-A6E6-AB08F2D8D7E6}" id="{BD0CB5B6-EB8C-4791-A98B-B775ED618FCC}">
    <text>tarjeta</text>
  </threadedComment>
  <threadedComment ref="H151" dT="2025-04-19T21:28:42.00" personId="{86AA2667-3936-4BBD-A6E6-AB08F2D8D7E6}" id="{5220FB91-1932-4BF3-B7A8-68625F49EF6D}">
    <text>tarjeta</text>
  </threadedComment>
  <threadedComment ref="H153" dT="2025-04-19T22:38:49.00" personId="{86AA2667-3936-4BBD-A6E6-AB08F2D8D7E6}" id="{E48E165F-4DFF-4047-8750-4B2C8375947B}">
    <text>Tarjeta</text>
  </threadedComment>
  <threadedComment ref="H160" dT="2025-04-21T13:12:33.00" personId="{86AA2667-3936-4BBD-A6E6-AB08F2D8D7E6}" id="{A64B181C-00FA-4511-8A12-CEC0A50C09B0}">
    <text>75.000 Transferencia
5.000 Efectivo</text>
  </threadedComment>
  <threadedComment ref="H164" dT="2025-04-21T21:47:39.00" personId="{86AA2667-3936-4BBD-A6E6-AB08F2D8D7E6}" id="{2E83D81E-0DC3-4622-B112-CA545432F36B}">
    <text>Transferencia</text>
  </threadedComment>
  <threadedComment ref="H167" dT="2025-04-22T13:43:54.00" personId="{86AA2667-3936-4BBD-A6E6-AB08F2D8D7E6}" id="{90319EAE-034E-4025-BF74-7793D2D6AD2F}">
    <text>Transferencia</text>
  </threadedComment>
  <threadedComment ref="H169" dT="2025-04-22T16:40:11.00" personId="{86AA2667-3936-4BBD-A6E6-AB08F2D8D7E6}" id="{819C2848-75B7-43E6-B6C0-CE8C2D57D1D1}">
    <text>Transferencia</text>
  </threadedComment>
  <threadedComment ref="H170" dT="2025-04-22T16:40:18.00" personId="{86AA2667-3936-4BBD-A6E6-AB08F2D8D7E6}" id="{51D11721-435F-41FD-BBC9-DF90D6B0EAAE}">
    <text>Tarjeta</text>
  </threadedComment>
  <threadedComment ref="H176" dT="2025-04-23T13:27:58.00" personId="{86AA2667-3936-4BBD-A6E6-AB08F2D8D7E6}" id="{A07188BC-EA1D-4338-BF6D-A0467266E254}">
    <text>Transferencia</text>
  </threadedComment>
  <threadedComment ref="H180" dT="2025-04-23T21:13:27.00" personId="{86AA2667-3936-4BBD-A6E6-AB08F2D8D7E6}" id="{0094CF9D-D29D-4E65-A54F-651920BC948F}">
    <text>Tarjeta</text>
  </threadedComment>
  <threadedComment ref="H182" dT="2025-04-23T22:09:05.00" personId="{86AA2667-3936-4BBD-A6E6-AB08F2D8D7E6}" id="{12A097CA-666E-4B4D-9333-04B488E52821}">
    <text>TARJETA</text>
  </threadedComment>
  <threadedComment ref="H183" dT="2025-04-25T13:16:05.00" personId="{86AA2667-3936-4BBD-A6E6-AB08F2D8D7E6}" id="{5450EA82-D47E-421B-B5AC-30D2EC1E5E46}">
    <text>transferencia</text>
  </threadedComment>
  <threadedComment ref="H186" dT="2025-04-24T22:24:24.00" personId="{86AA2667-3936-4BBD-A6E6-AB08F2D8D7E6}" id="{99877945-B98B-4DCA-823B-07AA40A549E5}">
    <text>Tarjeta</text>
  </threadedComment>
  <threadedComment ref="H187" dT="2025-04-24T19:50:49.00" personId="{86AA2667-3936-4BBD-A6E6-AB08F2D8D7E6}" id="{59D4DA9C-A539-4F78-B147-AF33AF27D97A}">
    <text>tarjeta</text>
  </threadedComment>
  <threadedComment ref="H191" dT="2025-04-25T16:13:16.00" personId="{86AA2667-3936-4BBD-A6E6-AB08F2D8D7E6}" id="{85A9A578-FA04-4991-8933-9FB3EF174CFC}">
    <text>transferencia</text>
  </threadedComment>
  <threadedComment ref="H194" dT="2025-04-25T19:07:52.00" personId="{86AA2667-3936-4BBD-A6E6-AB08F2D8D7E6}" id="{3655DFEA-7CB3-4B8C-9342-FB36784127C6}">
    <text>tarjeta</text>
  </threadedComment>
  <threadedComment ref="H195" dT="2025-04-25T19:08:00.00" personId="{86AA2667-3936-4BBD-A6E6-AB08F2D8D7E6}" id="{5C97D627-CBB1-43D6-9E3C-29B785A05CD3}">
    <text>tarjeta</text>
  </threadedComment>
  <threadedComment ref="H196" dT="2025-04-25T19:08:07.00" personId="{86AA2667-3936-4BBD-A6E6-AB08F2D8D7E6}" id="{B98527AA-6060-47C9-9503-3C3BE9A0A1F4}">
    <text>tarjeta</text>
  </threadedComment>
  <threadedComment ref="H197" dT="2025-04-25T19:27:35.00" personId="{86AA2667-3936-4BBD-A6E6-AB08F2D8D7E6}" id="{0CC55047-7717-47D8-A260-3EFAEF493F4E}">
    <text>transferencia</text>
  </threadedComment>
  <threadedComment ref="H198" dT="2025-04-26T13:31:28.00" personId="{86AA2667-3936-4BBD-A6E6-AB08F2D8D7E6}" id="{D4D3EB3D-6688-4605-ADD0-BE73222DBFE5}">
    <text>tarjeta</text>
  </threadedComment>
  <threadedComment ref="H203" dT="2025-04-26T16:11:51.00" personId="{86AA2667-3936-4BBD-A6E6-AB08F2D8D7E6}" id="{25FC798C-6CED-4D92-AEE4-D5A140DCB375}">
    <text>TRANSFERENCIA</text>
  </threadedComment>
  <threadedComment ref="H209" dT="2025-04-26T22:34:19.00" personId="{86AA2667-3936-4BBD-A6E6-AB08F2D8D7E6}" id="{9A3AEDB3-E61E-417F-B1F3-D2E5233F61ED}">
    <text>Tarjeta</text>
  </threadedComment>
  <threadedComment ref="H213" dT="2025-04-28T22:04:16.00" personId="{86AA2667-3936-4BBD-A6E6-AB08F2D8D7E6}" id="{BA9E621E-17E7-484D-8196-FF56A2D7C21F}">
    <text>Transferencia</text>
  </threadedComment>
  <threadedComment ref="H214" dT="2025-04-28T22:04:26.00" personId="{86AA2667-3936-4BBD-A6E6-AB08F2D8D7E6}" id="{8D0C6168-2A2D-4C5B-B91D-92018F4B09EC}">
    <text>Transferencia</text>
  </threadedComment>
  <threadedComment ref="H215" dT="2025-04-29T13:17:07.00" personId="{86AA2667-3936-4BBD-A6E6-AB08F2D8D7E6}" id="{B9FDC26E-6700-434B-B670-5B6D3F881D6B}">
    <text>Transferencia</text>
  </threadedComment>
  <threadedComment ref="H216" dT="2025-04-28T22:30:07.00" personId="{86AA2667-3936-4BBD-A6E6-AB08F2D8D7E6}" id="{4EBA2BCF-2D6F-4BD7-9C86-A8D8C91E1AA2}">
    <text>Tarjeta</text>
  </threadedComment>
  <threadedComment ref="H220" dT="2025-04-29T22:37:29.00" personId="{86AA2667-3936-4BBD-A6E6-AB08F2D8D7E6}" id="{33388DE7-7633-4965-85C4-76D140CCDD2E}">
    <text>Transferencia</text>
  </threadedComment>
  <threadedComment ref="H222" dT="2025-04-29T22:37:36.00" personId="{86AA2667-3936-4BBD-A6E6-AB08F2D8D7E6}" id="{82C467D0-564B-43E0-9827-71453E96839B}">
    <text>Transferencia</text>
  </threadedComment>
  <threadedComment ref="H226" dT="2025-04-30T13:30:55.00" personId="{86AA2667-3936-4BBD-A6E6-AB08F2D8D7E6}" id="{3B43774D-1DD6-42F3-972E-E8DED5BC7409}">
    <text>Tarjeta</text>
  </threadedComment>
  <threadedComment ref="H227" dT="2025-04-30T13:31:01.00" personId="{86AA2667-3936-4BBD-A6E6-AB08F2D8D7E6}" id="{15B5789A-4805-49B0-8DE9-882AF66B8337}">
    <text>Tarjeta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2" dT="2025-05-02T20:21:20.00" personId="{86AA2667-3936-4BBD-A6E6-AB08F2D8D7E6}" id="{64A0AE14-7891-4894-8ECB-3B8138C17130}">
    <text>tarjeta</text>
  </threadedComment>
  <threadedComment ref="H3" dT="2025-05-02T20:21:27.00" personId="{86AA2667-3936-4BBD-A6E6-AB08F2D8D7E6}" id="{A504A817-0EFB-42BC-AF59-D8C3EE39EA54}">
    <text>tarjeta</text>
  </threadedComment>
  <threadedComment ref="H7" dT="2025-05-02T16:48:45.00" personId="{86AA2667-3936-4BBD-A6E6-AB08F2D8D7E6}" id="{81B5BD12-07B1-4F0F-B974-0C80DDCFC91E}">
    <text>TRANSFERENCIA</text>
  </threadedComment>
  <threadedComment ref="H8" dT="2025-05-02T20:49:06.00" personId="{86AA2667-3936-4BBD-A6E6-AB08F2D8D7E6}" id="{AE5853BD-61E7-4231-A6A9-1F6907B86408}">
    <text>tarjeta</text>
  </threadedComment>
  <threadedComment ref="H13" dT="2025-05-03T17:10:03.00" personId="{86AA2667-3936-4BBD-A6E6-AB08F2D8D7E6}" id="{A22CEC7D-6C16-4732-8CDF-966E10DF43DB}">
    <text>DATAFONO</text>
  </threadedComment>
  <threadedComment ref="H14" dT="2025-05-03T17:10:19.00" personId="{86AA2667-3936-4BBD-A6E6-AB08F2D8D7E6}" id="{613DF056-E4E2-49C1-9046-C0D60975B00A}">
    <text>TRANSFERENCIA</text>
  </threadedComment>
  <threadedComment ref="H15" dT="2025-05-03T17:19:44.00" personId="{86AA2667-3936-4BBD-A6E6-AB08F2D8D7E6}" id="{D7404FAA-38C7-45F6-8258-9FBB190C0428}">
    <text>transferencia</text>
  </threadedComment>
  <threadedComment ref="H18" dT="2025-05-03T17:19:51.00" personId="{86AA2667-3936-4BBD-A6E6-AB08F2D8D7E6}" id="{402B4EDA-4373-477B-9E87-086358962D89}">
    <text>transferencia</text>
  </threadedComment>
  <threadedComment ref="H19" dT="2025-05-03T22:15:32.00" personId="{86AA2667-3936-4BBD-A6E6-AB08F2D8D7E6}" id="{72D254EA-F9B3-40F1-984C-EF24C7A1C382}">
    <text>tarjeta</text>
  </threadedComment>
  <threadedComment ref="H21" dT="2025-05-03T22:45:41.00" personId="{86AA2667-3936-4BBD-A6E6-AB08F2D8D7E6}" id="{B644997C-CCB1-4493-852D-3E6D33D5EA13}">
    <text>tarjeta</text>
  </threadedComment>
  <threadedComment ref="H22" dT="2025-05-03T22:45:48.00" personId="{86AA2667-3936-4BBD-A6E6-AB08F2D8D7E6}" id="{7ED6EC40-C741-4371-97E1-DECC77CB3622}">
    <text>tarjeta</text>
  </threadedComment>
  <threadedComment ref="H27" dT="2025-05-05T16:48:44.00" personId="{86AA2667-3936-4BBD-A6E6-AB08F2D8D7E6}" id="{40951DB5-E03F-46FB-B613-CA26A22A5300}">
    <text>Tarjeta</text>
  </threadedComment>
  <threadedComment ref="H29" dT="2025-05-06T14:38:03.00" personId="{86AA2667-3936-4BBD-A6E6-AB08F2D8D7E6}" id="{CCB5A1D5-BAE8-4254-B976-D46EFA3440C8}">
    <text>TARJETA</text>
  </threadedComment>
  <threadedComment ref="H30" dT="2025-05-06T14:38:29.00" personId="{86AA2667-3936-4BBD-A6E6-AB08F2D8D7E6}" id="{4CC5CDAB-0D6F-47C0-A319-D8BC24FE7222}">
    <text>TARJETA</text>
  </threadedComment>
  <threadedComment ref="H31" dT="2025-05-06T14:39:01.00" personId="{86AA2667-3936-4BBD-A6E6-AB08F2D8D7E6}" id="{F5EF8AB9-62E5-4627-9641-AAD271EB9887}">
    <text>TARJETA</text>
  </threadedComment>
  <threadedComment ref="H32" dT="2025-05-06T14:39:24.00" personId="{86AA2667-3936-4BBD-A6E6-AB08F2D8D7E6}" id="{31113AD9-37C2-492F-9A5A-C3D658F33222}">
    <text>TAREJETA</text>
  </threadedComment>
  <threadedComment ref="H34" dT="2025-05-06T16:53:46.00" personId="{86AA2667-3936-4BBD-A6E6-AB08F2D8D7E6}" id="{56DD3155-C11E-4293-9EB8-0717BC531159}">
    <text>Tarjeta</text>
  </threadedComment>
  <threadedComment ref="H36" dT="2025-05-06T22:08:07.00" personId="{86AA2667-3936-4BBD-A6E6-AB08F2D8D7E6}" id="{4D8A2990-8113-432F-BA66-5BC4721C8C03}">
    <text>tarjeta</text>
  </threadedComment>
  <threadedComment ref="H37" dT="2025-05-09T13:28:36.00" personId="{86AA2667-3936-4BBD-A6E6-AB08F2D8D7E6}" id="{645C95EA-9C99-49A2-A3CE-C78221372FF7}">
    <text>tarjeta</text>
  </threadedComment>
  <threadedComment ref="H41" dT="2025-05-07T22:20:02.00" personId="{86AA2667-3936-4BBD-A6E6-AB08F2D8D7E6}" id="{888F9905-04AD-416C-8BBB-9BB77A136483}">
    <text>Transferencia</text>
  </threadedComment>
  <threadedComment ref="H57" dT="2025-05-08T22:20:39.00" personId="{86AA2667-3936-4BBD-A6E6-AB08F2D8D7E6}" id="{36CF0C46-C299-4389-B05A-8F2897C45A49}">
    <text>Tarjeta</text>
  </threadedComment>
  <threadedComment ref="H60" dT="2025-05-09T21:12:12.00" personId="{86AA2667-3936-4BBD-A6E6-AB08F2D8D7E6}" id="{74DC18A2-0B53-4473-B53B-3B58A5D7C8BB}">
    <text>tarjeta</text>
  </threadedComment>
  <threadedComment ref="H61" dT="2025-05-09T21:12:18.00" personId="{86AA2667-3936-4BBD-A6E6-AB08F2D8D7E6}" id="{D1DBBF84-530F-47E1-83F5-DFDE3397D9C1}">
    <text>tarjeta</text>
  </threadedComment>
  <threadedComment ref="H64" dT="2025-05-09T21:11:55.00" personId="{86AA2667-3936-4BBD-A6E6-AB08F2D8D7E6}" id="{A4107EA4-533D-402D-A673-54466689E739}">
    <text>tarjeta</text>
  </threadedComment>
  <threadedComment ref="H66" dT="2025-05-10T13:32:47.00" personId="{86AA2667-3936-4BBD-A6E6-AB08F2D8D7E6}" id="{CC872BD7-5B6D-4186-8E43-9B65147061AB}">
    <text>transferencia y factura</text>
  </threadedComment>
  <threadedComment ref="H68" dT="2025-05-10T20:30:03.00" personId="{86AA2667-3936-4BBD-A6E6-AB08F2D8D7E6}" id="{8D05A127-3B09-4831-B556-5289B6BF26CF}">
    <text>tarjeta</text>
  </threadedComment>
  <threadedComment ref="H69" dT="2025-05-10T20:30:09.00" personId="{86AA2667-3936-4BBD-A6E6-AB08F2D8D7E6}" id="{ED2D3749-2CD2-4953-A7E1-683BF9A760FC}">
    <text>tarjeta</text>
  </threadedComment>
  <threadedComment ref="H70" dT="2025-05-10T20:30:14.00" personId="{86AA2667-3936-4BBD-A6E6-AB08F2D8D7E6}" id="{5542BE15-1F32-4F03-94F9-A981FBF4E46D}">
    <text>tarjeta</text>
  </threadedComment>
  <threadedComment ref="H71" dT="2025-05-10T20:30:20.00" personId="{86AA2667-3936-4BBD-A6E6-AB08F2D8D7E6}" id="{AD62252F-CBFB-4E0E-ABF8-F64374063BD4}">
    <text>tarjeta</text>
  </threadedComment>
  <threadedComment ref="H72" dT="2025-05-10T20:30:26.00" personId="{86AA2667-3936-4BBD-A6E6-AB08F2D8D7E6}" id="{270EA3AE-F736-4D6E-BD07-E58401D96F8B}">
    <text>tarjeta</text>
  </threadedComment>
  <threadedComment ref="H73" dT="2025-05-10T20:30:35.00" personId="{86AA2667-3936-4BBD-A6E6-AB08F2D8D7E6}" id="{A4BBCE94-F8B7-411B-9A2F-4813C71BA70E}">
    <text>tarjeta</text>
  </threadedComment>
  <threadedComment ref="H80" dT="2025-05-10T20:59:33.00" personId="{86AA2667-3936-4BBD-A6E6-AB08F2D8D7E6}" id="{C62FCAD4-A6F6-4E4B-8AED-BA86076DE866}">
    <text>tarjeta</text>
  </threadedComment>
  <threadedComment ref="H82" dT="2025-05-12T16:53:50.00" personId="{86AA2667-3936-4BBD-A6E6-AB08F2D8D7E6}" id="{A8EBA5E8-49C9-49A1-AA1D-93E25CD160D4}">
    <text>tarjeta</text>
  </threadedComment>
  <threadedComment ref="H85" dT="2025-05-13T12:58:53.00" personId="{86AA2667-3936-4BBD-A6E6-AB08F2D8D7E6}" id="{43F90CA2-5419-4649-88C9-DA07BF9E8F17}">
    <text>transferencia</text>
  </threadedComment>
  <threadedComment ref="H88" dT="2025-05-12T16:31:58.00" personId="{86AA2667-3936-4BBD-A6E6-AB08F2D8D7E6}" id="{F0A6DE1B-3E43-4182-A5FD-B1237204881D}">
    <text>Transferencia</text>
  </threadedComment>
  <threadedComment ref="H91" dT="2025-05-13T14:51:38.00" personId="{86AA2667-3936-4BBD-A6E6-AB08F2D8D7E6}" id="{A53F48CF-A9B2-4784-8BF8-94DD193076D2}">
    <text>TRANSFERENCia</text>
  </threadedComment>
  <threadedComment ref="H94" dT="2025-05-13T16:18:31.00" personId="{86AA2667-3936-4BBD-A6E6-AB08F2D8D7E6}" id="{F72E1151-C710-4FBD-9B42-02FD0F5FF54B}">
    <text>tarjeta</text>
  </threadedComment>
  <threadedComment ref="H96" dT="2025-05-13T16:44:23.00" personId="{86AA2667-3936-4BBD-A6E6-AB08F2D8D7E6}" id="{79DEB09F-12F0-483E-BFDC-AEDF3CB0BD4A}">
    <text>TRANSFERENCIA</text>
  </threadedComment>
  <threadedComment ref="H97" dT="2025-05-13T21:53:34.00" personId="{86AA2667-3936-4BBD-A6E6-AB08F2D8D7E6}" id="{3221ABB1-35DE-402E-A681-429418F35395}">
    <text>transferencia</text>
  </threadedComment>
  <threadedComment ref="H99" dT="2025-05-13T22:03:09.00" personId="{86AA2667-3936-4BBD-A6E6-AB08F2D8D7E6}" id="{A025A161-6A6F-4C49-A442-53D512EFADE9}">
    <text>transferencia</text>
  </threadedComment>
  <threadedComment ref="H104" dT="2025-05-14T16:44:15.00" personId="{86AA2667-3936-4BBD-A6E6-AB08F2D8D7E6}" id="{FFA3DE38-96D5-42B1-9EEC-E24A6D1F41BB}">
    <text>transferencia</text>
  </threadedComment>
  <threadedComment ref="H105" dT="2025-05-14T16:44:50.00" personId="{86AA2667-3936-4BBD-A6E6-AB08F2D8D7E6}" id="{E51D1BD8-9F7B-415A-A9A6-35DEDF63DA73}">
    <text>factura + tarjeta</text>
  </threadedComment>
  <threadedComment ref="H108" dT="2025-05-14T22:34:31.00" personId="{86AA2667-3936-4BBD-A6E6-AB08F2D8D7E6}" id="{C7B2307D-FCA4-401E-8A51-A7BFD6600FBE}">
    <text>Transferencia</text>
  </threadedComment>
  <threadedComment ref="H110" dT="2025-05-15T13:21:56.00" personId="{86AA2667-3936-4BBD-A6E6-AB08F2D8D7E6}" id="{5822CAF5-6D07-4B72-B7CC-AF7A1D960267}">
    <text>Tarjeta</text>
  </threadedComment>
  <threadedComment ref="H111" dT="2025-05-15T13:21:47.00" personId="{86AA2667-3936-4BBD-A6E6-AB08F2D8D7E6}" id="{E7588A26-871E-44B7-AF5C-38ADF5D9B633}">
    <text>Tarjeta</text>
  </threadedComment>
  <threadedComment ref="H113" dT="2025-05-15T17:04:48.00" personId="{86AA2667-3936-4BBD-A6E6-AB08F2D8D7E6}" id="{CA006340-077D-458B-83E4-179C4519E3A6}">
    <text>Transferencia</text>
  </threadedComment>
  <threadedComment ref="H114" dT="2025-05-15T17:05:04.00" personId="{86AA2667-3936-4BBD-A6E6-AB08F2D8D7E6}" id="{07152783-985B-4986-BAA1-1CB00725FCB0}">
    <text>Transferencia</text>
  </threadedComment>
  <threadedComment ref="H115" dT="2025-05-15T19:01:23.00" personId="{86AA2667-3936-4BBD-A6E6-AB08F2D8D7E6}" id="{82ADFC4C-D006-445C-B849-3D453C2FA48B}">
    <text>Tarjeta</text>
  </threadedComment>
  <threadedComment ref="H118" dT="2025-05-15T22:34:33.00" personId="{86AA2667-3936-4BBD-A6E6-AB08F2D8D7E6}" id="{FCF04EF0-1B68-4447-90CD-FEF99A1331EF}">
    <text>Tarjeta</text>
  </threadedComment>
  <threadedComment ref="H119" dT="2025-05-15T22:00:43.00" personId="{86AA2667-3936-4BBD-A6E6-AB08F2D8D7E6}" id="{517B3EC6-5F37-4BF1-8793-2F34AFDFE25A}">
    <text>Transferencia</text>
  </threadedComment>
  <threadedComment ref="H120" dT="2025-05-16T15:56:06.00" personId="{86AA2667-3936-4BBD-A6E6-AB08F2D8D7E6}" id="{A0D194DC-0357-461A-A9C2-57B198995579}">
    <text>Transferencia</text>
  </threadedComment>
  <threadedComment ref="H128" dT="2025-05-17T14:07:04.00" personId="{86AA2667-3936-4BBD-A6E6-AB08F2D8D7E6}" id="{C7525C9B-17E1-49AD-B3C5-3BA572CE553A}">
    <text>Tarjeta</text>
  </threadedComment>
  <threadedComment ref="H130" dT="2025-05-17T16:26:11.00" personId="{86AA2667-3936-4BBD-A6E6-AB08F2D8D7E6}" id="{9BDCFBD5-646E-40F4-9C6C-22072F498B55}">
    <text>Transferencia</text>
  </threadedComment>
  <threadedComment ref="H131" dT="2025-05-17T16:44:37.00" personId="{86AA2667-3936-4BBD-A6E6-AB08F2D8D7E6}" id="{EFDC18AA-C152-462C-A151-565E985A19B0}">
    <text>Transferencia</text>
  </threadedComment>
  <threadedComment ref="H136" dT="2025-05-17T22:25:10.00" personId="{86AA2667-3936-4BBD-A6E6-AB08F2D8D7E6}" id="{66A2FAFC-1747-4A50-8B0D-85C2E53A323B}">
    <text>Transferencia</text>
  </threadedComment>
  <threadedComment ref="H137" dT="2025-05-17T15:34:11.00" personId="{86AA2667-3936-4BBD-A6E6-AB08F2D8D7E6}" id="{01FA553A-B3E9-4998-86A6-CF1A79BF5FA1}">
    <text>Transferencia</text>
  </threadedComment>
  <threadedComment ref="H141" dT="2025-05-17T22:18:37.00" personId="{86AA2667-3936-4BBD-A6E6-AB08F2D8D7E6}" id="{AF29A538-91A3-4742-8D0E-6CC261BDCEAD}">
    <text>Tarjeta</text>
  </threadedComment>
  <threadedComment ref="H142" dT="2025-05-17T19:24:52.00" personId="{86AA2667-3936-4BBD-A6E6-AB08F2D8D7E6}" id="{5FB772E0-97D6-412C-BBCB-766BE7BF29CC}">
    <text>Tarjeta</text>
  </threadedComment>
  <threadedComment ref="H143" dT="2025-05-19T13:36:31.00" personId="{86AA2667-3936-4BBD-A6E6-AB08F2D8D7E6}" id="{97F76D23-2389-4B50-94A6-1E7A67501933}">
    <text>Transferencia</text>
  </threadedComment>
  <threadedComment ref="H145" dT="2025-05-19T15:33:25.00" personId="{86AA2667-3936-4BBD-A6E6-AB08F2D8D7E6}" id="{4211CA69-CB42-4D19-B076-6E1390647B79}">
    <text>Transferencia</text>
  </threadedComment>
  <threadedComment ref="H146" dT="2025-05-19T22:02:46.00" personId="{86AA2667-3936-4BBD-A6E6-AB08F2D8D7E6}" id="{00FF7B23-A5AC-497A-925F-BE73F77E1530}">
    <text>Tarjeta</text>
  </threadedComment>
  <threadedComment ref="H147" dT="2025-05-19T22:02:52.00" personId="{86AA2667-3936-4BBD-A6E6-AB08F2D8D7E6}" id="{3A0B66FC-3171-4065-90DC-724F860CED20}">
    <text>Tarjeta</text>
  </threadedComment>
  <threadedComment ref="H148" dT="2025-05-19T22:57:48.00" personId="{86AA2667-3936-4BBD-A6E6-AB08F2D8D7E6}" id="{B4171602-43C6-4B72-BDAC-79AB93E04D38}">
    <text>45.000 TRANSFERENCIA
30.000 EFECTIVO</text>
  </threadedComment>
  <threadedComment ref="H149" dT="2025-05-19T19:00:46.00" personId="{86AA2667-3936-4BBD-A6E6-AB08F2D8D7E6}" id="{35F6370F-9606-4029-B836-97BAE8E56893}">
    <text>Transferencia</text>
  </threadedComment>
  <threadedComment ref="H154" dT="2025-05-20T21:53:45.00" personId="{86AA2667-3936-4BBD-A6E6-AB08F2D8D7E6}" id="{EE017FF0-0FD4-4B72-BC8D-0B7890B5E763}">
    <text>tarjeta</text>
  </threadedComment>
  <threadedComment ref="H158" dT="2025-05-21T14:58:29.00" personId="{86AA2667-3936-4BBD-A6E6-AB08F2D8D7E6}" id="{29D56FE0-3D5D-4252-9D83-37F4F5311C59}">
    <text>TRANSFERENCIA</text>
  </threadedComment>
  <threadedComment ref="H159" dT="2025-05-21T20:54:59.00" personId="{86AA2667-3936-4BBD-A6E6-AB08F2D8D7E6}" id="{6591AEC0-301D-47A7-8549-7E8180947FBB}">
    <text>transferencia</text>
  </threadedComment>
  <threadedComment ref="H166" dT="2025-05-22T20:44:17.00" personId="{86AA2667-3936-4BBD-A6E6-AB08F2D8D7E6}" id="{6B678E87-4027-4FC2-A675-24C978659BCC}">
    <text>transfrencia</text>
  </threadedComment>
  <threadedComment ref="H167" dT="2025-05-22T19:14:49.00" personId="{86AA2667-3936-4BBD-A6E6-AB08F2D8D7E6}" id="{6D4C59E7-65AB-42FD-BA8E-5AAC18FCAFB8}">
    <text>transferencia</text>
  </threadedComment>
  <threadedComment ref="H169" dT="2025-05-23T13:26:01.00" personId="{86AA2667-3936-4BBD-A6E6-AB08F2D8D7E6}" id="{0A01A5B2-6DE6-4DC1-8F4E-DF7D323D62EA}">
    <text>TRANSFERENCIA</text>
  </threadedComment>
  <threadedComment ref="H171" dT="2025-05-23T15:36:26.00" personId="{86AA2667-3936-4BBD-A6E6-AB08F2D8D7E6}" id="{6A8AB1E6-1F29-4F3F-84F0-4957ED43FEE4}">
    <text>tarjeta</text>
  </threadedComment>
  <threadedComment ref="H172" dT="2025-05-23T15:36:32.00" personId="{86AA2667-3936-4BBD-A6E6-AB08F2D8D7E6}" id="{586B39D3-9C27-4F0D-8D6C-62C9AFAA971F}">
    <text>tarjeta</text>
  </threadedComment>
  <threadedComment ref="H173" dT="2025-05-23T15:36:38.00" personId="{86AA2667-3936-4BBD-A6E6-AB08F2D8D7E6}" id="{AC0174FB-E828-4E80-976B-767396DC283C}">
    <text>tarjeta</text>
  </threadedComment>
  <threadedComment ref="H174" dT="2025-05-23T16:43:23.00" personId="{86AA2667-3936-4BBD-A6E6-AB08F2D8D7E6}" id="{B28F3B03-8E1F-4FCD-AE6F-6CBA47E6C523}">
    <text>Tarjeta</text>
  </threadedComment>
  <threadedComment ref="H175" dT="2025-05-23T16:43:16.00" personId="{86AA2667-3936-4BBD-A6E6-AB08F2D8D7E6}" id="{163A53A7-8E07-44D4-939A-DA0144F59C9A}">
    <text>Tarjeta</text>
  </threadedComment>
  <threadedComment ref="H176" dT="2025-05-23T21:34:35.00" personId="{86AA2667-3936-4BBD-A6E6-AB08F2D8D7E6}" id="{A35CD541-98FD-4302-8266-84F24E36679A}">
    <text>Tarjeta</text>
  </threadedComment>
  <threadedComment ref="H180" dT="2025-05-23T22:51:42.00" personId="{86AA2667-3936-4BBD-A6E6-AB08F2D8D7E6}" id="{B541DA61-BE77-40D1-885E-046FF4807E7C}">
    <text>Tarjeta</text>
  </threadedComment>
  <threadedComment ref="H182" dT="2025-05-24T16:30:00.00" personId="{86AA2667-3936-4BBD-A6E6-AB08F2D8D7E6}" id="{28C42188-7193-4889-B15D-5B18300D8A68}">
    <text>tarjeta</text>
  </threadedComment>
  <threadedComment ref="H183" dT="2025-05-24T15:44:12.00" personId="{86AA2667-3936-4BBD-A6E6-AB08F2D8D7E6}" id="{9EE1496E-AA52-4B5D-B881-4620F6F3BE46}">
    <text>tarjeta</text>
  </threadedComment>
  <threadedComment ref="H187" dT="2025-05-24T16:55:08.00" personId="{86AA2667-3936-4BBD-A6E6-AB08F2D8D7E6}" id="{FAB16D0A-7069-4141-93D6-CF879C9FE931}">
    <text>Tarjeta</text>
  </threadedComment>
  <threadedComment ref="H191" dT="2025-05-24T21:23:53.00" personId="{86AA2667-3936-4BBD-A6E6-AB08F2D8D7E6}" id="{219A6263-5376-4AB4-91C0-203255A4D859}">
    <text>Tarjeta</text>
  </threadedComment>
  <threadedComment ref="H192" dT="2025-05-26T13:45:13.00" personId="{86AA2667-3936-4BBD-A6E6-AB08F2D8D7E6}" id="{DDBFCAC5-6945-4E3F-9CC6-04F45BF3ABD8}">
    <text>transferencia</text>
  </threadedComment>
  <threadedComment ref="H193" dT="2025-05-24T19:56:34.00" personId="{86AA2667-3936-4BBD-A6E6-AB08F2D8D7E6}" id="{F3655532-BD75-4B53-B02E-89C5F410F89D}">
    <text>Transferencia</text>
  </threadedComment>
  <threadedComment ref="H195" dT="2025-05-26T20:40:15.00" personId="{86AA2667-3936-4BBD-A6E6-AB08F2D8D7E6}" id="{8029DD35-800F-4648-A725-C4D2E98485B4}">
    <text>TRANSFERENCIA</text>
  </threadedComment>
  <threadedComment ref="H196" dT="2025-05-26T20:41:43.00" personId="{86AA2667-3936-4BBD-A6E6-AB08F2D8D7E6}" id="{6AC831BD-FDFA-4B27-A823-AA61D68BFCF1}">
    <text>TARJETA</text>
  </threadedComment>
  <threadedComment ref="H197" dT="2025-05-26T20:41:50.00" personId="{86AA2667-3936-4BBD-A6E6-AB08F2D8D7E6}" id="{9009FB97-3C04-4935-AFDA-6CA681D2E14E}">
    <text>TARJETA</text>
  </threadedComment>
  <threadedComment ref="H198" dT="2025-05-26T22:16:28.00" personId="{86AA2667-3936-4BBD-A6E6-AB08F2D8D7E6}" id="{013CDC3F-6BE9-45BA-8EF6-A73E996F10A9}">
    <text>transferencia</text>
  </threadedComment>
  <threadedComment ref="H199" dT="2025-05-26T22:16:35.00" personId="{86AA2667-3936-4BBD-A6E6-AB08F2D8D7E6}" id="{D85A46BF-7495-4B19-96FF-95E714FBFACD}">
    <text>transferencia</text>
  </threadedComment>
  <threadedComment ref="H201" dT="2025-05-26T20:47:56.00" personId="{86AA2667-3936-4BBD-A6E6-AB08F2D8D7E6}" id="{EC73D790-55F7-470F-9919-A349E8B2C044}">
    <text>TRANSFERENCIA</text>
  </threadedComment>
  <threadedComment ref="H202" dT="2025-05-27T13:58:38.00" personId="{86AA2667-3936-4BBD-A6E6-AB08F2D8D7E6}" id="{829C3B8F-018B-4CB2-907E-608D35CB09D2}">
    <text>TRANSFERENCIA - FACTURA</text>
  </threadedComment>
  <threadedComment ref="H207" dT="2025-05-27T21:12:26.00" personId="{86AA2667-3936-4BBD-A6E6-AB08F2D8D7E6}" id="{00C22556-BFEB-481D-B964-22B8125C5F90}">
    <text>transferencia</text>
  </threadedComment>
  <threadedComment ref="H210" dT="2025-05-28T19:08:12.00" personId="{86AA2667-3936-4BBD-A6E6-AB08F2D8D7E6}" id="{A75D1CC0-98BB-40F7-AC22-3E74A2D3A397}">
    <text>tarjeta</text>
  </threadedComment>
  <threadedComment ref="H211" dT="2025-05-28T19:08:18.00" personId="{86AA2667-3936-4BBD-A6E6-AB08F2D8D7E6}" id="{86810655-D348-4C20-AD19-0882B680769F}">
    <text>tarjeta</text>
  </threadedComment>
  <threadedComment ref="H216" dT="2025-05-29T16:52:01.00" personId="{86AA2667-3936-4BBD-A6E6-AB08F2D8D7E6}" id="{58FDBBA2-896F-41E9-963F-F468F69D186F}">
    <text>transferencia</text>
  </threadedComment>
  <threadedComment ref="H217" dT="2025-05-29T16:58:35.00" personId="{86AA2667-3936-4BBD-A6E6-AB08F2D8D7E6}" id="{9FE86E56-0BE1-48C6-A7E6-502DAD9261B3}">
    <text>tarjeta</text>
  </threadedComment>
  <threadedComment ref="H219" dT="2025-05-29T16:51:54.00" personId="{86AA2667-3936-4BBD-A6E6-AB08F2D8D7E6}" id="{D9D99F93-622D-4466-8F19-DD9EB6811F6F}">
    <text>transferencia</text>
  </threadedComment>
  <threadedComment ref="H222" dT="2025-05-29T22:49:20.00" personId="{86AA2667-3936-4BBD-A6E6-AB08F2D8D7E6}" id="{E59A80E0-B1C0-4428-BBA9-6AA5AAB008A4}">
    <text>transferencia</text>
  </threadedComment>
  <threadedComment ref="H223" dT="2025-05-29T22:51:25.00" personId="{86AA2667-3936-4BBD-A6E6-AB08F2D8D7E6}" id="{BB7BDF46-16C9-4AA6-AE79-B42B477038B5}">
    <text>tarjeta</text>
  </threadedComment>
  <threadedComment ref="H224" dT="2025-05-29T20:05:15.00" personId="{86AA2667-3936-4BBD-A6E6-AB08F2D8D7E6}" id="{86EA508D-CFD2-4704-A824-1EEF88B93799}">
    <text>tarjeta</text>
  </threadedComment>
  <threadedComment ref="H225" dT="2025-05-29T20:05:21.00" personId="{86AA2667-3936-4BBD-A6E6-AB08F2D8D7E6}" id="{3BBDCC78-B475-4903-BD50-D4231405DDD6}">
    <text>tarjeta</text>
  </threadedComment>
  <threadedComment ref="H226" dT="2025-05-29T22:35:48.00" personId="{86AA2667-3936-4BBD-A6E6-AB08F2D8D7E6}" id="{86027A60-F29E-428C-A6C7-7AD914586759}">
    <text>tarjeta</text>
  </threadedComment>
  <threadedComment ref="H230" dT="2025-05-30T16:40:35.00" personId="{86AA2667-3936-4BBD-A6E6-AB08F2D8D7E6}" id="{A69AC208-DF13-4E81-8073-E13DF5C8FEC5}">
    <text>Tarjeta</text>
  </threadedComment>
  <threadedComment ref="H231" dT="2025-05-30T19:05:58.00" personId="{86AA2667-3936-4BBD-A6E6-AB08F2D8D7E6}" id="{2AFA5254-42A3-4FD1-9AF7-71663BD31C43}">
    <text>tarjeta</text>
  </threadedComment>
  <threadedComment ref="H232" dT="2025-05-30T19:57:41.00" personId="{86AA2667-3936-4BBD-A6E6-AB08F2D8D7E6}" id="{18F006BE-759A-4997-8242-53B4EE23B6CB}">
    <text>transferencia</text>
  </threadedComment>
  <threadedComment ref="H235" dT="2025-05-31T15:51:03.00" personId="{86AA2667-3936-4BBD-A6E6-AB08F2D8D7E6}" id="{24B70249-8DD0-4EF7-8AFB-A9077338DA75}">
    <text>transferencia</text>
  </threadedComment>
  <threadedComment ref="H242" dT="2025-06-03T13:29:44.00" personId="{86AA2667-3936-4BBD-A6E6-AB08F2D8D7E6}" id="{2235B6DF-57B7-4D6A-9C27-0199631CF957}">
    <text>tarjeta</text>
  </threadedComment>
  <threadedComment ref="H243" dT="2025-06-03T13:29:49.00" personId="{86AA2667-3936-4BBD-A6E6-AB08F2D8D7E6}" id="{0367EC57-BFFF-44DB-880B-7762EF69C728}">
    <text>tarjeta</text>
  </threadedComment>
  <threadedComment ref="H244" dT="2025-05-31T21:28:41.00" personId="{86AA2667-3936-4BBD-A6E6-AB08F2D8D7E6}" id="{21472DB0-36BE-40DF-B966-D2F78AF3F267}">
    <text>transferencia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3" dT="2025-06-03T16:02:40.00" personId="{86AA2667-3936-4BBD-A6E6-AB08F2D8D7E6}" id="{1D8FE894-5E21-4ABF-92A4-943F5FB1E740}">
    <text>transferencia</text>
  </threadedComment>
  <threadedComment ref="H7" dT="2025-06-03T22:43:09.00" personId="{86AA2667-3936-4BBD-A6E6-AB08F2D8D7E6}" id="{6D4F0F72-8156-4F1D-8734-C1ACE47C9154}">
    <text>Tarjeta</text>
  </threadedComment>
  <threadedComment ref="H10" dT="2025-06-03T22:28:01.00" personId="{86AA2667-3936-4BBD-A6E6-AB08F2D8D7E6}" id="{573409C6-C199-499D-AC0D-E441B9CB9FEA}">
    <text>TARJETA</text>
  </threadedComment>
  <threadedComment ref="H12" dT="2025-06-03T22:33:23.00" personId="{86AA2667-3936-4BBD-A6E6-AB08F2D8D7E6}" id="{416F224D-8142-4C8F-9500-B460A500059F}">
    <text>transferencia</text>
  </threadedComment>
  <threadedComment ref="H19" dT="2025-06-04T22:22:41.00" personId="{86AA2667-3936-4BBD-A6E6-AB08F2D8D7E6}" id="{673E5015-631F-49F3-B642-BFF5380BC945}">
    <text>tarjeta</text>
  </threadedComment>
  <threadedComment ref="H21" dT="2025-06-07T13:26:54.00" personId="{86AA2667-3936-4BBD-A6E6-AB08F2D8D7E6}" id="{34B82DDD-0270-40FB-B787-F6C5E3CE7EAF}">
    <text>transferencia</text>
  </threadedComment>
  <threadedComment ref="H22" dT="2025-06-05T16:43:46.00" personId="{86AA2667-3936-4BBD-A6E6-AB08F2D8D7E6}" id="{C7B5785C-5358-4092-B9BD-BC0B093F47E6}">
    <text>factura</text>
  </threadedComment>
  <threadedComment ref="H23" dT="2025-06-05T16:15:15.00" personId="{86AA2667-3936-4BBD-A6E6-AB08F2D8D7E6}" id="{F6E0DF5D-B3FE-4C1A-BBE3-784FA1A43994}">
    <text>Tarjeta</text>
  </threadedComment>
  <threadedComment ref="H26" dT="2025-06-06T13:14:41.00" personId="{86AA2667-3936-4BBD-A6E6-AB08F2D8D7E6}" id="{00D9A605-55C4-4FF2-8A7B-F86D2195624A}">
    <text>transferencia</text>
  </threadedComment>
  <threadedComment ref="H27" dT="2025-06-05T22:29:13.00" personId="{86AA2667-3936-4BBD-A6E6-AB08F2D8D7E6}" id="{E7C6FFB8-A0C8-4E95-A779-C48D5C1DBF0D}">
    <text>tarjeta</text>
  </threadedComment>
  <threadedComment ref="H33" dT="2025-06-06T20:54:18.00" personId="{86AA2667-3936-4BBD-A6E6-AB08F2D8D7E6}" id="{CC57AEFB-7608-4808-88AC-E378885F5133}">
    <text>transferencia</text>
  </threadedComment>
  <threadedComment ref="H34" dT="2025-06-07T13:22:55.00" personId="{86AA2667-3936-4BBD-A6E6-AB08F2D8D7E6}" id="{A990C357-C68D-4CFA-B9AB-42689D2D0CA2}">
    <text>TRANSFERENCIA</text>
  </threadedComment>
  <threadedComment ref="H35" dT="2025-06-06T20:54:25.00" personId="{86AA2667-3936-4BBD-A6E6-AB08F2D8D7E6}" id="{945CCC70-6AF9-4390-A2F9-DDF4F6767960}">
    <text>transferencia</text>
  </threadedComment>
  <threadedComment ref="H37" dT="2025-06-07T13:09:34.00" personId="{86AA2667-3936-4BBD-A6E6-AB08F2D8D7E6}" id="{249E2828-DAD5-4C77-9BF5-9AD4635BE887}">
    <text>tarjeta</text>
  </threadedComment>
  <threadedComment ref="H38" dT="2025-06-07T13:23:07.00" personId="{86AA2667-3936-4BBD-A6E6-AB08F2D8D7E6}" id="{CE211950-20D0-4135-86B9-0A8B9D6F6880}">
    <text>TRANSFERENCIA</text>
  </threadedComment>
  <threadedComment ref="H40" dT="2025-06-07T19:00:16.00" personId="{86AA2667-3936-4BBD-A6E6-AB08F2D8D7E6}" id="{5831A802-1871-4DB4-9F23-11793FAE99CE}">
    <text>tarjeta</text>
  </threadedComment>
  <threadedComment ref="H44" dT="2025-06-07T20:32:38.00" personId="{86AA2667-3936-4BBD-A6E6-AB08F2D8D7E6}" id="{C36EAAD7-2EB7-4E57-8432-27E6A81FFF1D}">
    <text>TRANSFERENCIA</text>
  </threadedComment>
  <threadedComment ref="H45" dT="2025-06-07T19:07:51.00" personId="{86AA2667-3936-4BBD-A6E6-AB08F2D8D7E6}" id="{68EC00B5-220D-44A5-9C3F-3CA3DDC45754}">
    <text>tarjeta</text>
  </threadedComment>
  <threadedComment ref="H46" dT="2025-06-07T19:07:56.00" personId="{86AA2667-3936-4BBD-A6E6-AB08F2D8D7E6}" id="{666AF481-698B-4936-B439-AEC955135B36}">
    <text>tarjeta</text>
  </threadedComment>
  <threadedComment ref="H47" dT="2025-06-07T19:08:02.00" personId="{86AA2667-3936-4BBD-A6E6-AB08F2D8D7E6}" id="{A25F08DC-0729-4EDC-B2C1-4BF41AA58577}">
    <text>tarjeta</text>
  </threadedComment>
  <threadedComment ref="H48" dT="2025-06-07T15:27:21.00" personId="{86AA2667-3936-4BBD-A6E6-AB08F2D8D7E6}" id="{AF9B3B5F-B202-4096-96CB-BA4A7CE771B4}">
    <text>Transferencia</text>
  </threadedComment>
  <threadedComment ref="H51" dT="2025-06-09T16:24:46.00" personId="{86AA2667-3936-4BBD-A6E6-AB08F2D8D7E6}" id="{8F7DC84A-8B9C-48A0-9D51-CDCE8CE96D76}">
    <text>TRANSFERENCIA</text>
  </threadedComment>
  <threadedComment ref="H53" dT="2025-06-09T21:57:36.00" personId="{86AA2667-3936-4BBD-A6E6-AB08F2D8D7E6}" id="{F41005BE-8383-41E1-8B93-C2F0C2C977A4}">
    <text>tarjeta</text>
  </threadedComment>
  <threadedComment ref="H55" dT="2025-06-09T22:21:42.00" personId="{86AA2667-3936-4BBD-A6E6-AB08F2D8D7E6}" id="{AC746C4C-4FA7-4076-BC40-4141E83F85AD}">
    <text>TARJETA</text>
  </threadedComment>
  <threadedComment ref="H58" dT="2025-06-10T19:22:51.00" personId="{86AA2667-3936-4BBD-A6E6-AB08F2D8D7E6}" id="{716CC1EF-832B-4744-985A-D92B8D51E9D0}">
    <text>TRANSFERENCIA</text>
  </threadedComment>
  <threadedComment ref="H59" dT="2025-06-10T19:23:35.00" personId="{86AA2667-3936-4BBD-A6E6-AB08F2D8D7E6}" id="{B462BEEF-B13A-4564-9D87-B36C4468F109}">
    <text>TRANSFERENCIA</text>
  </threadedComment>
  <threadedComment ref="H64" dT="2025-06-11T16:22:38.00" personId="{86AA2667-3936-4BBD-A6E6-AB08F2D8D7E6}" id="{3220C1A9-1048-4431-B0B1-939701D96B1D}">
    <text>transferencia</text>
  </threadedComment>
  <threadedComment ref="H65" dT="2025-06-11T16:22:46.00" personId="{86AA2667-3936-4BBD-A6E6-AB08F2D8D7E6}" id="{FD814505-433D-4FF6-A41C-C2238826B0FD}">
    <text>transferencia</text>
  </threadedComment>
  <threadedComment ref="H66" dT="2025-06-11T16:45:41.00" personId="{86AA2667-3936-4BBD-A6E6-AB08F2D8D7E6}" id="{D805A905-4710-4835-A4D3-72CCE6B24C3A}">
    <text>tarjeta</text>
  </threadedComment>
  <threadedComment ref="H68" dT="2025-06-11T16:58:02.00" personId="{86AA2667-3936-4BBD-A6E6-AB08F2D8D7E6}" id="{094E4A60-8F94-4E5A-9723-3A4BF5BC9A0B}">
    <text>tarjeta</text>
  </threadedComment>
  <threadedComment ref="H70" dT="2025-06-11T19:22:48.00" personId="{86AA2667-3936-4BBD-A6E6-AB08F2D8D7E6}" id="{19B02639-D746-4F30-AB15-0D304B8EDEBD}">
    <text>Tarjeta</text>
  </threadedComment>
  <threadedComment ref="H74" dT="2025-06-12T21:26:07.00" personId="{86AA2667-3936-4BBD-A6E6-AB08F2D8D7E6}" id="{28C683F4-0968-4728-8A0A-FEF2386C825B}">
    <text>Tarjeta</text>
  </threadedComment>
  <threadedComment ref="H75" dT="2025-06-12T22:54:57.00" personId="{86AA2667-3936-4BBD-A6E6-AB08F2D8D7E6}" id="{99ECB6BD-2AC0-4A70-B87E-34AB3290B9DC}">
    <text>transferencia</text>
  </threadedComment>
  <threadedComment ref="H76" dT="2025-06-13T15:37:53.00" personId="{86AA2667-3936-4BBD-A6E6-AB08F2D8D7E6}" id="{CB76BE93-A110-4F67-88D9-41CFF6EE63CD}">
    <text>tarjeta</text>
  </threadedComment>
  <threadedComment ref="H77" dT="2025-06-13T15:37:46.00" personId="{86AA2667-3936-4BBD-A6E6-AB08F2D8D7E6}" id="{FBFB8559-75A3-4598-8003-A7CD75B3D129}">
    <text>tarjeta</text>
  </threadedComment>
  <threadedComment ref="H80" dT="2025-06-13T21:59:45.00" personId="{86AA2667-3936-4BBD-A6E6-AB08F2D8D7E6}" id="{61DB4174-29CD-4B7E-8E39-E541F52D0C77}">
    <text>transferencia</text>
  </threadedComment>
  <threadedComment ref="H81" dT="2025-06-13T22:11:48.00" personId="{86AA2667-3936-4BBD-A6E6-AB08F2D8D7E6}" id="{D8EA870B-C03C-4A6E-BEE7-8FA9535D487B}">
    <text>TARJETA</text>
  </threadedComment>
  <threadedComment ref="H84" dT="2025-06-14T15:21:53.00" personId="{86AA2667-3936-4BBD-A6E6-AB08F2D8D7E6}" id="{1BE40D62-BC73-4954-A2AC-04027F56FD08}">
    <text>tarjeta</text>
  </threadedComment>
  <threadedComment ref="H85" dT="2025-06-14T15:22:02.00" personId="{86AA2667-3936-4BBD-A6E6-AB08F2D8D7E6}" id="{E80955E6-FF3B-421E-AC32-664C44E6471B}">
    <text>tarjeta</text>
  </threadedComment>
  <threadedComment ref="H87" dT="2025-06-14T20:02:42.00" personId="{86AA2667-3936-4BBD-A6E6-AB08F2D8D7E6}" id="{38AB08E3-FE23-4850-BCFE-A4490E4977E1}">
    <text>transferencia</text>
  </threadedComment>
  <threadedComment ref="H90" dT="2025-06-14T21:47:20.00" personId="{86AA2667-3936-4BBD-A6E6-AB08F2D8D7E6}" id="{4D32F513-E0B3-454E-9E67-EFD3C32F9683}">
    <text>transferencia</text>
  </threadedComment>
  <threadedComment ref="H91" dT="2025-06-14T20:02:52.00" personId="{86AA2667-3936-4BBD-A6E6-AB08F2D8D7E6}" id="{018354EA-C408-4D98-ADDB-A58F1AB5B594}">
    <text>transferencia</text>
  </threadedComment>
  <threadedComment ref="H95" dT="2025-06-16T19:21:38.00" personId="{86AA2667-3936-4BBD-A6E6-AB08F2D8D7E6}" id="{39880006-A7BE-451D-BFC9-C33774B4F05D}">
    <text>TRANSFERENCIA</text>
  </threadedComment>
  <threadedComment ref="H96" dT="2025-06-16T19:21:44.00" personId="{86AA2667-3936-4BBD-A6E6-AB08F2D8D7E6}" id="{FDD5FC17-5F82-4116-A10E-C21754B2A7C8}">
    <text>TRANSFERENCIA</text>
  </threadedComment>
  <threadedComment ref="H104" dT="2025-06-17T21:55:46.00" personId="{86AA2667-3936-4BBD-A6E6-AB08F2D8D7E6}" id="{4373D590-C45E-4751-9C26-5DC6DA663CA8}">
    <text>Tarjeta</text>
  </threadedComment>
  <threadedComment ref="H105" dT="2025-06-17T22:40:33.00" personId="{86AA2667-3936-4BBD-A6E6-AB08F2D8D7E6}" id="{96030011-AFD6-4704-8697-F68243B2BF11}">
    <text>Transferencia</text>
  </threadedComment>
  <threadedComment ref="H106" dT="2025-06-17T22:17:27.00" personId="{86AA2667-3936-4BBD-A6E6-AB08F2D8D7E6}" id="{C8F34486-CD08-4E78-B7F1-B67D7F61A417}">
    <text>Transferencia</text>
  </threadedComment>
  <threadedComment ref="H108" dT="2025-06-18T15:17:53.00" personId="{86AA2667-3936-4BBD-A6E6-AB08F2D8D7E6}" id="{B4BC2BAD-402F-4176-B05D-9F519366C9D7}">
    <text>TRANSFERENCIA</text>
  </threadedComment>
  <threadedComment ref="H109" dT="2025-06-18T15:21:13.00" personId="{86AA2667-3936-4BBD-A6E6-AB08F2D8D7E6}" id="{E0C307F2-247F-4F3E-B533-5B7C16364838}">
    <text>TRANSFERENCIA</text>
  </threadedComment>
  <threadedComment ref="H110" dT="2025-06-18T15:39:13.00" personId="{86AA2667-3936-4BBD-A6E6-AB08F2D8D7E6}" id="{BC07D66F-8FF8-4FA1-9A84-087666041E99}">
    <text>FACTURA</text>
  </threadedComment>
  <threadedComment ref="H111" dT="2025-06-18T20:06:48.00" personId="{86AA2667-3936-4BBD-A6E6-AB08F2D8D7E6}" id="{9E5C8E6F-838D-47A6-8C96-D4B3FEA188E1}">
    <text>TRANSFERENCIA</text>
  </threadedComment>
  <threadedComment ref="H113" dT="2025-06-18T21:47:25.00" personId="{86AA2667-3936-4BBD-A6E6-AB08F2D8D7E6}" id="{0D360862-5B8F-4B95-8FEE-29AE63A51118}">
    <text>tarjeta</text>
  </threadedComment>
  <threadedComment ref="H121" dT="2025-06-20T15:58:32.00" personId="{86AA2667-3936-4BBD-A6E6-AB08F2D8D7E6}" id="{EE510AAF-9E38-434C-B301-8B48D89E9D0F}">
    <text>transferencia</text>
  </threadedComment>
  <threadedComment ref="H122" dT="2025-06-19T15:21:20.00" personId="{86AA2667-3936-4BBD-A6E6-AB08F2D8D7E6}" id="{4E0D3A13-8943-454F-A17D-2310EAE0347A}">
    <text>TRANSFERENCIA</text>
  </threadedComment>
  <threadedComment ref="H123" dT="2025-06-20T17:16:29.00" personId="{86AA2667-3936-4BBD-A6E6-AB08F2D8D7E6}" id="{83944B7F-C086-492D-9C05-999CADDC70F3}">
    <text>TRANSFERENCIA</text>
  </threadedComment>
  <threadedComment ref="H124" dT="2025-06-20T17:16:22.00" personId="{86AA2667-3936-4BBD-A6E6-AB08F2D8D7E6}" id="{A6510544-C074-4EBB-85D5-7063CE18EEA7}">
    <text>TRANSFERENCIA</text>
  </threadedComment>
  <threadedComment ref="H125" dT="2025-06-20T17:15:01.00" personId="{86AA2667-3936-4BBD-A6E6-AB08F2D8D7E6}" id="{5B1B0769-2D54-4800-A407-AE1C52980396}">
    <text>TRANSFEERNCIA</text>
  </threadedComment>
  <threadedComment ref="H130" dT="2025-06-21T13:25:11.00" personId="{86AA2667-3936-4BBD-A6E6-AB08F2D8D7E6}" id="{434160A0-BBAF-4FB5-A483-8BE515D37DB7}">
    <text>transferencia</text>
  </threadedComment>
  <threadedComment ref="H131" dT="2025-06-21T15:11:38.00" personId="{86AA2667-3936-4BBD-A6E6-AB08F2D8D7E6}" id="{D3E8782A-9EFF-4A5F-BC8B-6F6DAA1310C4}">
    <text>TARJETA</text>
  </threadedComment>
  <threadedComment ref="H137" dT="2025-06-21T17:04:48.00" personId="{86AA2667-3936-4BBD-A6E6-AB08F2D8D7E6}" id="{8B3CD602-E9FB-4CEF-8578-9CAF835234A7}">
    <text>tarjeta</text>
  </threadedComment>
  <threadedComment ref="H138" dT="2025-06-21T17:07:51.00" personId="{86AA2667-3936-4BBD-A6E6-AB08F2D8D7E6}" id="{1FB7D473-9695-4643-9C22-655EF1DDD988}">
    <text>tarjeta</text>
  </threadedComment>
  <threadedComment ref="H141" dT="2025-06-21T19:12:36.00" personId="{86AA2667-3936-4BBD-A6E6-AB08F2D8D7E6}" id="{CB19C0F2-7F9E-4FD8-98FF-F10CE9510DD5}">
    <text>tarjeta</text>
  </threadedComment>
  <threadedComment ref="H144" dT="2025-06-25T13:29:14.00" personId="{86AA2667-3936-4BBD-A6E6-AB08F2D8D7E6}" id="{2244DFBB-7708-4923-BDFD-DD786BC1E600}">
    <text>transferencia</text>
  </threadedComment>
  <threadedComment ref="H145" dT="2025-06-24T19:34:12.00" personId="{86AA2667-3936-4BBD-A6E6-AB08F2D8D7E6}" id="{F2D4E431-5383-4CCC-9A0A-E1FA946D0378}">
    <text>tarejta</text>
  </threadedComment>
  <threadedComment ref="H147" dT="2025-06-24T22:31:18.00" personId="{86AA2667-3936-4BBD-A6E6-AB08F2D8D7E6}" id="{3D3A7D75-3E35-46BF-97C3-387AE093793F}">
    <text>transferencia</text>
  </threadedComment>
  <threadedComment ref="H149" dT="2025-06-25T12:58:49.00" personId="{86AA2667-3936-4BBD-A6E6-AB08F2D8D7E6}" id="{5071C7C0-2238-4227-BC6A-1715CAE976E1}">
    <text>TRANSFERENCIA</text>
  </threadedComment>
  <threadedComment ref="H151" dT="2025-06-25T15:11:51.00" personId="{86AA2667-3936-4BBD-A6E6-AB08F2D8D7E6}" id="{79826DB7-28F0-4B8E-A2FF-199FCAEBD20D}">
    <text>transferencia</text>
  </threadedComment>
  <threadedComment ref="H152" dT="2025-06-25T15:45:48.00" personId="{86AA2667-3936-4BBD-A6E6-AB08F2D8D7E6}" id="{EF807B7D-EA4F-46BF-85FA-A849E805DF6C}">
    <text>transferencia</text>
  </threadedComment>
  <threadedComment ref="H153" dT="2025-06-27T13:28:18.00" personId="{86AA2667-3936-4BBD-A6E6-AB08F2D8D7E6}" id="{85EDBD52-3537-4BAB-9F7A-1C761C2E7125}">
    <text>transferencia</text>
  </threadedComment>
  <threadedComment ref="H154" dT="2025-06-27T13:28:25.00" personId="{86AA2667-3936-4BBD-A6E6-AB08F2D8D7E6}" id="{77DAAF83-9146-4C0F-9155-B8A38DD3ABF8}">
    <text>transferencia</text>
  </threadedComment>
  <threadedComment ref="H155" dT="2025-06-26T22:12:34.00" personId="{86AA2667-3936-4BBD-A6E6-AB08F2D8D7E6}" id="{4B5DC177-5D29-4F9A-8CDD-F40F601FB2C3}">
    <text>trasnsferencia</text>
  </threadedComment>
  <threadedComment ref="H156" dT="2025-06-26T22:12:41.00" personId="{86AA2667-3936-4BBD-A6E6-AB08F2D8D7E6}" id="{66781EEF-7D06-451E-A3C7-4F0B7F14B08A}">
    <text>transferencia</text>
  </threadedComment>
  <threadedComment ref="H161" dT="2025-06-26T16:31:16.00" personId="{86AA2667-3936-4BBD-A6E6-AB08F2D8D7E6}" id="{F851B70C-B5E6-4388-AF9C-74D254B5100B}">
    <text>Tarjeta</text>
  </threadedComment>
  <threadedComment ref="H162" dT="2025-06-26T16:31:26.00" personId="{86AA2667-3936-4BBD-A6E6-AB08F2D8D7E6}" id="{FC46A8EC-7B41-4B82-BF33-BABF8A3CBE84}">
    <text>Tarjeta</text>
  </threadedComment>
  <threadedComment ref="H163" dT="2025-06-26T16:31:33.00" personId="{86AA2667-3936-4BBD-A6E6-AB08F2D8D7E6}" id="{F99B8132-0D10-435F-977D-0DDAF9B8B38E}">
    <text>Tarjeta</text>
  </threadedComment>
  <threadedComment ref="H165" dT="2025-06-26T22:35:24.00" personId="{86AA2667-3936-4BBD-A6E6-AB08F2D8D7E6}" id="{D8CC0178-B11D-4FAE-95A6-DDBB7A13E427}">
    <text>tarjeta</text>
  </threadedComment>
  <threadedComment ref="H173" dT="2025-06-27T19:24:09.00" personId="{86AA2667-3936-4BBD-A6E6-AB08F2D8D7E6}" id="{99ABD894-040C-496D-91B1-A2D262AADEC2}">
    <text>transferencia</text>
  </threadedComment>
  <threadedComment ref="H175" dT="2025-06-27T22:40:12.00" personId="{86AA2667-3936-4BBD-A6E6-AB08F2D8D7E6}" id="{C7BA005A-7BA9-4051-9FD0-25561C48FF87}">
    <text>transferencia</text>
  </threadedComment>
  <threadedComment ref="H179" dT="2025-06-28T19:11:15.00" personId="{86AA2667-3936-4BBD-A6E6-AB08F2D8D7E6}" id="{99C16EEA-6E25-4766-A335-AA906A316CC3}">
    <text>transferencia</text>
  </threadedComment>
  <threadedComment ref="H180" dT="2025-06-28T19:11:08.00" personId="{86AA2667-3936-4BBD-A6E6-AB08F2D8D7E6}" id="{C9A4C1C0-C380-4ED0-860A-74A8ECF9563E}">
    <text>transferencia</text>
  </threadedComment>
  <threadedComment ref="H183" dT="2025-06-28T16:36:13.00" personId="{86AA2667-3936-4BBD-A6E6-AB08F2D8D7E6}" id="{76337446-6375-4A3C-89FB-37199ED31A0F}">
    <text>TRANSFERENCIA</text>
  </threadedComment>
  <threadedComment ref="H187" dT="2025-06-28T20:24:25.00" personId="{86AA2667-3936-4BBD-A6E6-AB08F2D8D7E6}" id="{9C8DF397-275B-4E6E-95A3-551D31037FF6}">
    <text>transferencia</text>
  </threadedComment>
  <threadedComment ref="H197" dT="2025-06-28T23:00:19.00" personId="{86AA2667-3936-4BBD-A6E6-AB08F2D8D7E6}" id="{0831095D-CBC2-4834-AA9A-C79BF9E4B5FA}">
    <text>transferencia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H3" dT="2025-07-01T21:04:41.00" personId="{86AA2667-3936-4BBD-A6E6-AB08F2D8D7E6}" id="{EED1E1AC-5F68-4E36-868E-4CDCF17FB905}">
    <text>Transferencia</text>
  </threadedComment>
  <threadedComment ref="H5" dT="2025-07-01T22:42:34.00" personId="{86AA2667-3936-4BBD-A6E6-AB08F2D8D7E6}" id="{FA0610BA-121F-43C7-8880-B70FD8626A25}">
    <text>TRANSFERENCIA</text>
  </threadedComment>
  <threadedComment ref="H6" dT="2025-07-01T22:44:53.00" personId="{86AA2667-3936-4BBD-A6E6-AB08F2D8D7E6}" id="{A9044A52-F439-4AAF-A149-97B7E8B47295}">
    <text>tarjeta</text>
  </threadedComment>
  <threadedComment ref="H8" dT="2025-07-02T13:05:17.00" personId="{86AA2667-3936-4BBD-A6E6-AB08F2D8D7E6}" id="{29614A3D-900F-494C-8405-E6BEB41719E0}">
    <text>transferencia</text>
  </threadedComment>
  <threadedComment ref="H9" dT="2025-07-01T22:57:01.00" personId="{86AA2667-3936-4BBD-A6E6-AB08F2D8D7E6}" id="{BF7F017F-DE98-4CC7-9413-E3A0B966DE88}">
    <text>tarjeta</text>
  </threadedComment>
  <threadedComment ref="H10" dT="2025-07-03T21:00:05.00" personId="{86AA2667-3936-4BBD-A6E6-AB08F2D8D7E6}" id="{C5470599-D5C0-487D-BE14-DBE171A36838}">
    <text>transferencia</text>
  </threadedComment>
  <threadedComment ref="H11" dT="2025-07-03T21:00:12.00" personId="{86AA2667-3936-4BBD-A6E6-AB08F2D8D7E6}" id="{67CCADA9-4A1D-4A38-8F5A-8BF13771D96C}">
    <text>transferencia</text>
  </threadedComment>
  <threadedComment ref="H12" dT="2025-07-02T19:11:00.00" personId="{86AA2667-3936-4BBD-A6E6-AB08F2D8D7E6}" id="{3B4AFEBE-D5AD-4593-85C5-04698BFE50FA}">
    <text>tarjeta</text>
  </threadedComment>
  <threadedComment ref="H16" dT="2025-07-02T20:46:34.00" personId="{86AA2667-3936-4BBD-A6E6-AB08F2D8D7E6}" id="{93A0CF13-5FD8-448F-A4F4-15B020893E29}">
    <text>tarjeta</text>
  </threadedComment>
  <threadedComment ref="H17" dT="2025-07-02T21:56:25.00" personId="{86AA2667-3936-4BBD-A6E6-AB08F2D8D7E6}" id="{B020C8EE-024A-4811-8964-C60AFA2D7112}">
    <text>tarjeta</text>
  </threadedComment>
  <threadedComment ref="H18" dT="2025-07-03T16:49:59.00" personId="{86AA2667-3936-4BBD-A6E6-AB08F2D8D7E6}" id="{C2C56B72-1B3A-4208-8A07-00F0F23F533A}">
    <text>transferencia</text>
  </threadedComment>
  <threadedComment ref="H19" dT="2025-07-03T16:06:41.00" personId="{86AA2667-3936-4BBD-A6E6-AB08F2D8D7E6}" id="{E44C7382-F0D5-469B-B2EF-0EC077B1A43E}">
    <text>transferencia</text>
  </threadedComment>
  <threadedComment ref="H20" dT="2025-07-03T13:21:06.00" personId="{86AA2667-3936-4BBD-A6E6-AB08F2D8D7E6}" id="{FDA910E7-6C4B-4A54-93BB-534F86856E9D}">
    <text>tarjeta</text>
  </threadedComment>
  <threadedComment ref="H26" dT="2025-07-03T19:48:39.00" personId="{86AA2667-3936-4BBD-A6E6-AB08F2D8D7E6}" id="{E0117344-C4B8-4380-8440-779BC5D36FA4}">
    <text>tarjeta</text>
  </threadedComment>
  <threadedComment ref="H27" dT="2025-07-03T19:48:45.00" personId="{86AA2667-3936-4BBD-A6E6-AB08F2D8D7E6}" id="{0E4C2ED2-3BEF-496E-946E-6A16C2633C35}">
    <text>tarjeta</text>
  </threadedComment>
  <threadedComment ref="H28" dT="2025-07-03T19:48:50.00" personId="{86AA2667-3936-4BBD-A6E6-AB08F2D8D7E6}" id="{801BC2A3-8E80-4DB5-9FA3-6A5016057FB9}">
    <text>tarjeta</text>
  </threadedComment>
  <threadedComment ref="H29" dT="2025-07-03T19:48:55.00" personId="{86AA2667-3936-4BBD-A6E6-AB08F2D8D7E6}" id="{F772E587-C571-482D-B11D-9E147794A88F}">
    <text>tarjeta</text>
  </threadedComment>
  <threadedComment ref="H33" dT="2025-07-04T16:43:34.00" personId="{86AA2667-3936-4BBD-A6E6-AB08F2D8D7E6}" id="{455D5E51-4FD6-4614-BBAE-4B015A3E35BF}">
    <text>transferencia</text>
  </threadedComment>
  <threadedComment ref="H34" dT="2025-07-04T16:43:30.00" personId="{86AA2667-3936-4BBD-A6E6-AB08F2D8D7E6}" id="{756A8351-8483-44BB-9E74-4195CAEB6969}">
    <text>transferencia</text>
  </threadedComment>
  <threadedComment ref="H35" dT="2025-07-04T16:43:25.00" personId="{86AA2667-3936-4BBD-A6E6-AB08F2D8D7E6}" id="{E712C9AD-5267-4CD9-B831-194D9B022826}">
    <text>transferencia</text>
  </threadedComment>
  <threadedComment ref="H36" dT="2025-07-04T16:43:21.00" personId="{86AA2667-3936-4BBD-A6E6-AB08F2D8D7E6}" id="{6A7040D2-0617-4225-9E64-0C492C0055D5}">
    <text>transferencia</text>
  </threadedComment>
  <threadedComment ref="H37" dT="2025-07-04T16:43:15.00" personId="{86AA2667-3936-4BBD-A6E6-AB08F2D8D7E6}" id="{306BD30A-5221-4457-94D6-22803B3D7FDA}">
    <text>transferencia</text>
  </threadedComment>
  <threadedComment ref="H40" dT="2025-07-04T21:57:52.00" personId="{86AA2667-3936-4BBD-A6E6-AB08F2D8D7E6}" id="{5E5B0916-569E-4488-B866-4BE3537720B1}">
    <text>TRANSFERENCIA</text>
  </threadedComment>
  <threadedComment ref="H41" dT="2025-07-04T21:58:01.00" personId="{86AA2667-3936-4BBD-A6E6-AB08F2D8D7E6}" id="{719E549E-38C5-46E3-A8C4-2A04984E10EE}">
    <text>TRANSFERENCIA</text>
  </threadedComment>
  <threadedComment ref="H45" dT="2025-07-05T12:27:31.00" personId="{86AA2667-3936-4BBD-A6E6-AB08F2D8D7E6}" id="{74726E7B-7EC6-4CCD-95B7-55327F2AAF78}">
    <text>transferencia</text>
  </threadedComment>
  <threadedComment ref="H46" dT="2025-07-07T12:53:37.00" personId="{86AA2667-3936-4BBD-A6E6-AB08F2D8D7E6}" id="{AF025E4C-B9EC-4316-8A07-533B62609E1B}">
    <text>tarjeta</text>
  </threadedComment>
  <threadedComment ref="H48" dT="2025-07-04T21:43:08.00" personId="{86AA2667-3936-4BBD-A6E6-AB08F2D8D7E6}" id="{3197696E-B98A-4C24-B282-75664E27B1F4}">
    <text>TARJETA</text>
  </threadedComment>
  <threadedComment ref="H49" dT="2025-07-04T21:43:15.00" personId="{86AA2667-3936-4BBD-A6E6-AB08F2D8D7E6}" id="{3D76C438-2AE2-4120-A666-C5F36F50A7DD}">
    <text>TARJETA</text>
  </threadedComment>
  <threadedComment ref="H50" dT="2025-07-07T12:54:15.00" personId="{86AA2667-3936-4BBD-A6E6-AB08F2D8D7E6}" id="{25FAC22B-0CF7-48FD-BD0F-5AE52F901816}">
    <text>55 tarjeta 25 efectivo</text>
  </threadedComment>
  <threadedComment ref="H52" dT="2025-07-05T15:18:32.00" personId="{86AA2667-3936-4BBD-A6E6-AB08F2D8D7E6}" id="{3EA58424-83DF-476B-BA7F-1B24B45AD445}">
    <text>transferencia</text>
  </threadedComment>
  <threadedComment ref="H54" dT="2025-07-05T22:06:15.00" personId="{86AA2667-3936-4BBD-A6E6-AB08F2D8D7E6}" id="{DBC19C91-ACCF-4C06-BDD7-BBE7EB9B2A15}">
    <text>tarjeta</text>
  </threadedComment>
  <threadedComment ref="H55" dT="2025-07-05T22:06:09.00" personId="{86AA2667-3936-4BBD-A6E6-AB08F2D8D7E6}" id="{4B15112F-F84B-4AA2-9AE1-004DD4D5C8D7}">
    <text>tarjeta</text>
  </threadedComment>
  <threadedComment ref="H56" dT="2025-07-05T22:50:48.00" personId="{86AA2667-3936-4BBD-A6E6-AB08F2D8D7E6}" id="{5E84C7B2-D2D9-43EA-A9DF-4830D61A2269}">
    <text>tarjeta</text>
  </threadedComment>
  <threadedComment ref="H57" dT="2025-07-05T23:00:32.00" personId="{86AA2667-3936-4BBD-A6E6-AB08F2D8D7E6}" id="{476FAB31-5B73-49CF-973F-2670F993AE10}">
    <text>tarjeta</text>
  </threadedComment>
  <threadedComment ref="H58" dT="2025-07-07T12:53:19.00" personId="{86AA2667-3936-4BBD-A6E6-AB08F2D8D7E6}" id="{4E5ED243-0EBD-47A8-AF32-E2155212B020}">
    <text>tarjeta - max 04</text>
  </threadedComment>
  <threadedComment ref="H59" dT="2025-07-05T23:03:08.00" personId="{86AA2667-3936-4BBD-A6E6-AB08F2D8D7E6}" id="{429AE2B2-48E3-4808-9558-C576BAAF4415}">
    <text>tarejeta</text>
  </threadedComment>
  <threadedComment ref="H61" dT="2025-07-07T20:27:53.00" personId="{86AA2667-3936-4BBD-A6E6-AB08F2D8D7E6}" id="{0F67605F-F8EA-44F4-835A-CFED3B880A31}">
    <text>TARJETA</text>
  </threadedComment>
  <threadedComment ref="H62" dT="2025-07-07T20:28:00.00" personId="{86AA2667-3936-4BBD-A6E6-AB08F2D8D7E6}" id="{7460F9E5-27C9-4681-9B0B-CA800A438805}">
    <text>TARJETA</text>
  </threadedComment>
  <threadedComment ref="H64" dT="2025-07-08T14:07:56.00" personId="{86AA2667-3936-4BBD-A6E6-AB08F2D8D7E6}" id="{D22B1681-7FDA-4276-9A93-6EC972DB5B06}">
    <text>transferencia</text>
  </threadedComment>
  <threadedComment ref="H65" dT="2025-07-08T14:08:05.00" personId="{86AA2667-3936-4BBD-A6E6-AB08F2D8D7E6}" id="{35E62589-4A54-4923-8D70-AA862929DE1C}">
    <text>transferencia</text>
  </threadedComment>
  <threadedComment ref="H66" dT="2025-07-07T21:42:21.00" personId="{86AA2667-3936-4BBD-A6E6-AB08F2D8D7E6}" id="{7F19BE7F-DF28-4478-A2E2-41FADDAE3004}">
    <text>tarjeta</text>
  </threadedComment>
  <threadedComment ref="H77" dT="2025-07-08T21:33:04.00" personId="{86AA2667-3936-4BBD-A6E6-AB08F2D8D7E6}" id="{33873284-D34C-45D2-9FEA-A64F2CB0CC3A}">
    <text>Transferencia</text>
  </threadedComment>
  <threadedComment ref="H79" dT="2025-07-08T23:03:44.00" personId="{86AA2667-3936-4BBD-A6E6-AB08F2D8D7E6}" id="{626DF9B0-C967-4C8F-AA18-394E2AB6A8E3}">
    <text>Transferencia</text>
  </threadedComment>
  <threadedComment ref="H80" dT="2025-07-08T21:33:52.00" personId="{86AA2667-3936-4BBD-A6E6-AB08F2D8D7E6}" id="{2B25CCA6-BDF0-436F-A5D5-0DE3546722A2}">
    <text>Transferencia</text>
  </threadedComment>
  <threadedComment ref="H82" dT="2025-07-09T15:44:21.00" personId="{86AA2667-3936-4BBD-A6E6-AB08F2D8D7E6}" id="{D9C06C73-CDDD-4622-95F1-BE3FD44D83CB}">
    <text>tarjeta</text>
  </threadedComment>
  <threadedComment ref="H86" dT="2025-07-09T16:59:46.00" personId="{86AA2667-3936-4BBD-A6E6-AB08F2D8D7E6}" id="{4480A9AA-D455-4206-9CF3-ECC1F2D8D146}">
    <text>transferencia</text>
  </threadedComment>
  <threadedComment ref="H87" dT="2025-07-09T16:43:26.00" personId="{86AA2667-3936-4BBD-A6E6-AB08F2D8D7E6}" id="{B05AE2E6-8208-4B11-9524-36E0D1C65509}">
    <text>tarjeta</text>
  </threadedComment>
  <threadedComment ref="H91" dT="2025-07-09T22:10:19.00" personId="{86AA2667-3936-4BBD-A6E6-AB08F2D8D7E6}" id="{0EEEE3A7-0812-4260-83C0-ADE77EEB4190}">
    <text>TRANSFERENCIA</text>
  </threadedComment>
  <threadedComment ref="H92" dT="2025-07-09T22:10:27.00" personId="{86AA2667-3936-4BBD-A6E6-AB08F2D8D7E6}" id="{BFB2C177-8955-4926-9497-AD8EC567FADE}">
    <text>TRANSFERENCIA</text>
  </threadedComment>
  <threadedComment ref="H99" dT="2025-07-10T20:15:55.00" personId="{86AA2667-3936-4BBD-A6E6-AB08F2D8D7E6}" id="{05986554-0D58-4B9D-8671-056B84335E07}">
    <text>TARJETA</text>
  </threadedComment>
  <threadedComment ref="H106" dT="2025-07-11T16:41:17.00" personId="{86AA2667-3936-4BBD-A6E6-AB08F2D8D7E6}" id="{3EE7DEC8-46DF-41EC-A213-57EF83117C04}">
    <text>TRANSFERENCIA</text>
  </threadedComment>
  <threadedComment ref="H114" dT="2025-07-12T14:57:33.00" personId="{86AA2667-3936-4BBD-A6E6-AB08F2D8D7E6}" id="{66802EB1-1DB7-48EB-AF74-868C7A9A305C}">
    <text>Tarjeta</text>
  </threadedComment>
  <threadedComment ref="H115" dT="2025-07-12T15:34:31.00" personId="{86AA2667-3936-4BBD-A6E6-AB08F2D8D7E6}" id="{0E682D0E-00FA-43C9-AA1E-8BF8A30A0C8B}">
    <text>Transferencia</text>
  </threadedComment>
  <threadedComment ref="H116" dT="2025-07-12T20:54:37.00" personId="{86AA2667-3936-4BBD-A6E6-AB08F2D8D7E6}" id="{FB7DCFB5-54A9-4E79-ACB8-180A8F02BCFC}">
    <text>Transferencia</text>
  </threadedComment>
  <threadedComment ref="H123" dT="2025-07-12T21:20:44.00" personId="{86AA2667-3936-4BBD-A6E6-AB08F2D8D7E6}" id="{799FFF51-F1B1-454D-88CF-699DBB5E59A6}">
    <text>Transferencia</text>
  </threadedComment>
  <threadedComment ref="H124" dT="2025-07-12T23:05:15.00" personId="{86AA2667-3936-4BBD-A6E6-AB08F2D8D7E6}" id="{DF20D6C8-629D-456B-8056-6F963E86BEBA}">
    <text>Transferencia</text>
  </threadedComment>
  <threadedComment ref="H127" dT="2025-07-12T21:56:27.00" personId="{86AA2667-3936-4BBD-A6E6-AB08F2D8D7E6}" id="{A3B83AC0-2FAD-4CDA-A142-0DE7C9FEBCCA}">
    <text>Transferencia</text>
  </threadedComment>
  <threadedComment ref="H128" dT="2025-07-14T15:52:15.00" personId="{86AA2667-3936-4BBD-A6E6-AB08F2D8D7E6}" id="{E46013E7-E97F-459E-9C5A-6BFF3474D80F}">
    <text>Transferencia</text>
  </threadedComment>
  <threadedComment ref="H129" dT="2025-07-14T15:52:32.00" personId="{86AA2667-3936-4BBD-A6E6-AB08F2D8D7E6}" id="{AEEE30B4-2D90-4E97-87C7-130D2FF32288}">
    <text>Transferencia</text>
  </threadedComment>
  <threadedComment ref="H130" dT="2025-07-15T15:07:12.00" personId="{86AA2667-3936-4BBD-A6E6-AB08F2D8D7E6}" id="{781A9DA0-9629-461A-B26C-652871AC9198}">
    <text>TARJETA</text>
  </threadedComment>
  <threadedComment ref="H131" dT="2025-07-15T15:07:52.00" personId="{86AA2667-3936-4BBD-A6E6-AB08F2D8D7E6}" id="{BAEE5A65-AB9D-4026-8E7D-C40076CFA29D}">
    <text>TARJETA</text>
  </threadedComment>
  <threadedComment ref="H132" dT="2025-07-15T15:07:58.00" personId="{86AA2667-3936-4BBD-A6E6-AB08F2D8D7E6}" id="{E882B4D8-7755-47BB-9305-5FF2B1F9182D}">
    <text>TARJETA</text>
  </threadedComment>
  <threadedComment ref="H133" dT="2025-07-14T22:34:15.00" personId="{86AA2667-3936-4BBD-A6E6-AB08F2D8D7E6}" id="{8C6AABE9-F793-45FF-A470-751C5D3E0659}">
    <text>Transferencia</text>
  </threadedComment>
  <threadedComment ref="H136" dT="2025-07-16T14:13:54.00" personId="{86AA2667-3936-4BBD-A6E6-AB08F2D8D7E6}" id="{F47D2416-08AA-4247-974B-8D63BB504FFB}">
    <text>TRANSFERENCIA</text>
  </threadedComment>
  <threadedComment ref="H138" dT="2025-07-15T21:09:14.00" personId="{86AA2667-3936-4BBD-A6E6-AB08F2D8D7E6}" id="{A4F87F03-1E8E-416C-8180-3186050CD619}">
    <text>Transferencia</text>
  </threadedComment>
  <threadedComment ref="H146" dT="2025-07-16T22:12:14.00" personId="{86AA2667-3936-4BBD-A6E6-AB08F2D8D7E6}" id="{D8D84702-C2AB-408C-82E7-4C92F0C2BAA7}">
    <text>transferencia</text>
  </threadedComment>
  <threadedComment ref="H147" dT="2025-07-16T22:44:55.00" personId="{86AA2667-3936-4BBD-A6E6-AB08F2D8D7E6}" id="{9E865F64-F237-44DD-A444-BE5E5BCA9120}">
    <text>tarjeta</text>
  </threadedComment>
  <threadedComment ref="H148" dT="2025-07-16T22:45:03.00" personId="{86AA2667-3936-4BBD-A6E6-AB08F2D8D7E6}" id="{E9E95521-B791-4613-BC2D-A1FDF3D3C8E2}">
    <text>tarjeta</text>
  </threadedComment>
  <threadedComment ref="H149" dT="2025-07-16T21:20:46.00" personId="{86AA2667-3936-4BBD-A6E6-AB08F2D8D7E6}" id="{457267DD-B746-4F5F-9B84-8863EECE9C61}">
    <text>TARJETA</text>
  </threadedComment>
  <threadedComment ref="H150" dT="2025-07-17T21:26:14.00" personId="{86AA2667-3936-4BBD-A6E6-AB08F2D8D7E6}" id="{AFAFBBDE-BF2C-4BFF-AC91-2866CF938728}">
    <text>Tarjeta</text>
  </threadedComment>
  <threadedComment ref="H152" dT="2025-07-21T14:57:35.00" personId="{86AA2667-3936-4BBD-A6E6-AB08F2D8D7E6}" id="{3039CFAC-07D9-4A0A-89A0-96BDC2215C3D}">
    <text>tarjeta</text>
  </threadedComment>
  <threadedComment ref="H154" dT="2025-07-21T15:04:33.00" personId="{86AA2667-3936-4BBD-A6E6-AB08F2D8D7E6}" id="{E38F5603-98C1-4AD4-A4D1-A4BE02870E0F}">
    <text>transferencia</text>
  </threadedComment>
  <threadedComment ref="H159" dT="2025-07-18T13:39:27.00" personId="{86AA2667-3936-4BBD-A6E6-AB08F2D8D7E6}" id="{AC83D723-B0E8-4C14-88C8-6B96B4BAC63A}">
    <text>Transferencia</text>
  </threadedComment>
  <threadedComment ref="H160" dT="2025-07-18T15:42:14.00" personId="{86AA2667-3936-4BBD-A6E6-AB08F2D8D7E6}" id="{5E1760D1-75DA-42AE-AE34-5C21D61CE3C8}">
    <text>Tarjeta</text>
  </threadedComment>
  <threadedComment ref="H163" dT="2025-07-18T22:51:24.00" personId="{86AA2667-3936-4BBD-A6E6-AB08F2D8D7E6}" id="{31F2B9FF-8144-4AF2-A03F-43AF10B003FE}">
    <text>Transferencia</text>
  </threadedComment>
  <threadedComment ref="H164" dT="2025-07-18T20:56:45.00" personId="{86AA2667-3936-4BBD-A6E6-AB08F2D8D7E6}" id="{5CEE57F8-8A59-41FE-ABDA-83715BE57EF5}">
    <text>Transferencia</text>
  </threadedComment>
  <threadedComment ref="H165" dT="2025-07-18T22:34:06.00" personId="{86AA2667-3936-4BBD-A6E6-AB08F2D8D7E6}" id="{BC22A7BF-CECB-4571-BE08-C06406F2C0A3}">
    <text>Transferencia</text>
  </threadedComment>
  <threadedComment ref="H167" dT="2025-07-19T13:43:19.00" personId="{86AA2667-3936-4BBD-A6E6-AB08F2D8D7E6}" id="{1FAA760E-6E9A-438E-BEA7-2A3473CDF7E4}">
    <text>Transferencia</text>
  </threadedComment>
  <threadedComment ref="H168" dT="2025-07-19T16:41:51.00" personId="{86AA2667-3936-4BBD-A6E6-AB08F2D8D7E6}" id="{883D96F3-3374-404F-BA43-A77993BB0D86}">
    <text>Transferencia</text>
  </threadedComment>
  <threadedComment ref="H169" dT="2025-07-19T19:06:45.00" personId="{86AA2667-3936-4BBD-A6E6-AB08F2D8D7E6}" id="{7D1BF468-2A43-4470-9DF5-BFA927E7B53F}">
    <text>Transferencia</text>
  </threadedComment>
  <threadedComment ref="H173" dT="2025-07-19T19:44:52.00" personId="{86AA2667-3936-4BBD-A6E6-AB08F2D8D7E6}" id="{2E832B62-AECF-4C80-898F-D94C9764CA24}">
    <text>Transferencia</text>
  </threadedComment>
  <threadedComment ref="H174" dT="2025-07-19T19:44:33.00" personId="{86AA2667-3936-4BBD-A6E6-AB08F2D8D7E6}" id="{346B7F39-0B76-4FC1-B789-8A69F77270D2}">
    <text>Transferencia</text>
  </threadedComment>
  <threadedComment ref="H176" dT="2025-07-19T16:19:56.00" personId="{86AA2667-3936-4BBD-A6E6-AB08F2D8D7E6}" id="{A3567B78-864E-42B4-A405-31CB10E88D2D}">
    <text>Transferencia</text>
  </threadedComment>
  <threadedComment ref="H180" dT="2025-07-21T22:27:05.00" personId="{86AA2667-3936-4BBD-A6E6-AB08F2D8D7E6}" id="{2AEE0050-DAE1-45CE-AD91-2B9F6620FDBA}">
    <text>Transferencia</text>
  </threadedComment>
  <threadedComment ref="H186" dT="2025-07-22T21:40:07.00" personId="{86AA2667-3936-4BBD-A6E6-AB08F2D8D7E6}" id="{801AF8FA-1013-439B-9AEA-069D7BEA7959}">
    <text>TRANSFERENCIA</text>
  </threadedComment>
  <threadedComment ref="H188" dT="2025-07-22T21:42:51.00" personId="{86AA2667-3936-4BBD-A6E6-AB08F2D8D7E6}" id="{D6537820-C46B-496E-AF6A-77B867ADF498}">
    <text>transferencia</text>
  </threadedComment>
  <threadedComment ref="H189" dT="2025-07-22T21:42:58.00" personId="{86AA2667-3936-4BBD-A6E6-AB08F2D8D7E6}" id="{236DCEE3-EE9C-4497-82B1-53CE30167EFD}">
    <text>transferencia</text>
  </threadedComment>
  <threadedComment ref="H192" dT="2025-07-23T22:39:39.00" personId="{86AA2667-3936-4BBD-A6E6-AB08F2D8D7E6}" id="{14675B39-CFAF-4984-B2E4-52E792B7B245}">
    <text>transferencia</text>
  </threadedComment>
  <threadedComment ref="H194" dT="2025-07-23T22:01:53.00" personId="{86AA2667-3936-4BBD-A6E6-AB08F2D8D7E6}" id="{AD635C83-3B91-46B6-9B90-AEE4E40680FB}">
    <text>TRANSFERENCIA</text>
  </threadedComment>
  <threadedComment ref="H195" dT="2025-07-24T13:14:53.00" personId="{86AA2667-3936-4BBD-A6E6-AB08F2D8D7E6}" id="{84D8F096-5752-47B0-B03F-4E9399D010CF}">
    <text>Transferencia</text>
  </threadedComment>
  <threadedComment ref="H200" dT="2025-07-25T15:19:38.00" personId="{86AA2667-3936-4BBD-A6E6-AB08F2D8D7E6}" id="{E5DE330E-4E51-4C73-A6A9-89891489C313}">
    <text>Transferencia</text>
  </threadedComment>
  <threadedComment ref="H204" dT="2025-07-25T15:49:33.00" personId="{86AA2667-3936-4BBD-A6E6-AB08F2D8D7E6}" id="{9F9734C1-79B1-49D7-A18E-E8E226014DA7}">
    <text>Transferencia</text>
  </threadedComment>
  <threadedComment ref="H210" dT="2025-07-25T22:29:17.00" personId="{86AA2667-3936-4BBD-A6E6-AB08F2D8D7E6}" id="{C176F9DC-71FF-457D-8DA1-E5513532C314}">
    <text>Transferencia</text>
  </threadedComment>
  <threadedComment ref="H213" dT="2025-07-26T13:40:06.00" personId="{86AA2667-3936-4BBD-A6E6-AB08F2D8D7E6}" id="{03A9CA7D-BBB7-4AF8-946A-6A526761E908}">
    <text>tarjeta</text>
  </threadedComment>
  <threadedComment ref="H214" dT="2025-07-26T13:40:12.00" personId="{86AA2667-3936-4BBD-A6E6-AB08F2D8D7E6}" id="{A4E06318-01AE-4BDD-85D4-9894BE7E466E}">
    <text>tarjeta</text>
  </threadedComment>
  <threadedComment ref="H215" dT="2025-07-26T13:40:19.00" personId="{86AA2667-3936-4BBD-A6E6-AB08F2D8D7E6}" id="{0AF55998-4651-4097-86E8-4D74D4D23343}">
    <text>tarjeta</text>
  </threadedComment>
  <threadedComment ref="H216" dT="2025-07-28T14:11:52.00" personId="{86AA2667-3936-4BBD-A6E6-AB08F2D8D7E6}" id="{6E869780-5388-4D19-8E0A-E9D519BA1F5B}">
    <text>transferencia</text>
  </threadedComment>
  <threadedComment ref="H218" dT="2025-07-26T16:34:32.00" personId="{86AA2667-3936-4BBD-A6E6-AB08F2D8D7E6}" id="{64CB1850-9107-45C5-B0AF-0326127ED772}">
    <text>transferencia</text>
  </threadedComment>
  <threadedComment ref="H219" dT="2025-07-26T21:26:48.00" personId="{86AA2667-3936-4BBD-A6E6-AB08F2D8D7E6}" id="{C2724106-2B1E-4970-96FE-C3206094484F}">
    <text>transferencia</text>
  </threadedComment>
  <threadedComment ref="H221" dT="2025-07-26T22:22:09.00" personId="{86AA2667-3936-4BBD-A6E6-AB08F2D8D7E6}" id="{A493A747-0FBF-4B6D-A650-B622E178810A}">
    <text>TRANSFERENCIA</text>
  </threadedComment>
  <threadedComment ref="H222" dT="2025-07-26T19:57:27.00" personId="{86AA2667-3936-4BBD-A6E6-AB08F2D8D7E6}" id="{808520C5-46B2-4A96-B826-3444336A2785}">
    <text>TARJETA</text>
  </threadedComment>
  <threadedComment ref="H224" dT="2025-07-26T16:27:08.00" personId="{86AA2667-3936-4BBD-A6E6-AB08F2D8D7E6}" id="{28BD2CB5-27F6-4F91-9153-6447139765CB}">
    <text>TRANSFERENCIA</text>
  </threadedComment>
  <threadedComment ref="H228" dT="2025-07-28T15:57:03.00" personId="{86AA2667-3936-4BBD-A6E6-AB08F2D8D7E6}" id="{3E8D8F2E-B2B8-4B90-9410-E9FE9F73D0CF}">
    <text>TRANSFERENCIA</text>
  </threadedComment>
  <threadedComment ref="H229" dT="2025-07-28T20:00:22.00" personId="{86AA2667-3936-4BBD-A6E6-AB08F2D8D7E6}" id="{53EB6BF4-7401-4ACC-9ED8-4623809BD37B}">
    <text>transferencia</text>
  </threadedComment>
  <threadedComment ref="H230" dT="2025-07-28T21:27:03.00" personId="{86AA2667-3936-4BBD-A6E6-AB08F2D8D7E6}" id="{8CFF15C2-7E87-464B-A3A2-12350C772C2F}">
    <text>transferencia</text>
  </threadedComment>
  <threadedComment ref="H233" dT="2025-07-29T15:31:03.00" personId="{86AA2667-3936-4BBD-A6E6-AB08F2D8D7E6}" id="{D3541471-FE18-439A-B3BD-3402BCDF889C}">
    <text>TRANSFERENCIA</text>
  </threadedComment>
  <threadedComment ref="H234" dT="2025-07-29T16:48:34.00" personId="{86AA2667-3936-4BBD-A6E6-AB08F2D8D7E6}" id="{75AE8B7D-0D23-4B6E-907E-B3AFC00ACBC2}">
    <text>TRANSFERENCIA</text>
  </threadedComment>
  <threadedComment ref="H235" dT="2025-07-29T16:48:40.00" personId="{86AA2667-3936-4BBD-A6E6-AB08F2D8D7E6}" id="{4A38D94C-3447-4668-B4DA-B905D1113D81}">
    <text>TRANSFERENCIA</text>
  </threadedComment>
  <threadedComment ref="H239" dT="2025-07-29T20:06:32.00" personId="{86AA2667-3936-4BBD-A6E6-AB08F2D8D7E6}" id="{1D794948-6223-4AE5-A218-30FE804F2649}">
    <text>TRANSFERENCIA</text>
  </threadedComment>
  <threadedComment ref="H240" dT="2025-07-29T20:56:22.00" personId="{86AA2667-3936-4BBD-A6E6-AB08F2D8D7E6}" id="{BB5F87B3-6600-40C8-990E-916792CD6589}">
    <text>transferencia</text>
  </threadedComment>
  <threadedComment ref="H241" dT="2025-07-30T20:04:28.00" personId="{86AA2667-3936-4BBD-A6E6-AB08F2D8D7E6}" id="{58B966C4-AB62-4034-8CD6-FDD9F816FA01}">
    <text>Tarjeta</text>
  </threadedComment>
  <threadedComment ref="H242" dT="2025-07-30T20:04:39.00" personId="{86AA2667-3936-4BBD-A6E6-AB08F2D8D7E6}" id="{D59515EB-2AF4-406E-A92E-1B88BE84A81E}">
    <text>Transferencia</text>
  </threadedComment>
  <threadedComment ref="H244" dT="2025-07-30T20:07:12.00" personId="{86AA2667-3936-4BBD-A6E6-AB08F2D8D7E6}" id="{5FD22D60-12B8-4226-ADF5-0273A3433896}">
    <text>Transferencia</text>
  </threadedComment>
  <threadedComment ref="H250" dT="2025-07-31T16:12:34.00" personId="{86AA2667-3936-4BBD-A6E6-AB08F2D8D7E6}" id="{7AD2AB5B-A12B-48D1-8519-0CC42A085962}">
    <text>TARJETA</text>
  </threadedComment>
  <threadedComment ref="H251" dT="2025-07-31T21:06:04.00" personId="{86AA2667-3936-4BBD-A6E6-AB08F2D8D7E6}" id="{8692332E-1E1C-428E-B311-E1F416D98946}">
    <text>factura</text>
  </threadedComment>
  <threadedComment ref="H253" dT="2025-08-01T14:11:16.00" personId="{86AA2667-3936-4BBD-A6E6-AB08F2D8D7E6}" id="{D362F0AF-DB4C-4212-913A-CDE686819091}">
    <text>Tarjeta</text>
  </threadedComment>
  <threadedComment ref="H254" dT="2025-08-01T14:11:26.00" personId="{86AA2667-3936-4BBD-A6E6-AB08F2D8D7E6}" id="{D6F17CC6-04E5-48AD-9974-E664F2BF0249}">
    <text>Tarjeta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H3" dT="2025-08-01T15:17:03.00" personId="{86AA2667-3936-4BBD-A6E6-AB08F2D8D7E6}" id="{6065914B-B520-402D-B9EB-60D627F43DDE}">
    <text>Transferencia</text>
  </threadedComment>
  <threadedComment ref="H4" dT="2025-08-01T14:04:16.00" personId="{86AA2667-3936-4BBD-A6E6-AB08F2D8D7E6}" id="{FC6355EB-A196-4245-AD27-1980D966BB77}">
    <text>Transferencia</text>
  </threadedComment>
  <threadedComment ref="H5" dT="2025-08-01T16:54:16.00" personId="{86AA2667-3936-4BBD-A6E6-AB08F2D8D7E6}" id="{D9712969-83A1-4FFA-8335-287A462A6B5A}">
    <text>Tarjeta</text>
  </threadedComment>
  <threadedComment ref="H6" dT="2025-08-01T19:20:41.00" personId="{86AA2667-3936-4BBD-A6E6-AB08F2D8D7E6}" id="{4063DCD3-8D7C-4D53-9E87-5FE8EB2BC613}">
    <text>Tarjeta</text>
  </threadedComment>
  <threadedComment ref="H7" dT="2025-08-01T22:36:23.00" personId="{86AA2667-3936-4BBD-A6E6-AB08F2D8D7E6}" id="{E6E5C36B-60D1-4022-B5F0-9E40A3947CA8}">
    <text>Transferencia</text>
  </threadedComment>
  <threadedComment ref="H9" dT="2025-08-01T22:26:07.00" personId="{86AA2667-3936-4BBD-A6E6-AB08F2D8D7E6}" id="{66DF0257-478A-4F1D-B796-09AA51D7A993}">
    <text>Tarjeta</text>
  </threadedComment>
  <threadedComment ref="H10" dT="2025-08-06T13:31:55.00" personId="{86AA2667-3936-4BBD-A6E6-AB08F2D8D7E6}" id="{7B2B610D-511F-4F60-B468-85D71602FE64}">
    <text>transferencia</text>
  </threadedComment>
  <threadedComment ref="H14" dT="2025-08-02T16:42:06.00" personId="{86AA2667-3936-4BBD-A6E6-AB08F2D8D7E6}" id="{4E47F701-D482-41A8-8F67-32F8BAB2819D}">
    <text>Transferencia</text>
  </threadedComment>
  <threadedComment ref="H16" dT="2025-08-02T16:42:00.00" personId="{86AA2667-3936-4BBD-A6E6-AB08F2D8D7E6}" id="{5B7AF496-8052-4185-8DBC-9AF49C9300CA}">
    <text>Transferencia</text>
  </threadedComment>
  <threadedComment ref="H18" dT="2025-08-02T16:25:37.00" personId="{86AA2667-3936-4BBD-A6E6-AB08F2D8D7E6}" id="{96D2D499-B90D-4962-AB2A-DA7457DED89F}">
    <text>Tarjeta</text>
  </threadedComment>
  <threadedComment ref="H21" dT="2025-08-02T19:09:59.00" personId="{86AA2667-3936-4BBD-A6E6-AB08F2D8D7E6}" id="{2CB60775-1330-4300-8799-CE8D088E19B5}">
    <text>Tarjeta</text>
  </threadedComment>
  <threadedComment ref="H25" dT="2025-08-02T21:32:16.00" personId="{86AA2667-3936-4BBD-A6E6-AB08F2D8D7E6}" id="{4C328FE8-5B87-4B33-A97C-BEA1E3E433E2}">
    <text>Tarjeta</text>
  </threadedComment>
  <threadedComment ref="H27" dT="2025-08-02T16:05:12.00" personId="{86AA2667-3936-4BBD-A6E6-AB08F2D8D7E6}" id="{C20C3395-85A3-42FC-8C58-81DAACA3BF00}">
    <text>Transferencia</text>
  </threadedComment>
  <threadedComment ref="H34" dT="2025-08-04T16:44:07.00" personId="{86AA2667-3936-4BBD-A6E6-AB08F2D8D7E6}" id="{090DB34A-9AD6-47AD-8120-37B9BF29B795}">
    <text>Tarjeta</text>
  </threadedComment>
  <threadedComment ref="H35" dT="2025-08-04T16:33:40.00" personId="{86AA2667-3936-4BBD-A6E6-AB08F2D8D7E6}" id="{E64B7C77-9DC7-46A5-8C1F-4648ED37CED2}">
    <text>Transferencia</text>
  </threadedComment>
  <threadedComment ref="H37" dT="2025-08-04T20:00:44.00" personId="{86AA2667-3936-4BBD-A6E6-AB08F2D8D7E6}" id="{4151863D-984D-4C4F-8AFF-647ACD7D534B}">
    <text>Transferencia</text>
  </threadedComment>
  <threadedComment ref="H44" dT="2025-08-05T20:30:12.00" personId="{86AA2667-3936-4BBD-A6E6-AB08F2D8D7E6}" id="{8AF67D19-2CEB-449D-8EDE-409E6BE5F7F3}">
    <text>TARJETA</text>
  </threadedComment>
  <threadedComment ref="H46" dT="2025-08-05T20:30:04.00" personId="{86AA2667-3936-4BBD-A6E6-AB08F2D8D7E6}" id="{00B84508-CD59-4BC8-858F-F951283456F1}">
    <text>TRANSFERENCIA</text>
  </threadedComment>
  <threadedComment ref="H47" dT="2025-08-05T22:25:39.00" personId="{86AA2667-3936-4BBD-A6E6-AB08F2D8D7E6}" id="{2528127A-6F6F-49D8-861A-905C7F1B4BF4}">
    <text>tarjeta</text>
  </threadedComment>
  <threadedComment ref="H53" dT="2025-08-08T15:22:49.00" personId="{86AA2667-3936-4BBD-A6E6-AB08F2D8D7E6}" id="{36A70E39-E877-4113-822B-F66B297064E6}">
    <text>transferencia</text>
  </threadedComment>
  <threadedComment ref="H54" dT="2025-08-08T15:22:41.00" personId="{86AA2667-3936-4BBD-A6E6-AB08F2D8D7E6}" id="{21E50193-6403-4F39-9EED-B96DDD825759}">
    <text>transferencia</text>
  </threadedComment>
  <threadedComment ref="H57" dT="2025-08-06T23:05:37.00" personId="{86AA2667-3936-4BBD-A6E6-AB08F2D8D7E6}" id="{76D193FA-60A8-4E1C-82A3-96E81838834B}">
    <text>tarjeta</text>
  </threadedComment>
  <threadedComment ref="H61" dT="2025-08-06T22:36:00.00" personId="{86AA2667-3936-4BBD-A6E6-AB08F2D8D7E6}" id="{805480FC-281B-4B0F-A8A6-B782537B6C1F}">
    <text>tarjeta</text>
  </threadedComment>
  <threadedComment ref="H62" dT="2025-08-08T15:24:39.00" personId="{86AA2667-3936-4BBD-A6E6-AB08F2D8D7E6}" id="{4C3D0DD7-4A51-433E-AA7E-38636A5AF031}">
    <text>TRANSFERENCIA</text>
  </threadedComment>
  <threadedComment ref="H64" dT="2025-08-08T20:27:46.00" personId="{86AA2667-3936-4BBD-A6E6-AB08F2D8D7E6}" id="{69FD6CC2-D485-4E3A-AD5C-C176FE2B0903}">
    <text>transferencia</text>
  </threadedComment>
  <threadedComment ref="H66" dT="2025-08-08T15:37:20.00" personId="{86AA2667-3936-4BBD-A6E6-AB08F2D8D7E6}" id="{756CC789-6E67-4483-9CB6-AD94BEBF52E2}">
    <text>TRANSFERENCIA</text>
  </threadedComment>
  <threadedComment ref="H67" dT="2025-08-08T20:52:25.00" personId="{86AA2667-3936-4BBD-A6E6-AB08F2D8D7E6}" id="{633FE3B2-2F47-4946-91B7-13BDC6EA2A7A}">
    <text>transferencia</text>
  </threadedComment>
  <threadedComment ref="H68" dT="2025-08-08T20:27:39.00" personId="{86AA2667-3936-4BBD-A6E6-AB08F2D8D7E6}" id="{AC0EE64E-85E1-41E7-8125-B4B2152A99E0}">
    <text>transferencia</text>
  </threadedComment>
  <threadedComment ref="H69" dT="2025-08-08T22:05:24.00" personId="{86AA2667-3936-4BBD-A6E6-AB08F2D8D7E6}" id="{990F63C8-D56E-41F6-AC2C-DBAAC1D73D57}">
    <text>TRANSFERENCIA</text>
  </threadedComment>
  <threadedComment ref="H72" dT="2025-08-09T15:01:33.00" personId="{86AA2667-3936-4BBD-A6E6-AB08F2D8D7E6}" id="{1C014460-3193-448C-A8E1-D05643C0DF64}">
    <text>TRANSFERENCIA</text>
  </threadedComment>
  <threadedComment ref="H74" dT="2025-08-13T13:33:55.00" personId="{86AA2667-3936-4BBD-A6E6-AB08F2D8D7E6}" id="{0681BC00-1128-44A4-B4A8-07011FBE60D7}">
    <text>transferencia</text>
  </threadedComment>
  <threadedComment ref="H75" dT="2025-08-09T14:57:54.00" personId="{86AA2667-3936-4BBD-A6E6-AB08F2D8D7E6}" id="{D832902C-C71C-465A-A0D3-CFCA69BD36FB}">
    <text>TARJETA</text>
  </threadedComment>
  <threadedComment ref="H79" dT="2025-08-09T22:45:04.00" personId="{86AA2667-3936-4BBD-A6E6-AB08F2D8D7E6}" id="{4A5E40D3-4750-4C17-8970-5A49ED57785A}">
    <text>transferencia</text>
  </threadedComment>
  <threadedComment ref="H80" dT="2025-08-09T20:42:38.00" personId="{86AA2667-3936-4BBD-A6E6-AB08F2D8D7E6}" id="{1AD29237-8117-4F0E-9FF3-A08E1043422B}">
    <text>tarjeta</text>
  </threadedComment>
  <threadedComment ref="H81" dT="2025-08-09T19:11:48.00" personId="{86AA2667-3936-4BBD-A6E6-AB08F2D8D7E6}" id="{22033752-5657-49E7-83C2-968533E924AB}">
    <text>transferencia</text>
  </threadedComment>
  <threadedComment ref="H82" dT="2025-08-12T15:12:18.00" personId="{86AA2667-3936-4BBD-A6E6-AB08F2D8D7E6}" id="{BC9A635E-0D29-4FB4-8B8B-95472516842D}">
    <text>factura</text>
  </threadedComment>
  <threadedComment ref="H83" dT="2025-08-12T15:12:24.00" personId="{86AA2667-3936-4BBD-A6E6-AB08F2D8D7E6}" id="{DBAA2BAB-F5D2-407A-993E-612CE6E7C988}">
    <text>factura</text>
  </threadedComment>
  <threadedComment ref="H88" dT="2025-08-11T15:34:35.00" personId="{86AA2667-3936-4BBD-A6E6-AB08F2D8D7E6}" id="{5B660C67-8572-4EAA-A336-0446A60F76D8}">
    <text>Tarjeta</text>
  </threadedComment>
  <threadedComment ref="H89" dT="2025-08-11T15:34:44.00" personId="{86AA2667-3936-4BBD-A6E6-AB08F2D8D7E6}" id="{791D1ABB-B7A4-4C9F-8AD7-3E50FDB63935}">
    <text>Tarjeta</text>
  </threadedComment>
  <threadedComment ref="H90" dT="2025-08-11T22:58:42.00" personId="{86AA2667-3936-4BBD-A6E6-AB08F2D8D7E6}" id="{06B887A9-83AD-44F8-85ED-780DECB76823}">
    <text>Transferencia</text>
  </threadedComment>
  <threadedComment ref="H91" dT="2025-08-11T22:58:51.00" personId="{86AA2667-3936-4BBD-A6E6-AB08F2D8D7E6}" id="{0DB888EB-92AF-41F3-B8EA-2E29543AAE07}">
    <text>Transferencia</text>
  </threadedComment>
  <threadedComment ref="H95" dT="2025-08-13T13:24:33.00" personId="{86AA2667-3936-4BBD-A6E6-AB08F2D8D7E6}" id="{3763BBD0-3919-474F-985B-425FABA46CFE}">
    <text>TRANSFERENCIA</text>
  </threadedComment>
  <threadedComment ref="H97" dT="2025-08-12T22:20:07.00" personId="{86AA2667-3936-4BBD-A6E6-AB08F2D8D7E6}" id="{2947E6DC-59FF-4AB4-998C-C78BEB63314A}">
    <text>transferencia</text>
  </threadedComment>
  <threadedComment ref="H98" dT="2025-08-12T22:20:14.00" personId="{86AA2667-3936-4BBD-A6E6-AB08F2D8D7E6}" id="{433F6DAC-8745-4939-8764-C83D590138C6}">
    <text>transferencia</text>
  </threadedComment>
  <threadedComment ref="H99" dT="2025-08-13T22:37:12.00" personId="{86AA2667-3936-4BBD-A6E6-AB08F2D8D7E6}" id="{0174221A-F94E-4018-9387-A4CF071A64B7}">
    <text>Transferencia</text>
  </threadedComment>
  <threadedComment ref="H102" dT="2025-08-14T15:56:14.00" personId="{86AA2667-3936-4BBD-A6E6-AB08F2D8D7E6}" id="{2AD9C555-08A9-4274-9AAA-3B1F76A1B2E5}">
    <text>TARJETA</text>
  </threadedComment>
  <threadedComment ref="H103" dT="2025-08-14T15:56:20.00" personId="{86AA2667-3936-4BBD-A6E6-AB08F2D8D7E6}" id="{039B13A2-850E-478E-9D19-EFBE2125472F}">
    <text>TARJETA</text>
  </threadedComment>
  <threadedComment ref="H104" dT="2025-08-14T15:56:26.00" personId="{86AA2667-3936-4BBD-A6E6-AB08F2D8D7E6}" id="{E288EE6B-D17E-4ED5-B8FA-C570F034FDF3}">
    <text>TARJETA</text>
  </threadedComment>
  <threadedComment ref="H107" dT="2025-08-15T19:26:59.00" personId="{86AA2667-3936-4BBD-A6E6-AB08F2D8D7E6}" id="{645AD54C-C30C-4204-B908-9380291ECA6E}">
    <text>TRANSFERENCIA</text>
  </threadedComment>
  <threadedComment ref="H119" dT="2025-08-16T19:26:16.00" personId="{86AA2667-3936-4BBD-A6E6-AB08F2D8D7E6}" id="{AFF8DF17-22AF-4557-84B1-6BDD3AFD342B}">
    <text>factura</text>
  </threadedComment>
  <threadedComment ref="H123" dT="2025-08-16T22:13:34.00" personId="{86AA2667-3936-4BBD-A6E6-AB08F2D8D7E6}" id="{6D3FE33C-80E9-4E4A-ADA4-03AE771BFC7D}">
    <text>transferencia</text>
  </threadedComment>
  <threadedComment ref="H129" dT="2025-08-20T13:24:30.00" personId="{86AA2667-3936-4BBD-A6E6-AB08F2D8D7E6}" id="{30566EDC-264C-4C98-B243-F4407E3BD289}">
    <text>tarjeta</text>
  </threadedComment>
  <threadedComment ref="H130" dT="2025-08-20T13:24:38.00" personId="{86AA2667-3936-4BBD-A6E6-AB08F2D8D7E6}" id="{F3D732B5-CA8C-4472-B9F6-8DCB7DE74C96}">
    <text>tarjeta</text>
  </threadedComment>
  <threadedComment ref="H131" dT="2025-08-20T13:24:45.00" personId="{86AA2667-3936-4BBD-A6E6-AB08F2D8D7E6}" id="{6712D397-99BB-4FD5-9AEE-D26BD18DC50C}">
    <text>tarjeta</text>
  </threadedComment>
  <threadedComment ref="H132" dT="2025-08-20T13:24:54.00" personId="{86AA2667-3936-4BBD-A6E6-AB08F2D8D7E6}" id="{97FC3635-5A10-4512-9D01-F6CE19CDFB2C}">
    <text>tarjeta</text>
  </threadedComment>
  <threadedComment ref="H140" dT="2025-08-21T20:36:22.00" personId="{86AA2667-3936-4BBD-A6E6-AB08F2D8D7E6}" id="{C27EE2A2-BBBF-45A9-840F-BB256B87AE83}">
    <text>Transferencia</text>
  </threadedComment>
  <threadedComment ref="H145" dT="2025-08-22T16:41:13.00" personId="{86AA2667-3936-4BBD-A6E6-AB08F2D8D7E6}" id="{44B38F4E-9B9D-41D9-8F6D-F002AD9D903A}">
    <text>Tarjeta</text>
  </threadedComment>
  <threadedComment ref="H152" dT="2025-08-23T15:43:09.00" personId="{86AA2667-3936-4BBD-A6E6-AB08F2D8D7E6}" id="{3036C1C5-2F06-4D4D-BF85-9A169A770145}">
    <text>Tarjeta</text>
  </threadedComment>
  <threadedComment ref="H153" dT="2025-08-23T15:43:20.00" personId="{86AA2667-3936-4BBD-A6E6-AB08F2D8D7E6}" id="{19CC909F-C703-4836-8467-5783D26362B3}">
    <text>Transferencia</text>
  </threadedComment>
  <threadedComment ref="H157" dT="2025-08-23T21:41:36.00" personId="{86AA2667-3936-4BBD-A6E6-AB08F2D8D7E6}" id="{2F919E37-5567-4080-BF7C-C5A035AB5978}">
    <text>Transferencia</text>
  </threadedComment>
  <threadedComment ref="H160" dT="2025-08-23T21:27:20.00" personId="{86AA2667-3936-4BBD-A6E6-AB08F2D8D7E6}" id="{FA673B38-786C-4EFE-9C24-F928587EF1AA}">
    <text>Transferencia</text>
  </threadedComment>
  <threadedComment ref="H164" dT="2025-08-25T20:51:54.00" personId="{86AA2667-3936-4BBD-A6E6-AB08F2D8D7E6}" id="{11215E07-2C9A-47A0-85B2-0542DE0781C2}">
    <text>Transferencia</text>
  </threadedComment>
  <threadedComment ref="H166" dT="2025-08-25T20:51:48.00" personId="{86AA2667-3936-4BBD-A6E6-AB08F2D8D7E6}" id="{FCE2C833-0D07-4D1B-AC93-CFD885CC1027}">
    <text>Transferencia</text>
  </threadedComment>
  <threadedComment ref="H169" dT="2025-08-26T14:51:23.00" personId="{86AA2667-3936-4BBD-A6E6-AB08F2D8D7E6}" id="{CAC7DD4C-6793-45A6-A9AF-2F489251EBA4}">
    <text>TRANSFERENCIA</text>
  </threadedComment>
  <threadedComment ref="H177" dT="2025-08-26T20:42:22.00" personId="{86AA2667-3936-4BBD-A6E6-AB08F2D8D7E6}" id="{14AA5BAD-3354-4F26-BCFA-47385554CD2C}">
    <text>FACTURA</text>
  </threadedComment>
  <threadedComment ref="H178" dT="2025-08-26T20:42:27.00" personId="{86AA2667-3936-4BBD-A6E6-AB08F2D8D7E6}" id="{81256A28-A037-4494-BC6B-44AAFD835CFA}">
    <text>FACTURA</text>
  </threadedComment>
  <threadedComment ref="H179" dT="2025-08-26T20:42:32.00" personId="{86AA2667-3936-4BBD-A6E6-AB08F2D8D7E6}" id="{A6D297EC-9FBA-495D-9B63-82779D8DA01F}">
    <text>FACTURA</text>
  </threadedComment>
  <threadedComment ref="H180" dT="2025-08-26T22:35:48.00" personId="{86AA2667-3936-4BBD-A6E6-AB08F2D8D7E6}" id="{FA30241E-F764-4BDA-B75D-4C5215D906E6}">
    <text>Transferencia</text>
  </threadedComment>
  <threadedComment ref="H181" dT="2025-08-26T22:35:56.00" personId="{86AA2667-3936-4BBD-A6E6-AB08F2D8D7E6}" id="{E5346559-6F46-4009-9564-9D43623E76C2}">
    <text>Transferencia</text>
  </threadedComment>
  <threadedComment ref="H183" dT="2025-08-27T18:54:13.00" personId="{86AA2667-3936-4BBD-A6E6-AB08F2D8D7E6}" id="{DD7003B5-B874-412F-A1B3-E2E474A45CA4}">
    <text>Transferencia</text>
  </threadedComment>
  <threadedComment ref="H192" dT="2025-08-28T22:57:41.00" personId="{86AA2667-3936-4BBD-A6E6-AB08F2D8D7E6}" id="{67873BA3-F70A-48AB-8F48-A1ACBA843CE3}">
    <text>TARJETA</text>
  </threadedComment>
  <threadedComment ref="H193" dT="2025-08-29T15:07:09.00" personId="{86AA2667-3936-4BBD-A6E6-AB08F2D8D7E6}" id="{D95C11FB-7D52-4056-9B72-9EE88BC2069D}">
    <text>tarjeta</text>
  </threadedComment>
  <threadedComment ref="H194" dT="2025-08-29T15:27:24.00" personId="{86AA2667-3936-4BBD-A6E6-AB08F2D8D7E6}" id="{BA765591-BD17-493A-B6CB-015AC8648492}">
    <text>transferencia</text>
  </threadedComment>
  <threadedComment ref="H195" dT="2025-08-29T14:32:51.00" personId="{86AA2667-3936-4BBD-A6E6-AB08F2D8D7E6}" id="{54C0E0BE-0BE2-47E6-B397-DC60E61A1075}">
    <text>TARJETA</text>
  </threadedComment>
  <threadedComment ref="H196" dT="2025-08-29T16:50:55.00" personId="{86AA2667-3936-4BBD-A6E6-AB08F2D8D7E6}" id="{6853775A-4220-44D2-93ED-8289F977276A}">
    <text>transferencia</text>
  </threadedComment>
  <threadedComment ref="H197" dT="2025-08-29T16:51:07.00" personId="{86AA2667-3936-4BBD-A6E6-AB08F2D8D7E6}" id="{A31E7811-B247-4069-8415-96685D0312A3}">
    <text>transferencia</text>
  </threadedComment>
  <threadedComment ref="H198" dT="2025-08-29T16:51:15.00" personId="{86AA2667-3936-4BBD-A6E6-AB08F2D8D7E6}" id="{B8214833-5694-4662-ABD4-D8508D2BC3C0}">
    <text>transferencia</text>
  </threadedComment>
  <threadedComment ref="H199" dT="2025-08-29T21:19:23.00" personId="{86AA2667-3936-4BBD-A6E6-AB08F2D8D7E6}" id="{25FD9DCF-D1B9-452A-B2F5-25CA18CA838F}">
    <text>transferencia</text>
  </threadedComment>
  <threadedComment ref="H203" dT="2025-08-29T19:32:16.00" personId="{86AA2667-3936-4BBD-A6E6-AB08F2D8D7E6}" id="{8ADC503A-ACEB-4135-9218-237F340EDAB0}">
    <text>TRANSFERENCIA+ FACTURA</text>
  </threadedComment>
  <threadedComment ref="H204" dT="2025-08-29T22:41:11.00" personId="{86AA2667-3936-4BBD-A6E6-AB08F2D8D7E6}" id="{50E55225-829E-48BA-9F08-6F49F217F7E8}">
    <text>transferencia</text>
  </threadedComment>
  <threadedComment ref="H206" dT="2025-08-30T15:19:18.00" personId="{86AA2667-3936-4BBD-A6E6-AB08F2D8D7E6}" id="{3FBAF8BB-77BB-4BB9-A489-385E8E61D361}">
    <text>transferencia</text>
  </threadedComment>
  <threadedComment ref="H207" dT="2025-08-30T15:03:10.00" personId="{86AA2667-3936-4BBD-A6E6-AB08F2D8D7E6}" id="{625DAA08-CC1A-4CD6-9103-76FD358A0EB7}">
    <text>TRANSFERENCIA</text>
  </threadedComment>
  <threadedComment ref="H208" dT="2025-08-30T15:25:08.00" personId="{86AA2667-3936-4BBD-A6E6-AB08F2D8D7E6}" id="{8DAC833A-F991-4D71-8C4A-94195F88FB0C}">
    <text>tarjeta</text>
  </threadedComment>
  <threadedComment ref="H211" dT="2025-08-30T15:12:17.00" personId="{86AA2667-3936-4BBD-A6E6-AB08F2D8D7E6}" id="{18B46200-1E31-402D-A8D1-0C81C55FCB44}">
    <text>TARJETA</text>
  </threadedComment>
  <threadedComment ref="H212" dT="2025-08-30T19:20:16.00" personId="{86AA2667-3936-4BBD-A6E6-AB08F2D8D7E6}" id="{CB7F175A-AEEA-435E-BA53-E8EA5D77EB4D}">
    <text>transferencia</text>
  </threadedComment>
  <threadedComment ref="H213" dT="2025-08-30T19:20:22.00" personId="{86AA2667-3936-4BBD-A6E6-AB08F2D8D7E6}" id="{4A136CAA-D286-43DA-84F8-FAD94FEE8346}">
    <text>transferencia</text>
  </threadedComment>
  <threadedComment ref="H215" dT="2025-08-30T19:20:10.00" personId="{86AA2667-3936-4BBD-A6E6-AB08F2D8D7E6}" id="{2CE8B3E5-E169-474F-9408-16B3D2EFA614}">
    <text>transferencia</text>
  </threadedComment>
  <threadedComment ref="H216" dT="2025-08-30T21:17:21.00" personId="{86AA2667-3936-4BBD-A6E6-AB08F2D8D7E6}" id="{86AFF3D2-0866-46DC-B8E3-430939759E4E}">
    <text>transferencia</text>
  </threadedComment>
  <threadedComment ref="H217" dT="2025-08-30T21:17:30.00" personId="{86AA2667-3936-4BBD-A6E6-AB08F2D8D7E6}" id="{D95115A0-E18D-40F8-8F2C-950AB15AF31E}">
    <text>transferencia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H6" dT="2025-09-01T16:45:49.00" personId="{86AA2667-3936-4BBD-A6E6-AB08F2D8D7E6}" id="{9781E331-370F-4BC6-929B-46DC809E61F4}">
    <text>transferencia</text>
  </threadedComment>
  <threadedComment ref="H7" dT="2025-09-01T22:22:13.00" personId="{86AA2667-3936-4BBD-A6E6-AB08F2D8D7E6}" id="{4DE6C9FC-A284-49B5-A065-90CAA3B85CD3}">
    <text>tarjeta</text>
  </threadedComment>
  <threadedComment ref="H15" dT="2025-09-03T16:28:19.00" personId="{86AA2667-3936-4BBD-A6E6-AB08F2D8D7E6}" id="{B13DCA56-0D2D-4DFA-AA47-EC60A29226CC}">
    <text>Tarjeta</text>
  </threadedComment>
  <threadedComment ref="H16" dT="2025-09-03T16:28:24.00" personId="{86AA2667-3936-4BBD-A6E6-AB08F2D8D7E6}" id="{E6C9B3F0-416E-4CC3-8E99-019174CBD016}">
    <text>Tarjeta</text>
  </threadedComment>
  <threadedComment ref="H17" dT="2025-09-03T16:55:00.00" personId="{86AA2667-3936-4BBD-A6E6-AB08F2D8D7E6}" id="{D71570A0-0ED3-4F8C-89F3-392B642D57D7}">
    <text>Transferencia</text>
  </threadedComment>
  <threadedComment ref="H19" dT="2025-09-03T22:24:19.00" personId="{86AA2667-3936-4BBD-A6E6-AB08F2D8D7E6}" id="{C5F3892F-BA0A-4E5C-AEB1-9FCD20D92212}">
    <text>Tarjeta</text>
  </threadedComment>
  <threadedComment ref="H26" dT="2025-09-05T13:11:05.00" personId="{86AA2667-3936-4BBD-A6E6-AB08F2D8D7E6}" id="{2CC89690-457E-4D9F-93B0-CB8924A0CBD8}">
    <text>transferencia</text>
  </threadedComment>
  <threadedComment ref="H27" dT="2025-09-05T13:21:56.00" personId="{86AA2667-3936-4BBD-A6E6-AB08F2D8D7E6}" id="{EF76949A-599F-4175-B204-7BC2842F4082}">
    <text>TARJETA</text>
  </threadedComment>
  <threadedComment ref="H32" dT="2025-09-05T22:32:37.00" personId="{86AA2667-3936-4BBD-A6E6-AB08F2D8D7E6}" id="{FACF4266-CCF5-4470-99A3-BB38B175532E}">
    <text>tarjeta</text>
  </threadedComment>
  <threadedComment ref="H33" dT="2025-09-05T22:32:42.00" personId="{86AA2667-3936-4BBD-A6E6-AB08F2D8D7E6}" id="{E11FA067-A897-46AA-A8C4-2D758A0ABE2E}">
    <text>tarjeta</text>
  </threadedComment>
  <threadedComment ref="H34" dT="2025-09-05T22:32:51.00" personId="{86AA2667-3936-4BBD-A6E6-AB08F2D8D7E6}" id="{9D114B0C-7E35-4978-9ED2-3B612F805620}">
    <text>tarjeta</text>
  </threadedComment>
  <threadedComment ref="H35" dT="2025-09-05T22:32:58.00" personId="{86AA2667-3936-4BBD-A6E6-AB08F2D8D7E6}" id="{D554EC21-1012-4FA2-8B42-25D092BE10D6}">
    <text>tarjeta</text>
  </threadedComment>
  <threadedComment ref="H37" dT="2025-09-05T22:42:50.00" personId="{86AA2667-3936-4BBD-A6E6-AB08F2D8D7E6}" id="{5657422F-5F4F-4727-B1A7-B7000D03D1FE}">
    <text>transferencia</text>
  </threadedComment>
  <threadedComment ref="H44" dT="2025-09-06T21:38:23.00" personId="{86AA2667-3936-4BBD-A6E6-AB08F2D8D7E6}" id="{B8E9DF53-5904-4C84-A4BF-F539508D39B5}">
    <text>Transferencia</text>
  </threadedComment>
  <threadedComment ref="H45" dT="2025-09-06T16:55:35.00" personId="{86AA2667-3936-4BBD-A6E6-AB08F2D8D7E6}" id="{F081EE1E-2681-4A67-BA36-06C9F0071C01}">
    <text>Tarjeta</text>
  </threadedComment>
  <threadedComment ref="H48" dT="2025-09-09T13:50:39.00" personId="{86AA2667-3936-4BBD-A6E6-AB08F2D8D7E6}" id="{5C599289-0183-4C30-B366-3F3E6D432C3F}">
    <text>TRANSFERENCIA</text>
  </threadedComment>
  <threadedComment ref="H49" dT="2025-09-09T13:50:44.00" personId="{86AA2667-3936-4BBD-A6E6-AB08F2D8D7E6}" id="{2E1CD682-44D5-4592-962D-9796978B3524}">
    <text>TRANSFERENCIA</text>
  </threadedComment>
  <threadedComment ref="H50" dT="2025-09-09T13:50:50.00" personId="{86AA2667-3936-4BBD-A6E6-AB08F2D8D7E6}" id="{E59588DF-8778-4C08-AE05-038AC533AF5D}">
    <text>TRANSFERENCIA</text>
  </threadedComment>
  <threadedComment ref="H51" dT="2025-09-09T13:50:56.00" personId="{86AA2667-3936-4BBD-A6E6-AB08F2D8D7E6}" id="{7B452655-AE63-4664-B983-C56DADA59F31}">
    <text>TRANSFERENCIA</text>
  </threadedComment>
  <threadedComment ref="H52" dT="2025-09-09T13:51:01.00" personId="{86AA2667-3936-4BBD-A6E6-AB08F2D8D7E6}" id="{AE750ACD-FFE8-454B-8A70-5FB48184D976}">
    <text>TRANSFERENCIA</text>
  </threadedComment>
  <threadedComment ref="H54" dT="2025-09-09T13:52:22.00" personId="{86AA2667-3936-4BBD-A6E6-AB08F2D8D7E6}" id="{BCE971B6-68E8-4E18-82ED-6A6558E30888}">
    <text>TRASFERENCIA</text>
  </threadedComment>
  <threadedComment ref="H55" dT="2025-09-09T13:52:53.00" personId="{86AA2667-3936-4BBD-A6E6-AB08F2D8D7E6}" id="{A406D233-3147-4C38-A73E-1579FE8D4CB6}">
    <text>TRASNSFERENCIA</text>
  </threadedComment>
  <threadedComment ref="H57" dT="2025-09-09T13:53:46.00" personId="{86AA2667-3936-4BBD-A6E6-AB08F2D8D7E6}" id="{827857C5-2326-4ACD-AE45-129E214916B2}">
    <text>TRANSFERENCIA</text>
  </threadedComment>
  <threadedComment ref="H58" dT="2025-09-09T13:54:11.00" personId="{86AA2667-3936-4BBD-A6E6-AB08F2D8D7E6}" id="{39060FB5-9021-46F1-9391-2F20EC62D0DD}">
    <text>TRANSFERENCIA</text>
  </threadedComment>
  <threadedComment ref="H59" dT="2025-09-10T21:05:09.00" personId="{86AA2667-3936-4BBD-A6E6-AB08F2D8D7E6}" id="{FC3D1079-5FC7-47A5-9DD6-25C122BA5B8C}">
    <text>TRANSFERENCIA</text>
  </threadedComment>
  <threadedComment ref="H61" dT="2025-09-10T21:45:00.00" personId="{86AA2667-3936-4BBD-A6E6-AB08F2D8D7E6}" id="{C87035EA-E888-414D-B713-8CDF4B2C7CD2}">
    <text>transferencia</text>
  </threadedComment>
  <threadedComment ref="H62" dT="2025-09-11T13:51:54.00" personId="{86AA2667-3936-4BBD-A6E6-AB08F2D8D7E6}" id="{00CBFED1-25A7-42A6-AA14-B1D9E3B55CAB}">
    <text>transferencia</text>
  </threadedComment>
  <threadedComment ref="H63" dT="2025-09-11T13:52:01.00" personId="{86AA2667-3936-4BBD-A6E6-AB08F2D8D7E6}" id="{97A17458-9904-4CCF-9053-F2F2E740EB80}">
    <text>transferencia</text>
  </threadedComment>
  <threadedComment ref="H74" dT="2025-09-11T21:35:49.00" personId="{86AA2667-3936-4BBD-A6E6-AB08F2D8D7E6}" id="{9E7A375B-E5BA-4DF9-BDFE-986E78DC74CA}">
    <text>transferencia</text>
  </threadedComment>
  <threadedComment ref="H77" dT="2025-09-12T15:38:12.00" personId="{86AA2667-3936-4BBD-A6E6-AB08F2D8D7E6}" id="{8106CE41-5852-4397-AF0F-F59E04E22D53}">
    <text>transferencia</text>
  </threadedComment>
  <threadedComment ref="H81" dT="2025-09-12T19:17:54.00" personId="{86AA2667-3936-4BBD-A6E6-AB08F2D8D7E6}" id="{8CA113F1-15AF-43B7-A746-C29F46B2C6F9}">
    <text>transferencia</text>
  </threadedComment>
  <threadedComment ref="H84" dT="2025-09-13T16:27:02.00" personId="{86AA2667-3936-4BBD-A6E6-AB08F2D8D7E6}" id="{DDBF7BAC-3FA0-4C7A-9449-4B86B3E75BB6}">
    <text>Transferencia</text>
  </threadedComment>
  <threadedComment ref="H86" dT="2025-09-13T15:53:00.00" personId="{86AA2667-3936-4BBD-A6E6-AB08F2D8D7E6}" id="{8197EADB-0D1C-4876-A1DE-2EE881F09EC3}">
    <text>Transferencia</text>
  </threadedComment>
  <threadedComment ref="H90" dT="2025-09-13T21:36:13.00" personId="{86AA2667-3936-4BBD-A6E6-AB08F2D8D7E6}" id="{61E45C0F-3718-44A9-8D03-55BDF03D4D56}">
    <text>Transferencia</text>
  </threadedComment>
  <threadedComment ref="H99" dT="2025-09-15T19:08:07.00" personId="{86AA2667-3936-4BBD-A6E6-AB08F2D8D7E6}" id="{96CE0856-D506-4C57-9866-3E5EEB85AAAE}">
    <text>Transferencia</text>
  </threadedComment>
  <threadedComment ref="H102" dT="2025-09-15T21:31:45.00" personId="{86AA2667-3936-4BBD-A6E6-AB08F2D8D7E6}" id="{8AFD2964-DF17-46DA-B991-7D773649578B}">
    <text>Transferencia</text>
  </threadedComment>
  <threadedComment ref="H105" dT="2025-09-16T22:20:02.00" personId="{86AA2667-3936-4BBD-A6E6-AB08F2D8D7E6}" id="{CE947146-099B-478D-A11F-D3665B385EEE}">
    <text>Tarjeta</text>
  </threadedComment>
  <threadedComment ref="H108" dT="2025-09-16T22:20:39.00" personId="{86AA2667-3936-4BBD-A6E6-AB08F2D8D7E6}" id="{87F2B00B-CA2A-47F7-9686-EA3945F603D5}">
    <text>Transferencia</text>
  </threadedComment>
  <threadedComment ref="H109" dT="2025-09-16T22:34:30.00" personId="{86AA2667-3936-4BBD-A6E6-AB08F2D8D7E6}" id="{55D17D79-BE4F-41B6-B2AF-8A314BC61261}">
    <text>Tarjeta</text>
  </threadedComment>
  <threadedComment ref="H112" dT="2025-09-17T22:43:36.00" personId="{86AA2667-3936-4BBD-A6E6-AB08F2D8D7E6}" id="{0613D572-76F8-4716-B890-5E8CB0B66E37}">
    <text>transferencia</text>
  </threadedComment>
  <threadedComment ref="H113" dT="2025-09-17T22:43:45.00" personId="{86AA2667-3936-4BBD-A6E6-AB08F2D8D7E6}" id="{4A20142A-3523-4EEF-AAF4-B8821395A0D3}">
    <text>transferencia</text>
  </threadedComment>
  <threadedComment ref="H114" dT="2025-09-17T16:02:45.00" personId="{86AA2667-3936-4BBD-A6E6-AB08F2D8D7E6}" id="{1BC1FE25-FED6-4BA9-9A63-96FED924E805}">
    <text>Tarjeta</text>
  </threadedComment>
  <threadedComment ref="H115" dT="2025-09-17T19:22:58.00" personId="{86AA2667-3936-4BBD-A6E6-AB08F2D8D7E6}" id="{BFA4B80F-C20D-40BC-88C3-8DA91BEBF526}">
    <text>transferencia</text>
  </threadedComment>
  <threadedComment ref="H116" dT="2025-09-17T22:27:30.00" personId="{86AA2667-3936-4BBD-A6E6-AB08F2D8D7E6}" id="{951366B8-4403-45D9-9641-88A5B745149E}">
    <text>Transferencia</text>
  </threadedComment>
  <threadedComment ref="H118" dT="2025-09-18T14:39:17.00" personId="{86AA2667-3936-4BBD-A6E6-AB08F2D8D7E6}" id="{8080E245-258E-4094-B9D3-898A4C020A7A}">
    <text>transferencia</text>
  </threadedComment>
  <threadedComment ref="H119" dT="2025-09-18T21:44:37.00" personId="{86AA2667-3936-4BBD-A6E6-AB08F2D8D7E6}" id="{DE8132C5-C9FB-449F-8049-95CD098F076E}">
    <text>TRANSFERENCIA</text>
  </threadedComment>
  <threadedComment ref="H122" dT="2025-09-18T22:31:57.00" personId="{86AA2667-3936-4BBD-A6E6-AB08F2D8D7E6}" id="{39B7B4BD-EE52-4948-9766-1083675CB741}">
    <text>tarjeta</text>
  </threadedComment>
  <threadedComment ref="H123" dT="2025-09-20T13:33:57.00" personId="{86AA2667-3936-4BBD-A6E6-AB08F2D8D7E6}" id="{E4255FF2-67D4-41C6-9F59-659577EC8971}">
    <text>tarjeta</text>
  </threadedComment>
  <threadedComment ref="H124" dT="2025-09-19T16:56:13.00" personId="{86AA2667-3936-4BBD-A6E6-AB08F2D8D7E6}" id="{8078F85F-70ED-4F16-8B71-2866FF39BB9C}">
    <text>tarjeta</text>
  </threadedComment>
  <threadedComment ref="H125" dT="2025-09-19T16:56:07.00" personId="{86AA2667-3936-4BBD-A6E6-AB08F2D8D7E6}" id="{BFAB9824-E093-4118-B7E0-31736ADF3BB6}">
    <text>tarjeta</text>
  </threadedComment>
  <threadedComment ref="H126" dT="2025-09-19T13:30:08.00" personId="{86AA2667-3936-4BBD-A6E6-AB08F2D8D7E6}" id="{7F07185B-6DE3-4301-B879-1E65763F17D8}">
    <text>tarjeta</text>
  </threadedComment>
  <threadedComment ref="H129" dT="2025-09-19T20:06:57.00" personId="{86AA2667-3936-4BBD-A6E6-AB08F2D8D7E6}" id="{C15606DD-BFC0-4494-8D4E-C1D3341BB0C3}">
    <text>TRANSFERENCIA</text>
  </threadedComment>
  <threadedComment ref="H131" dT="2025-09-20T13:17:08.00" personId="{86AA2667-3936-4BBD-A6E6-AB08F2D8D7E6}" id="{B3BC4D15-6B0B-44B1-94BA-1853B775F940}">
    <text>tarjeta</text>
  </threadedComment>
  <threadedComment ref="H132" dT="2025-09-20T19:08:01.00" personId="{86AA2667-3936-4BBD-A6E6-AB08F2D8D7E6}" id="{CB5F730F-D6DA-456F-8D5B-4FE966616417}">
    <text>TARJETA</text>
  </threadedComment>
  <threadedComment ref="H133" dT="2025-09-20T14:01:51.00" personId="{86AA2667-3936-4BBD-A6E6-AB08F2D8D7E6}" id="{4AA55890-CEE3-4BE6-AFDA-BCCE6CF2B573}">
    <text>tarjeta</text>
  </threadedComment>
  <threadedComment ref="H134" dT="2025-09-20T14:01:58.00" personId="{86AA2667-3936-4BBD-A6E6-AB08F2D8D7E6}" id="{A87E0318-E84E-48CE-B94F-97944CE8B362}">
    <text>tarjeta</text>
  </threadedComment>
  <threadedComment ref="H137" dT="2025-09-20T19:30:49.00" personId="{86AA2667-3936-4BBD-A6E6-AB08F2D8D7E6}" id="{6DD102EF-95E1-4DA8-95D2-344C3132CC3E}">
    <text>tarjeta</text>
  </threadedComment>
  <threadedComment ref="H138" dT="2025-09-20T19:30:56.00" personId="{86AA2667-3936-4BBD-A6E6-AB08F2D8D7E6}" id="{7DCE1EFB-72D8-4C4D-B967-3CBCA941732C}">
    <text>tarjeta</text>
  </threadedComment>
  <threadedComment ref="H139" dT="2025-09-20T19:31:04.00" personId="{86AA2667-3936-4BBD-A6E6-AB08F2D8D7E6}" id="{39BBD494-79F8-4C6F-8510-FACE8BB0ACAE}">
    <text>tarjeta</text>
  </threadedComment>
  <threadedComment ref="H141" dT="2025-09-20T21:19:33.00" personId="{86AA2667-3936-4BBD-A6E6-AB08F2D8D7E6}" id="{8E17D373-F19F-464D-826B-5B867621046D}">
    <text>Transferencia</text>
  </threadedComment>
  <threadedComment ref="H143" dT="2025-09-22T20:39:12.00" personId="{86AA2667-3936-4BBD-A6E6-AB08F2D8D7E6}" id="{D218F7B9-836F-4FEE-8C0E-5F1ABC7C8FAE}">
    <text>TRANSFERENCIA</text>
  </threadedComment>
  <threadedComment ref="H145" dT="2025-09-22T22:49:45.00" personId="{86AA2667-3936-4BBD-A6E6-AB08F2D8D7E6}" id="{33104461-B7F8-4E03-879F-F3BE35369746}">
    <text>Tarjeta</text>
  </threadedComment>
  <threadedComment ref="H146" dT="2025-09-22T22:27:29.00" personId="{86AA2667-3936-4BBD-A6E6-AB08F2D8D7E6}" id="{A381EBF0-E5C0-4F39-8E77-1A0CC02251EB}">
    <text>Tarjeta</text>
  </threadedComment>
  <threadedComment ref="H147" dT="2025-09-23T13:15:20.00" personId="{86AA2667-3936-4BBD-A6E6-AB08F2D8D7E6}" id="{B6EA7EA8-2909-4720-8971-BA9BCB097F7C}">
    <text>Trasnferencia</text>
  </threadedComment>
  <threadedComment ref="H148" dT="2025-09-23T16:56:29.00" personId="{86AA2667-3936-4BBD-A6E6-AB08F2D8D7E6}" id="{5B79616B-C048-44AB-BF2D-2C950DF1E706}">
    <text>Transferencia</text>
  </threadedComment>
  <threadedComment ref="H152" dT="2025-09-24T13:29:29.00" personId="{86AA2667-3936-4BBD-A6E6-AB08F2D8D7E6}" id="{6CDDD4D8-6CA3-47D7-983A-1C13D569094C}">
    <text>TARJETA</text>
  </threadedComment>
  <threadedComment ref="H155" dT="2025-09-24T19:13:02.00" personId="{86AA2667-3936-4BBD-A6E6-AB08F2D8D7E6}" id="{DA756FF2-882F-4A01-B1A7-0F3407FDC916}">
    <text>tarjeta</text>
  </threadedComment>
  <threadedComment ref="H156" dT="2025-09-24T19:13:31.00" personId="{86AA2667-3936-4BBD-A6E6-AB08F2D8D7E6}" id="{B63F8436-3884-491C-8578-25BEFB55615E}">
    <text>TARJETA</text>
  </threadedComment>
  <threadedComment ref="H157" dT="2025-09-24T22:35:32.00" personId="{86AA2667-3936-4BBD-A6E6-AB08F2D8D7E6}" id="{E7754506-0B37-4F5C-85E4-E0F06E6E9B6F}">
    <text>TRANSFERENCIA</text>
  </threadedComment>
  <threadedComment ref="H158" dT="2025-09-25T14:59:02.00" personId="{86AA2667-3936-4BBD-A6E6-AB08F2D8D7E6}" id="{BE723B68-3001-4D67-8FCF-9E073792BA9D}">
    <text>Transferencia</text>
  </threadedComment>
  <threadedComment ref="H161" dT="2025-09-25T22:34:30.00" personId="{86AA2667-3936-4BBD-A6E6-AB08F2D8D7E6}" id="{3ABD9E36-7484-488A-9CF3-8ACC94E65501}">
    <text>Tarjeta</text>
  </threadedComment>
  <threadedComment ref="H165" dT="2025-09-26T19:13:04.00" personId="{86AA2667-3936-4BBD-A6E6-AB08F2D8D7E6}" id="{C48A64FF-BDA8-470D-9195-291A269BB8BE}">
    <text>TRANSFERENCIA</text>
  </threadedComment>
  <threadedComment ref="H167" dT="2025-09-26T22:53:54.00" personId="{86AA2667-3936-4BBD-A6E6-AB08F2D8D7E6}" id="{F76CD174-4523-4177-9F0D-B58B72CC00BA}">
    <text>tarjeta</text>
  </threadedComment>
  <threadedComment ref="H168" dT="2025-09-27T16:26:04.00" personId="{86AA2667-3936-4BBD-A6E6-AB08F2D8D7E6}" id="{404024E3-5DB0-41EA-86AF-A3DCFA87AB3E}">
    <text>transferencia</text>
  </threadedComment>
  <threadedComment ref="H172" dT="2025-09-27T15:49:40.00" personId="{86AA2667-3936-4BBD-A6E6-AB08F2D8D7E6}" id="{EE75FE42-620D-4BEA-95B6-11B55FF29B20}">
    <text>tarjeta</text>
  </threadedComment>
  <threadedComment ref="H173" dT="2025-09-27T16:26:43.00" personId="{86AA2667-3936-4BBD-A6E6-AB08F2D8D7E6}" id="{65DC23F1-CD0C-4F37-A779-852C4FC7F885}">
    <text>transferencia + factura</text>
  </threadedComment>
  <threadedComment ref="H177" dT="2025-09-27T21:27:27.00" personId="{86AA2667-3936-4BBD-A6E6-AB08F2D8D7E6}" id="{45A8EFF5-AF2C-4B8C-A4FB-E48340AE32DC}">
    <text>tarjeta</text>
  </threadedComment>
  <threadedComment ref="H179" dT="2025-09-27T20:02:40.00" personId="{86AA2667-3936-4BBD-A6E6-AB08F2D8D7E6}" id="{78C30527-3D78-4E7D-ADD7-03D607A2D4A1}">
    <text>TARJETA</text>
  </threadedComment>
  <threadedComment ref="H180" dT="2025-09-27T20:59:32.00" personId="{86AA2667-3936-4BBD-A6E6-AB08F2D8D7E6}" id="{5DEEBE17-7558-4376-B9D2-EB71D0B0CB02}">
    <text>transferencia</text>
  </threadedComment>
  <threadedComment ref="H181" dT="2025-09-29T16:07:42.00" personId="{86AA2667-3936-4BBD-A6E6-AB08F2D8D7E6}" id="{F8E41A05-1A1E-434D-9BCA-9B95BE88368F}">
    <text>transferencia</text>
  </threadedComment>
  <threadedComment ref="H183" dT="2025-09-30T13:13:20.00" personId="{86AA2667-3936-4BBD-A6E6-AB08F2D8D7E6}" id="{387F7776-8BEA-44B6-A45D-C02D0FBE7176}">
    <text>Tarjeta</text>
  </threadedComment>
  <threadedComment ref="H184" dT="2025-09-30T13:13:27.00" personId="{86AA2667-3936-4BBD-A6E6-AB08F2D8D7E6}" id="{8128EC07-3CAB-42E3-A595-DDE90F918CEB}">
    <text>Tarjeta</text>
  </threadedComment>
  <threadedComment ref="H185" dT="2025-09-30T13:13:35.00" personId="{86AA2667-3936-4BBD-A6E6-AB08F2D8D7E6}" id="{A19C82D0-9911-4217-AF00-F104EFBBAE44}">
    <text>Tarjeta</text>
  </threadedComment>
  <threadedComment ref="H186" dT="2025-09-30T13:13:43.00" personId="{86AA2667-3936-4BBD-A6E6-AB08F2D8D7E6}" id="{58112D84-7C34-4ECA-BA7C-724B42AF9E34}">
    <text>Tarjeta</text>
  </threadedComment>
  <threadedComment ref="H188" dT="2025-09-30T19:37:13.00" personId="{86AA2667-3936-4BBD-A6E6-AB08F2D8D7E6}" id="{E624E4CC-CA82-4EF8-A363-C161B670BC4A}">
    <text>TRANSFERENCIA</text>
  </threadedComment>
  <threadedComment ref="H189" dT="2025-10-01T14:30:03.00" personId="{86AA2667-3936-4BBD-A6E6-AB08F2D8D7E6}" id="{596BD376-5977-49FF-880D-9919FA12AE47}">
    <text>tarjeta</text>
  </threadedComment>
  <threadedComment ref="H190" dT="2025-09-30T22:01:12.00" personId="{86AA2667-3936-4BBD-A6E6-AB08F2D8D7E6}" id="{D01FFEF7-9A71-47CE-8F38-92D750DA78C6}">
    <text>TRANSFERENCIA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5" dT="2025-10-01T20:41:25.00" personId="{86AA2667-3936-4BBD-A6E6-AB08F2D8D7E6}" id="{D52D470A-61CF-4506-A5E9-53B6DACD2CE6}">
    <text>transferencia</text>
  </threadedComment>
  <threadedComment ref="H10" dT="2025-10-02T14:22:42.00" personId="{86AA2667-3936-4BBD-A6E6-AB08F2D8D7E6}" id="{5A1E3A77-A02A-4BC8-AA38-7D77A957F286}">
    <text>TRANSFERENCIA</text>
  </threadedComment>
  <threadedComment ref="H12" dT="2025-10-02T21:30:48.00" personId="{86AA2667-3936-4BBD-A6E6-AB08F2D8D7E6}" id="{BCE2B693-E4CC-45E7-9B40-2AE7FF976C59}">
    <text>tarjeta</text>
  </threadedComment>
  <threadedComment ref="H13" dT="2025-10-03T13:07:55.00" personId="{86AA2667-3936-4BBD-A6E6-AB08F2D8D7E6}" id="{F21D8111-3CB3-4186-9E6D-8A8F02D641F3}">
    <text>tarjeta</text>
  </threadedComment>
  <threadedComment ref="H14" dT="2025-10-03T15:14:00.00" personId="{86AA2667-3936-4BBD-A6E6-AB08F2D8D7E6}" id="{D92A2D56-C830-406A-9323-B31989EC5572}">
    <text>tarjeta</text>
  </threadedComment>
  <threadedComment ref="H16" dT="2025-10-03T21:51:11.00" personId="{86AA2667-3936-4BBD-A6E6-AB08F2D8D7E6}" id="{D4957909-73B6-43C4-90A5-7B0A36CED03D}">
    <text>tarjeta</text>
  </threadedComment>
  <threadedComment ref="H19" dT="2025-10-06T13:11:46.00" personId="{86AA2667-3936-4BBD-A6E6-AB08F2D8D7E6}" id="{DB5B22F4-6C41-4E2F-AFAC-04E3A0065622}">
    <text>Tarjeta</text>
  </threadedComment>
  <threadedComment ref="H20" dT="2025-10-06T13:19:28.00" personId="{86AA2667-3936-4BBD-A6E6-AB08F2D8D7E6}" id="{43432A9F-3933-42EF-82A6-D587267A182A}">
    <text>Tarjeta</text>
  </threadedComment>
  <threadedComment ref="H30" dT="2025-10-06T13:18:41.00" personId="{86AA2667-3936-4BBD-A6E6-AB08F2D8D7E6}" id="{6AC5AE5B-029C-4DD4-B94B-586B9950B994}">
    <text>Tarjeta</text>
  </threadedComment>
  <threadedComment ref="H31" dT="2025-10-06T13:18:55.00" personId="{86AA2667-3936-4BBD-A6E6-AB08F2D8D7E6}" id="{562CA929-CEF2-4D04-967E-07DBD8BA2F7E}">
    <text>Transferencia</text>
  </threadedComment>
  <threadedComment ref="H32" dT="2025-10-06T20:20:26.00" personId="{86AA2667-3936-4BBD-A6E6-AB08F2D8D7E6}" id="{BB2FA1A7-2A38-45C4-86BD-3E2844347548}">
    <text>anticipo de 25.000</text>
  </threadedComment>
  <threadedComment ref="H35" dT="2025-10-06T21:19:24.00" personId="{86AA2667-3936-4BBD-A6E6-AB08F2D8D7E6}" id="{1D2F951C-72DA-4DA2-8973-DE52678C743C}">
    <text>Transferencia</text>
  </threadedComment>
  <threadedComment ref="H36" dT="2025-10-06T21:19:32.00" personId="{86AA2667-3936-4BBD-A6E6-AB08F2D8D7E6}" id="{11427CE2-38C0-42A4-97E7-E469E3201717}">
    <text>Transferencia</text>
  </threadedComment>
  <threadedComment ref="H37" dT="2025-10-06T22:27:05.00" personId="{86AA2667-3936-4BBD-A6E6-AB08F2D8D7E6}" id="{1F8E4716-7D18-46AD-8FD8-BC310E8FA20F}">
    <text>Transferencia</text>
  </threadedComment>
  <threadedComment ref="H39" dT="2025-10-07T16:08:31.00" personId="{86AA2667-3936-4BBD-A6E6-AB08F2D8D7E6}" id="{7F867692-DBA6-4C1B-94E3-B9E0F11FB4B6}">
    <text>transferenica</text>
  </threadedComment>
  <threadedComment ref="H40" dT="2025-10-07T14:07:37.00" personId="{86AA2667-3936-4BBD-A6E6-AB08F2D8D7E6}" id="{82E40931-AC35-4E42-8BD3-E33321B5822D}">
    <text>25.000 transferencia
15.000 efectivo</text>
  </threadedComment>
  <threadedComment ref="H42" dT="2025-10-07T22:28:03.00" personId="{86AA2667-3936-4BBD-A6E6-AB08F2D8D7E6}" id="{F12BAF4B-B72A-4D98-BB42-45B8ED61ABB8}">
    <text>Tarjeta</text>
  </threadedComment>
  <threadedComment ref="H43" dT="2025-10-07T21:17:32.00" personId="{86AA2667-3936-4BBD-A6E6-AB08F2D8D7E6}" id="{EFD8DEEB-D4EF-401F-ACEE-FE4FE77E667A}">
    <text>Transferencia</text>
  </threadedComment>
  <threadedComment ref="H44" dT="2025-10-07T21:18:50.00" personId="{86AA2667-3936-4BBD-A6E6-AB08F2D8D7E6}" id="{341F10F8-1C46-4E46-B2E0-95DF874DCF41}">
    <text>Transferencia</text>
  </threadedComment>
  <threadedComment ref="H46" dT="2025-10-08T15:30:18.00" personId="{86AA2667-3936-4BBD-A6E6-AB08F2D8D7E6}" id="{3760584A-3A9E-4E6B-8163-9B0C2FE30F53}">
    <text>TARJETA</text>
  </threadedComment>
  <threadedComment ref="H48" dT="2025-10-08T21:46:17.00" personId="{86AA2667-3936-4BBD-A6E6-AB08F2D8D7E6}" id="{00DC39E8-AD9C-4910-88EB-EE955C31FD7D}">
    <text>TRANSFERENCIA</text>
  </threadedComment>
  <threadedComment ref="H49" dT="2025-10-08T21:46:08.00" personId="{86AA2667-3936-4BBD-A6E6-AB08F2D8D7E6}" id="{D79EE775-3DD8-4545-8EB0-A33B1C656E0F}">
    <text>TRANSFERENCIA</text>
  </threadedComment>
  <threadedComment ref="H51" dT="2025-10-09T21:44:22.00" personId="{86AA2667-3936-4BBD-A6E6-AB08F2D8D7E6}" id="{938AEE6F-0DE3-434D-94E6-D0B0D0D89AFC}">
    <text>TARJETA</text>
  </threadedComment>
  <threadedComment ref="H52" dT="2025-10-09T21:45:12.00" personId="{86AA2667-3936-4BBD-A6E6-AB08F2D8D7E6}" id="{B13BFD28-0523-4756-B610-64446AD30089}">
    <text>TRANSFERENCIA</text>
  </threadedComment>
  <threadedComment ref="H55" dT="2025-10-10T16:25:57.00" personId="{86AA2667-3936-4BBD-A6E6-AB08F2D8D7E6}" id="{D08706D3-A0BD-4DC8-A64D-2349BE68F9D7}">
    <text>Tarjeta</text>
  </threadedComment>
  <threadedComment ref="H57" dT="2025-10-10T15:41:53.00" personId="{86AA2667-3936-4BBD-A6E6-AB08F2D8D7E6}" id="{821047E4-A34B-4CF0-9934-47E84E202B82}">
    <text>transferencia</text>
  </threadedComment>
  <threadedComment ref="H61" dT="2025-10-10T22:30:27.00" personId="{86AA2667-3936-4BBD-A6E6-AB08F2D8D7E6}" id="{38798802-DFD7-4D5B-9D3C-1F052FFF4393}">
    <text>transferencia</text>
  </threadedComment>
  <threadedComment ref="H62" dT="2025-10-11T14:42:26.00" personId="{86AA2667-3936-4BBD-A6E6-AB08F2D8D7E6}" id="{FD0664DA-949A-4E09-8907-6EE0A4A999D1}">
    <text>Transferencia</text>
  </threadedComment>
  <threadedComment ref="H64" dT="2025-10-10T16:05:50.00" personId="{86AA2667-3936-4BBD-A6E6-AB08F2D8D7E6}" id="{F53FBC16-8A09-4E22-AFE7-5B8DF465AA02}">
    <text>factura - ya esta pago</text>
  </threadedComment>
  <threadedComment ref="H65" dT="2025-10-11T21:37:49.00" personId="{86AA2667-3936-4BBD-A6E6-AB08F2D8D7E6}" id="{08570B6B-9A60-4CDE-B7E0-94F9EAE520C8}">
    <text>Tarjeta</text>
  </threadedComment>
  <threadedComment ref="H68" dT="2025-10-11T21:38:20.00" personId="{86AA2667-3936-4BBD-A6E6-AB08F2D8D7E6}" id="{919D2218-841B-48CA-8D2A-DB39AE705B89}">
    <text>Tarjeta</text>
  </threadedComment>
  <threadedComment ref="H73" dT="2025-10-14T16:48:08.00" personId="{86AA2667-3936-4BBD-A6E6-AB08F2D8D7E6}" id="{CB1211D8-6C65-41A3-A401-8CB3BE072B45}">
    <text>Transferencia</text>
  </threadedComment>
  <threadedComment ref="H74" dT="2025-10-14T21:47:51.00" personId="{86AA2667-3936-4BBD-A6E6-AB08F2D8D7E6}" id="{5A9E4641-60FD-4FD3-9438-D74B8BC03D80}">
    <text>Transferencia</text>
  </threadedComment>
  <threadedComment ref="H81" dT="2025-10-16T16:52:11.00" personId="{86AA2667-3936-4BBD-A6E6-AB08F2D8D7E6}" id="{FF61D4EA-1472-4862-91DA-D705F2FBDB95}">
    <text>tarjeta</text>
  </threadedComment>
  <threadedComment ref="H82" dT="2025-10-16T20:55:39.00" personId="{86AA2667-3936-4BBD-A6E6-AB08F2D8D7E6}" id="{AF210050-D78E-4B6D-AB97-5BFEAC294917}">
    <text>transferencia</text>
  </threadedComment>
  <threadedComment ref="H83" dT="2025-10-16T21:07:05.00" personId="{86AA2667-3936-4BBD-A6E6-AB08F2D8D7E6}" id="{A38A7E15-816F-46CE-8D2D-020FB855285E}">
    <text>tarjeta</text>
  </threadedComment>
  <threadedComment ref="H84" dT="2025-10-16T22:51:55.00" personId="{86AA2667-3936-4BBD-A6E6-AB08F2D8D7E6}" id="{F5570327-EFFC-4F04-8562-67C3A2047D18}">
    <text>Transferencia</text>
  </threadedComment>
  <threadedComment ref="H88" dT="2025-10-16T22:51:38.00" personId="{86AA2667-3936-4BBD-A6E6-AB08F2D8D7E6}" id="{EE866425-F7D9-4173-B3F3-727736E40F3C}">
    <text>Transferencia</text>
  </threadedComment>
  <threadedComment ref="H89" dT="2025-10-17T16:46:05.00" personId="{86AA2667-3936-4BBD-A6E6-AB08F2D8D7E6}" id="{0A76B02E-D290-4F2B-B645-BF31A21AA264}">
    <text>TARJETA</text>
  </threadedComment>
  <threadedComment ref="H96" dT="2025-10-18T13:03:41.00" personId="{86AA2667-3936-4BBD-A6E6-AB08F2D8D7E6}" id="{5002155D-7166-4A60-A7FD-19210555B4B4}">
    <text>Transferencia</text>
  </threadedComment>
  <threadedComment ref="H97" dT="2025-10-18T15:05:10.00" personId="{86AA2667-3936-4BBD-A6E6-AB08F2D8D7E6}" id="{DA845193-F65B-4E6B-81AC-E828D96D9AF2}">
    <text>Transferencia</text>
  </threadedComment>
  <threadedComment ref="H101" dT="2025-10-18T22:38:09.00" personId="{86AA2667-3936-4BBD-A6E6-AB08F2D8D7E6}" id="{7FFBB65A-1C8A-4360-AAD7-7D36118F7E54}">
    <text>Transferencia</text>
  </threadedComment>
  <threadedComment ref="H103" dT="2025-10-20T12:58:51.00" personId="{86AA2667-3936-4BBD-A6E6-AB08F2D8D7E6}" id="{70AAAFBB-F1B2-4FF2-858C-8DFB1B770A93}">
    <text>Transferencia</text>
  </threadedComment>
  <threadedComment ref="H104" dT="2025-10-18T22:47:06.00" personId="{86AA2667-3936-4BBD-A6E6-AB08F2D8D7E6}" id="{DC94ECF8-62AD-407C-AE52-65D745BA313B}">
    <text>Transferencia</text>
  </threadedComment>
  <threadedComment ref="H108" dT="2025-10-20T13:14:48.00" personId="{86AA2667-3936-4BBD-A6E6-AB08F2D8D7E6}" id="{ED398388-1367-4E57-ABD9-212AB85D2B65}">
    <text>Transferencia</text>
  </threadedComment>
  <threadedComment ref="H113" dT="2025-10-21T21:35:32.00" personId="{86AA2667-3936-4BBD-A6E6-AB08F2D8D7E6}" id="{5CDFE6C5-4ED8-4740-A404-285BB98A1963}">
    <text>Transferencia</text>
  </threadedComment>
  <threadedComment ref="H120" dT="2025-10-22T22:19:04.00" personId="{86AA2667-3936-4BBD-A6E6-AB08F2D8D7E6}" id="{A8ACD48A-3A27-4128-A058-18181A1905D5}">
    <text>tarjeta</text>
  </threadedComment>
  <threadedComment ref="H123" dT="2025-10-23T16:05:28.00" personId="{86AA2667-3936-4BBD-A6E6-AB08F2D8D7E6}" id="{9E12ED0F-3475-4AAA-98AE-79C81E6B8694}">
    <text>transferencia</text>
  </threadedComment>
  <threadedComment ref="H124" dT="2025-10-23T16:05:22.00" personId="{86AA2667-3936-4BBD-A6E6-AB08F2D8D7E6}" id="{B6030BA6-0385-4394-A92C-A4CAB1A53E17}">
    <text>transferencia</text>
  </threadedComment>
  <threadedComment ref="H125" dT="2025-10-23T19:12:25.00" personId="{86AA2667-3936-4BBD-A6E6-AB08F2D8D7E6}" id="{0D2E9BD8-44A7-4C35-B6DB-ABE4842E568A}">
    <text>factura</text>
  </threadedComment>
  <threadedComment ref="H128" dT="2025-10-23T22:42:06.00" personId="{86AA2667-3936-4BBD-A6E6-AB08F2D8D7E6}" id="{E3791136-F382-463C-AA81-CDB138530238}">
    <text>tarjta</text>
  </threadedComment>
  <threadedComment ref="H130" dT="2025-10-24T13:22:33.00" personId="{86AA2667-3936-4BBD-A6E6-AB08F2D8D7E6}" id="{FCDF67A3-5AD6-4894-A809-99584D86814A}">
    <text>tarjeta</text>
  </threadedComment>
  <threadedComment ref="H134" dT="2025-10-24T22:08:15.00" personId="{86AA2667-3936-4BBD-A6E6-AB08F2D8D7E6}" id="{EAFC79F8-7D26-4932-A88E-8A075F57F5A9}">
    <text>tarjeta</text>
  </threadedComment>
  <threadedComment ref="H135" dT="2025-10-24T22:42:24.00" personId="{86AA2667-3936-4BBD-A6E6-AB08F2D8D7E6}" id="{71EA7651-5FE1-4F59-918B-38095803CAD6}">
    <text>transferencia</text>
  </threadedComment>
  <threadedComment ref="H136" dT="2025-10-25T15:47:10.00" personId="{86AA2667-3936-4BBD-A6E6-AB08F2D8D7E6}" id="{3F583FAC-E378-4AE6-A7A2-07C683A38EFA}">
    <text>TARJETA</text>
  </threadedComment>
  <threadedComment ref="H137" dT="2025-10-25T16:30:20.00" personId="{86AA2667-3936-4BBD-A6E6-AB08F2D8D7E6}" id="{BE9FE2AC-F498-4736-AD05-22E2866A4940}">
    <text>transferencia</text>
  </threadedComment>
  <threadedComment ref="H145" dT="2025-10-25T22:50:23.00" personId="{86AA2667-3936-4BBD-A6E6-AB08F2D8D7E6}" id="{0668D731-A96C-4180-901B-7B660EA1AC17}">
    <text>transferencia</text>
  </threadedComment>
  <threadedComment ref="H146" dT="2025-10-27T15:42:54.00" personId="{86AA2667-3936-4BBD-A6E6-AB08F2D8D7E6}" id="{A9475BF0-D880-4AA7-A6D0-77CDBF1CAF06}">
    <text>TARJETA</text>
  </threadedComment>
  <threadedComment ref="H149" dT="2025-10-27T22:03:25.00" personId="{86AA2667-3936-4BBD-A6E6-AB08F2D8D7E6}" id="{48B2190B-DDB0-435F-8006-DB4AC36EAF7B}">
    <text>transferencia</text>
  </threadedComment>
  <threadedComment ref="H150" dT="2025-10-27T22:03:31.00" personId="{86AA2667-3936-4BBD-A6E6-AB08F2D8D7E6}" id="{34DF46AA-5A42-490C-816B-293A1FCF6263}">
    <text>transferencia</text>
  </threadedComment>
  <threadedComment ref="H151" dT="2025-10-27T22:39:25.00" personId="{86AA2667-3936-4BBD-A6E6-AB08F2D8D7E6}" id="{6CF49A87-0A75-4A3E-835C-4141C48AEF93}">
    <text>tarjeta</text>
  </threadedComment>
  <threadedComment ref="H152" dT="2025-10-28T15:22:12.00" personId="{86AA2667-3936-4BBD-A6E6-AB08F2D8D7E6}" id="{F2835BD7-16AC-42E3-A870-FC9471392C01}">
    <text>tarjeta</text>
  </threadedComment>
  <threadedComment ref="H153" dT="2025-10-28T15:22:18.00" personId="{86AA2667-3936-4BBD-A6E6-AB08F2D8D7E6}" id="{553A9F49-8565-4680-B6F9-D3F9666FBBB1}">
    <text>tarjeta</text>
  </threadedComment>
  <threadedComment ref="H154" dT="2025-10-28T15:38:08.00" personId="{86AA2667-3936-4BBD-A6E6-AB08F2D8D7E6}" id="{432BDE5A-425F-41BE-891C-55A9F6D96C6C}">
    <text>Tarjeta</text>
  </threadedComment>
  <threadedComment ref="H156" dT="2025-10-28T19:03:20.00" personId="{86AA2667-3936-4BBD-A6E6-AB08F2D8D7E6}" id="{4C209B1A-1306-49BD-A042-0061EC3E6D91}">
    <text>tarjeta</text>
  </threadedComment>
  <threadedComment ref="H157" dT="2025-10-28T19:03:27.00" personId="{86AA2667-3936-4BBD-A6E6-AB08F2D8D7E6}" id="{EB67A577-08A5-468F-B019-E58397881CA1}">
    <text>tarjeta</text>
  </threadedComment>
  <threadedComment ref="H158" dT="2025-10-28T19:03:32.00" personId="{86AA2667-3936-4BBD-A6E6-AB08F2D8D7E6}" id="{23C81898-4D46-41D0-AC80-DFB4E3722E78}">
    <text>tarjeta</text>
  </threadedComment>
  <threadedComment ref="H161" dT="2025-10-29T16:30:17.00" personId="{86AA2667-3936-4BBD-A6E6-AB08F2D8D7E6}" id="{4AF01496-9602-4F6D-9ED5-18D7DC648B84}">
    <text>transferencia</text>
  </threadedComment>
  <threadedComment ref="H164" dT="2025-10-29T19:16:43.00" personId="{86AA2667-3936-4BBD-A6E6-AB08F2D8D7E6}" id="{9AA418A4-7974-4965-9541-E4F6AC86527D}">
    <text>tarjeta</text>
  </threadedComment>
  <threadedComment ref="H165" dT="2025-10-29T20:51:00.00" personId="{86AA2667-3936-4BBD-A6E6-AB08F2D8D7E6}" id="{2FED4D94-D977-4805-B43F-0EAFD26247DC}">
    <text>tarjeta + factura</text>
  </threadedComment>
  <threadedComment ref="H167" dT="2025-10-29T14:23:27.00" personId="{86AA2667-3936-4BBD-A6E6-AB08F2D8D7E6}" id="{339CD1A5-BDE3-4BAA-9E37-CF73B1905BA6}">
    <text>transferencia</text>
  </threadedComment>
  <threadedComment ref="H172" dT="2025-10-30T19:17:20.00" personId="{86AA2667-3936-4BBD-A6E6-AB08F2D8D7E6}" id="{A37AA470-F88E-49BC-A64E-B927CB499B8A}">
    <text>tarjeta</text>
  </threadedComment>
  <threadedComment ref="H173" dT="2025-10-30T19:17:25.00" personId="{86AA2667-3936-4BBD-A6E6-AB08F2D8D7E6}" id="{55AB4BE5-8783-4DAC-BF99-0FE135C2FCF4}">
    <text>tarjeta</text>
  </threadedComment>
  <threadedComment ref="H177" dT="2025-10-30T20:18:25.00" personId="{86AA2667-3936-4BBD-A6E6-AB08F2D8D7E6}" id="{CDAB2B3A-89AA-4AC4-9CD6-82CA1A97667E}">
    <text>transferencia</text>
  </threadedComment>
  <threadedComment ref="H178" dT="2025-10-30T21:46:25.00" personId="{86AA2667-3936-4BBD-A6E6-AB08F2D8D7E6}" id="{E0284D19-5B98-4A47-806B-8CC76CB37CD5}">
    <text>transferencia + factura</text>
  </threadedComment>
  <threadedComment ref="H181" dT="2025-10-31T14:50:46.00" personId="{86AA2667-3936-4BBD-A6E6-AB08F2D8D7E6}" id="{488B862A-0214-407A-8658-076E9231E5D6}">
    <text>transferencia</text>
  </threadedComment>
  <threadedComment ref="H182" dT="2025-10-31T16:27:13.00" personId="{86AA2667-3936-4BBD-A6E6-AB08F2D8D7E6}" id="{A992250E-0C7F-43EE-A505-67D0076B0822}">
    <text>transferencia</text>
  </threadedComment>
  <threadedComment ref="H185" dT="2025-10-31T20:54:01.00" personId="{86AA2667-3936-4BBD-A6E6-AB08F2D8D7E6}" id="{4A5B7E76-13D4-4479-A988-13A4F5C7F979}">
    <text>tarjeta</text>
  </threadedComment>
  <threadedComment ref="H189" dT="2025-10-31T17:22:22.00" personId="{86AA2667-3936-4BBD-A6E6-AB08F2D8D7E6}" id="{36434307-B63C-411E-9855-C8B369E48E41}">
    <text>TRANSFERENCIA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H2" dT="2025-11-01T13:16:24.00" personId="{86AA2667-3936-4BBD-A6E6-AB08F2D8D7E6}" id="{B40B5FD8-BD11-46A6-AE79-858E55F64B74}">
    <text>TARJETA</text>
  </threadedComment>
  <threadedComment ref="H3" dT="2025-11-01T13:16:30.00" personId="{86AA2667-3936-4BBD-A6E6-AB08F2D8D7E6}" id="{F7C31327-3C6B-4A73-9087-8D77542BF3CB}">
    <text>TARJETA</text>
  </threadedComment>
  <threadedComment ref="H4" dT="2025-11-01T16:10:24.00" personId="{86AA2667-3936-4BBD-A6E6-AB08F2D8D7E6}" id="{1210DF0C-3B4F-4E0A-9567-720166E850F2}">
    <text>transferencia</text>
  </threadedComment>
  <threadedComment ref="H8" dT="2025-11-01T20:33:56.00" personId="{86AA2667-3936-4BBD-A6E6-AB08F2D8D7E6}" id="{7B316F1B-9994-4FF5-AA18-D17741B1C681}">
    <text>transferencia</text>
  </threadedComment>
  <threadedComment ref="H9" dT="2025-11-01T22:13:18.00" personId="{86AA2667-3936-4BBD-A6E6-AB08F2D8D7E6}" id="{57B99F47-F2D6-4ED7-8027-53186C8F6F4E}">
    <text>transferencia</text>
  </threadedComment>
  <threadedComment ref="H11" dT="2025-11-01T21:41:26.00" personId="{86AA2667-3936-4BBD-A6E6-AB08F2D8D7E6}" id="{9D9A96E3-E529-4825-830D-2E62B45BA4D2}">
    <text>tarjeta</text>
  </threadedComment>
  <threadedComment ref="H14" dT="2025-11-01T15:11:38.00" personId="{86AA2667-3936-4BBD-A6E6-AB08F2D8D7E6}" id="{FF5C5307-FD6E-491A-9564-0EB99DD10FF2}">
    <text>transferencia</text>
  </threadedComment>
  <threadedComment ref="H15" dT="2025-11-01T15:11:45.00" personId="{86AA2667-3936-4BBD-A6E6-AB08F2D8D7E6}" id="{1E6C2E08-983A-4DA7-B4C0-30413478205F}">
    <text>transferencia</text>
  </threadedComment>
  <threadedComment ref="H16" dT="2025-11-04T16:43:44.00" personId="{86AA2667-3936-4BBD-A6E6-AB08F2D8D7E6}" id="{3038280F-78CE-4195-B24B-C7FB4AE6C6F0}">
    <text>tarjeta</text>
  </threadedComment>
  <threadedComment ref="H17" dT="2025-11-04T16:43:50.00" personId="{86AA2667-3936-4BBD-A6E6-AB08F2D8D7E6}" id="{5766DF03-C27E-4C7A-B79B-1CA6014F3D0B}">
    <text>tarjeta</text>
  </threadedComment>
  <threadedComment ref="H20" dT="2025-11-04T21:49:18.00" personId="{86AA2667-3936-4BBD-A6E6-AB08F2D8D7E6}" id="{F27302F5-C66E-4723-B07F-90650CAABDB1}">
    <text>transferencia</text>
  </threadedComment>
  <threadedComment ref="H25" dT="2025-11-04T22:08:16.00" personId="{86AA2667-3936-4BBD-A6E6-AB08F2D8D7E6}" id="{C771EEC8-E4D7-4C71-92A7-5A9EA3E765CB}">
    <text>factura</text>
  </threadedComment>
  <threadedComment ref="H27" dT="2025-11-05T16:25:32.00" personId="{86AA2667-3936-4BBD-A6E6-AB08F2D8D7E6}" id="{EF8BC698-BF3C-48BE-B4A0-7C187FE1AA82}">
    <text>Transferencia</text>
  </threadedComment>
  <threadedComment ref="H30" dT="2025-11-06T13:20:46.00" personId="{86AA2667-3936-4BBD-A6E6-AB08F2D8D7E6}" id="{E0DBF240-110A-4649-8F27-AD14BD94EB2A}">
    <text>Transferencia</text>
  </threadedComment>
  <threadedComment ref="H31" dT="2025-11-05T21:00:10.00" personId="{86AA2667-3936-4BBD-A6E6-AB08F2D8D7E6}" id="{965F5B0B-2840-4DE8-A745-1A55845EC95B}">
    <text>Tarjeta</text>
  </threadedComment>
  <threadedComment ref="H35" dT="2025-11-06T13:24:47.00" personId="{86AA2667-3936-4BBD-A6E6-AB08F2D8D7E6}" id="{41B1B6CB-769A-417A-9CF5-18C343E11A0D}">
    <text>Tarjeta</text>
  </threadedComment>
  <threadedComment ref="H40" dT="2025-11-06T22:44:57.00" personId="{86AA2667-3936-4BBD-A6E6-AB08F2D8D7E6}" id="{DE2263F3-C951-4161-BD34-0B0DA4D29338}">
    <text>Transferencia</text>
  </threadedComment>
  <threadedComment ref="H48" dT="2025-11-07T21:49:07.00" personId="{86AA2667-3936-4BBD-A6E6-AB08F2D8D7E6}" id="{B801D062-AA29-4C3B-9E8D-54AA9A5DC702}">
    <text>80.000 Tarjeta
30.000 efectivo</text>
  </threadedComment>
  <threadedComment ref="H49" dT="2025-11-07T21:49:22.00" personId="{86AA2667-3936-4BBD-A6E6-AB08F2D8D7E6}" id="{98D9436C-4AE7-4FA8-9D58-C8474B97F26B}">
    <text>80.000 TARJETA
30.000 EFECTIVO</text>
  </threadedComment>
  <threadedComment ref="H55" dT="2025-11-10T15:07:24.00" personId="{86AA2667-3936-4BBD-A6E6-AB08F2D8D7E6}" id="{B467FF0E-BF48-45CE-A536-E39DD0BACB82}">
    <text>tarjeta</text>
  </threadedComment>
  <threadedComment ref="H56" dT="2025-11-10T15:07:29.00" personId="{86AA2667-3936-4BBD-A6E6-AB08F2D8D7E6}" id="{95F2A8CE-6AB6-45D0-92A1-311FD59227D7}">
    <text>tarjeta</text>
  </threadedComment>
  <threadedComment ref="H62" dT="2025-11-08T22:58:58.00" personId="{86AA2667-3936-4BBD-A6E6-AB08F2D8D7E6}" id="{A2549A94-0D37-4BB0-8E1D-6191E1685F36}">
    <text>TARJETA</text>
  </threadedComment>
  <threadedComment ref="H64" dT="2025-11-08T22:59:25.00" personId="{86AA2667-3936-4BBD-A6E6-AB08F2D8D7E6}" id="{C7BD7378-1084-4F26-AAE7-CCB6485507A5}">
    <text>TARJETA</text>
  </threadedComment>
  <threadedComment ref="H65" dT="2025-11-08T16:46:43.00" personId="{86AA2667-3936-4BBD-A6E6-AB08F2D8D7E6}" id="{3C8F51F7-7E5F-4B97-8EF2-113F7FFC8F68}">
    <text>Transferencia</text>
  </threadedComment>
  <threadedComment ref="H67" dT="2025-11-08T21:09:01.00" personId="{86AA2667-3936-4BBD-A6E6-AB08F2D8D7E6}" id="{083BA4AC-B474-44BC-908D-DE6420986633}">
    <text>Transferencia</text>
  </threadedComment>
  <threadedComment ref="H68" dT="2025-11-08T21:09:09.00" personId="{86AA2667-3936-4BBD-A6E6-AB08F2D8D7E6}" id="{66E4C8BE-0371-4CBA-B305-A8053E921DF9}">
    <text>Transferencia</text>
  </threadedComment>
  <threadedComment ref="H69" dT="2025-11-10T22:42:36.00" personId="{86AA2667-3936-4BBD-A6E6-AB08F2D8D7E6}" id="{B108424B-2C33-4901-84F1-E8F8A75D85C8}">
    <text>90 transferencia 
100 efectivo</text>
  </threadedComment>
  <threadedComment ref="H70" dT="2025-11-10T22:42:24.00" personId="{86AA2667-3936-4BBD-A6E6-AB08F2D8D7E6}" id="{E5E2650B-418F-42B4-8A35-F8E7A3BC46BF}">
    <text>tarjeta</text>
  </threadedComment>
  <threadedComment ref="H72" dT="2025-11-10T22:48:12.00" personId="{86AA2667-3936-4BBD-A6E6-AB08F2D8D7E6}" id="{00E3E40E-4C03-4F12-B3B2-FBC1A3CFD347}">
    <text>tarjeta</text>
  </threadedComment>
  <threadedComment ref="H73" dT="2025-11-10T22:48:23.00" personId="{86AA2667-3936-4BBD-A6E6-AB08F2D8D7E6}" id="{50685191-50B2-489F-AE8F-C8606C29227F}">
    <text>tarjeta</text>
  </threadedComment>
  <threadedComment ref="H74" dT="2025-11-11T16:32:18.00" personId="{86AA2667-3936-4BBD-A6E6-AB08F2D8D7E6}" id="{A84741C3-8D61-476C-9D7A-439D01D5FE2D}">
    <text>TARJETA</text>
  </threadedComment>
  <threadedComment ref="H75" dT="2025-11-11T20:36:22.00" personId="{86AA2667-3936-4BBD-A6E6-AB08F2D8D7E6}" id="{C0C32D8C-49F3-42C1-9F09-E6E68E2EBBCD}">
    <text>transferencia</text>
  </threadedComment>
  <threadedComment ref="H79" dT="2025-11-12T16:03:02.00" personId="{86AA2667-3936-4BBD-A6E6-AB08F2D8D7E6}" id="{3F6ADB89-6CCA-4E7B-9AD6-DFC884C6F06E}">
    <text>transferencia</text>
  </threadedComment>
  <threadedComment ref="H80" dT="2025-11-12T16:03:08.00" personId="{86AA2667-3936-4BBD-A6E6-AB08F2D8D7E6}" id="{19D8A8B9-717B-4E7C-8365-D8065E92DDEF}">
    <text>transferencia</text>
  </threadedComment>
  <threadedComment ref="H82" dT="2025-11-12T22:45:01.00" personId="{86AA2667-3936-4BBD-A6E6-AB08F2D8D7E6}" id="{DDA5BFA8-D1D5-47A6-8403-FA01EB582F17}">
    <text>factura</text>
  </threadedComment>
  <threadedComment ref="H83" dT="2025-11-12T21:46:42.00" personId="{86AA2667-3936-4BBD-A6E6-AB08F2D8D7E6}" id="{45ADAC2C-0A7B-4089-B562-F9278C10F785}">
    <text>factura</text>
  </threadedComment>
  <threadedComment ref="H95" dT="2025-11-13T22:15:22.00" personId="{86AA2667-3936-4BBD-A6E6-AB08F2D8D7E6}" id="{62EE4F1A-65B0-4637-8AC9-0BBF91A8729C}">
    <text>TRANSFERENCIA</text>
  </threadedComment>
  <threadedComment ref="H98" dT="2025-11-14T16:00:08.00" personId="{86AA2667-3936-4BBD-A6E6-AB08F2D8D7E6}" id="{24CBF550-3690-48E8-ABB7-C5CF1162693A}">
    <text>tarjeta</text>
  </threadedComment>
  <threadedComment ref="H100" dT="2025-11-14T21:48:50.00" personId="{86AA2667-3936-4BBD-A6E6-AB08F2D8D7E6}" id="{A2BD9776-7227-4AD2-BAE3-BB8756B77C0C}">
    <text>tarjeta</text>
  </threadedComment>
  <threadedComment ref="H101" dT="2025-11-14T21:48:43.00" personId="{86AA2667-3936-4BBD-A6E6-AB08F2D8D7E6}" id="{B6FCC1BA-283F-4DA9-9082-D6676854C83E}">
    <text>tarjeta</text>
  </threadedComment>
  <threadedComment ref="H104" dT="2025-11-15T16:25:21.00" personId="{86AA2667-3936-4BBD-A6E6-AB08F2D8D7E6}" id="{6E9D55C9-7274-40F6-8E4A-133D827CCA3D}">
    <text>TARJETA</text>
  </threadedComment>
  <threadedComment ref="H111" dT="2025-11-15T21:26:48.00" personId="{86AA2667-3936-4BBD-A6E6-AB08F2D8D7E6}" id="{025B3BD6-9BBA-4932-9D90-5C1AC6A3FFC6}">
    <text>transferencia</text>
  </threadedComment>
  <threadedComment ref="H112" dT="2025-11-15T21:55:59.00" personId="{86AA2667-3936-4BBD-A6E6-AB08F2D8D7E6}" id="{AD4C90E1-220B-447D-B2DE-CCA093C92E1D}">
    <text>transferencia</text>
  </threadedComment>
  <threadedComment ref="H114" dT="2025-11-18T13:29:08.00" personId="{86AA2667-3936-4BBD-A6E6-AB08F2D8D7E6}" id="{CEC19F56-B0EB-4A7D-A06A-D4CCE284CDA2}">
    <text>transferencia</text>
  </threadedComment>
  <threadedComment ref="H124" dT="2025-11-19T13:17:41.00" personId="{86AA2667-3936-4BBD-A6E6-AB08F2D8D7E6}" id="{1F4FA4E8-8164-408E-B979-949951369481}">
    <text>TARJETA</text>
  </threadedComment>
  <threadedComment ref="H130" dT="2025-11-19T22:06:20.00" personId="{86AA2667-3936-4BBD-A6E6-AB08F2D8D7E6}" id="{A2E8A626-C4E2-4CB3-BC8B-8B6EFDFF648B}">
    <text>Transferencia</text>
  </threadedComment>
  <threadedComment ref="H132" dT="2025-11-19T22:15:27.00" personId="{86AA2667-3936-4BBD-A6E6-AB08F2D8D7E6}" id="{4A5FCA53-28EA-4DBB-A00A-DCDDB37E5AE8}">
    <text>38.000 transferencia
32.000 efectivo</text>
  </threadedComment>
  <threadedComment ref="H133" dT="2025-11-20T20:11:31.00" personId="{86AA2667-3936-4BBD-A6E6-AB08F2D8D7E6}" id="{7C22A7FE-D015-4E11-9B9B-44CBB6A1350B}">
    <text>Transferencia</text>
  </threadedComment>
  <threadedComment ref="H134" dT="2025-11-21T13:37:34.00" personId="{86AA2667-3936-4BBD-A6E6-AB08F2D8D7E6}" id="{CD2AA249-5C85-403F-A42B-9EAF75BFC59F}">
    <text>TRANSFERENCIA</text>
  </threadedComment>
  <threadedComment ref="H136" dT="2025-11-21T13:36:42.00" personId="{86AA2667-3936-4BBD-A6E6-AB08F2D8D7E6}" id="{FAF33198-BCBF-47C0-BE03-E7E94B427B0C}">
    <text>TRANSFERENCIA</text>
  </threadedComment>
  <threadedComment ref="H137" dT="2025-11-20T22:41:15.00" personId="{86AA2667-3936-4BBD-A6E6-AB08F2D8D7E6}" id="{A7F5B8FE-94B3-4B47-99B4-961B7002D108}">
    <text>Tarjeta</text>
  </threadedComment>
  <threadedComment ref="H138" dT="2025-11-20T22:41:32.00" personId="{86AA2667-3936-4BBD-A6E6-AB08F2D8D7E6}" id="{43ACBDB3-FE41-4A30-AE76-237B8E8F47FA}">
    <text>Transferencia</text>
  </threadedComment>
  <threadedComment ref="H140" dT="2025-11-21T16:59:10.00" personId="{86AA2667-3936-4BBD-A6E6-AB08F2D8D7E6}" id="{8BD16693-0BE6-4CF2-9BBB-D30E8CD82771}">
    <text>80.000 transferencia
5.000 efectivo</text>
  </threadedComment>
  <threadedComment ref="H142" dT="2025-11-21T21:14:06.00" personId="{86AA2667-3936-4BBD-A6E6-AB08F2D8D7E6}" id="{3B02C11D-A6EF-4169-9F8E-4D3A21B90894}">
    <text>transferencia</text>
  </threadedComment>
  <threadedComment ref="H147" dT="2025-11-22T19:14:26.00" personId="{86AA2667-3936-4BBD-A6E6-AB08F2D8D7E6}" id="{4F381809-F195-4792-B9C8-3D070B973303}">
    <text>tarjeta</text>
  </threadedComment>
  <threadedComment ref="H148" dT="2025-11-22T19:14:54.00" personId="{86AA2667-3936-4BBD-A6E6-AB08F2D8D7E6}" id="{EA72BC2A-87B1-4D1E-B1B0-8A8EF268BA8B}">
    <text>TARJETA</text>
  </threadedComment>
  <threadedComment ref="H150" dT="2025-11-22T22:53:02.00" personId="{86AA2667-3936-4BBD-A6E6-AB08F2D8D7E6}" id="{720B0741-B836-41D5-8A6F-E4E8CBC39FC0}">
    <text>factura</text>
  </threadedComment>
  <threadedComment ref="H157" dT="2025-11-24T21:51:03.00" personId="{86AA2667-3936-4BBD-A6E6-AB08F2D8D7E6}" id="{1F02DC23-F6F0-42D7-B8AC-05489EE652D3}">
    <text>TARJETA</text>
  </threadedComment>
  <threadedComment ref="H158" dT="2025-11-24T15:24:49.00" personId="{86AA2667-3936-4BBD-A6E6-AB08F2D8D7E6}" id="{9C3054E7-FD3D-4580-BA28-6C9036F5F2CF}">
    <text>Transferencia</text>
  </threadedComment>
  <threadedComment ref="H160" dT="2025-11-25T22:19:09.00" personId="{86AA2667-3936-4BBD-A6E6-AB08F2D8D7E6}" id="{F1312D86-929E-4A70-8F93-E850E99E71F7}">
    <text>transferencia</text>
  </threadedComment>
  <threadedComment ref="H164" dT="2025-11-27T13:19:54.00" personId="{86AA2667-3936-4BBD-A6E6-AB08F2D8D7E6}" id="{C72FC859-D268-4FF7-B050-DEDE2BF70A38}">
    <text>tarjeta</text>
  </threadedComment>
  <threadedComment ref="H172" dT="2025-11-27T16:47:36.00" personId="{86AA2667-3936-4BBD-A6E6-AB08F2D8D7E6}" id="{A66FE7FF-EDB5-4EBF-90B4-9CDFF27C4D18}">
    <text>transferencia</text>
  </threadedComment>
  <threadedComment ref="H173" dT="2025-11-27T16:47:26.00" personId="{86AA2667-3936-4BBD-A6E6-AB08F2D8D7E6}" id="{D1B612F2-77D7-42D0-97A9-635745389444}">
    <text>transferencia</text>
  </threadedComment>
  <threadedComment ref="H174" dT="2025-11-27T21:52:54.00" personId="{86AA2667-3936-4BBD-A6E6-AB08F2D8D7E6}" id="{38B74AF2-65F4-4BE2-AC86-AE766C668DBA}">
    <text>transferencia</text>
  </threadedComment>
  <threadedComment ref="H176" dT="2025-11-27T21:14:04.00" personId="{86AA2667-3936-4BBD-A6E6-AB08F2D8D7E6}" id="{750E708B-BA0D-4E77-AC8C-4EB0CDCAC3F1}">
    <text>tarjeta</text>
  </threadedComment>
  <threadedComment ref="H181" dT="2025-12-02T13:31:57.00" personId="{86AA2667-3936-4BBD-A6E6-AB08F2D8D7E6}" id="{70969BC9-2422-4453-A4CA-CFEEC6BE6813}">
    <text>transferencia</text>
  </threadedComment>
  <threadedComment ref="H193" dT="2025-12-02T13:30:16.00" personId="{86AA2667-3936-4BBD-A6E6-AB08F2D8D7E6}" id="{EE06CBA3-59DA-4D3E-88B3-BD595FA6437E}">
    <text>TARJETA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H3" dT="2025-12-01T19:11:06.00" personId="{86AA2667-3936-4BBD-A6E6-AB08F2D8D7E6}" id="{98BDDF93-B241-4469-8FB4-82B6D7FCF7A4}">
    <text>TRANSFERENCIA</text>
  </threadedComment>
  <threadedComment ref="H5" dT="2025-12-01T21:20:24.00" personId="{86AA2667-3936-4BBD-A6E6-AB08F2D8D7E6}" id="{04AC0B94-25F4-4FE4-818C-CB19FE52A4CD}">
    <text>TRANSFERENCIA</text>
  </threadedComment>
  <threadedComment ref="H9" dT="2025-12-02T13:36:55.00" personId="{86AA2667-3936-4BBD-A6E6-AB08F2D8D7E6}" id="{F4D36180-52FD-43DB-91F8-818677C44FB0}">
    <text>TRANSFERENCIA + TARJETA</text>
  </threadedComment>
  <threadedComment ref="H10" dT="2025-12-01T21:37:52.00" personId="{86AA2667-3936-4BBD-A6E6-AB08F2D8D7E6}" id="{90FB5FE1-35D3-45A1-94DA-DC1C96E90C97}">
    <text>TRANSFERENCIA</text>
  </threadedComment>
  <threadedComment ref="H13" dT="2025-12-02T17:04:20.00" personId="{86AA2667-3936-4BBD-A6E6-AB08F2D8D7E6}" id="{DFE1CF08-52BF-41AE-981F-34A7B4F51C24}">
    <text>TRANSFERENCIA</text>
  </threadedComment>
  <threadedComment ref="H14" dT="2025-12-02T17:04:28.00" personId="{86AA2667-3936-4BBD-A6E6-AB08F2D8D7E6}" id="{924C3A06-B998-42CA-A70D-8FA52BE84340}">
    <text>TRANSFERENCIA</text>
  </threadedComment>
  <threadedComment ref="H15" dT="2025-12-02T17:04:36.00" personId="{86AA2667-3936-4BBD-A6E6-AB08F2D8D7E6}" id="{E558F282-08CD-472C-876A-5EB31A6C366D}">
    <text>TRANSFERENCIA</text>
  </threadedComment>
  <threadedComment ref="H16" dT="2025-12-02T17:04:48.00" personId="{86AA2667-3936-4BBD-A6E6-AB08F2D8D7E6}" id="{E264AE75-D110-4C5F-8F54-85D93692EAC2}">
    <text>TRANSFERENCIA</text>
  </threadedComment>
  <threadedComment ref="H19" dT="2025-12-06T14:13:04.00" personId="{86AA2667-3936-4BBD-A6E6-AB08F2D8D7E6}" id="{58E3309A-9A91-4F9E-9BFD-6D920F1CC577}">
    <text>transferencia</text>
  </threadedComment>
  <threadedComment ref="H20" dT="2025-12-06T14:09:22.00" personId="{86AA2667-3936-4BBD-A6E6-AB08F2D8D7E6}" id="{CA5F0CA1-60F7-4C7C-85AF-B7E110881A80}">
    <text>transferencia</text>
  </threadedComment>
  <threadedComment ref="H21" dT="2025-12-06T14:09:28.00" personId="{86AA2667-3936-4BBD-A6E6-AB08F2D8D7E6}" id="{6DA3D1BF-CCC2-4933-899B-3EC62B133132}">
    <text>transferencia</text>
  </threadedComment>
  <threadedComment ref="H22" dT="2025-12-06T14:09:34.00" personId="{86AA2667-3936-4BBD-A6E6-AB08F2D8D7E6}" id="{D334CA06-A55D-4ED6-AA1E-6B5EB25002A5}">
    <text>transferencia</text>
  </threadedComment>
  <threadedComment ref="H23" dT="2025-12-06T14:09:44.00" personId="{86AA2667-3936-4BBD-A6E6-AB08F2D8D7E6}" id="{8779E972-CA5B-4E60-BCF5-E067D6E6EBFA}">
    <text>transferencia</text>
  </threadedComment>
  <threadedComment ref="H27" dT="2025-12-06T14:13:55.00" personId="{86AA2667-3936-4BBD-A6E6-AB08F2D8D7E6}" id="{1F74C865-95F1-435F-8FE1-F5B3417246C5}">
    <text>transferencia</text>
  </threadedComment>
  <threadedComment ref="H28" dT="2025-12-06T13:43:57.00" personId="{86AA2667-3936-4BBD-A6E6-AB08F2D8D7E6}" id="{D9BB1504-E525-40DC-B1B0-359E685A6E43}">
    <text>transferencia</text>
  </threadedComment>
  <threadedComment ref="H31" dT="2025-12-06T14:14:34.00" personId="{86AA2667-3936-4BBD-A6E6-AB08F2D8D7E6}" id="{359C467E-A2C1-468F-BE39-1B4348E2891F}">
    <text>tarjeta+transferencia</text>
  </threadedComment>
  <threadedComment ref="H33" dT="2025-12-06T13:53:51.00" personId="{86AA2667-3936-4BBD-A6E6-AB08F2D8D7E6}" id="{C10F1EA8-3978-42BC-BE2E-9C215D515C02}">
    <text>transferencia</text>
  </threadedComment>
  <threadedComment ref="H36" dT="2025-12-05T19:49:03.00" personId="{86AA2667-3936-4BBD-A6E6-AB08F2D8D7E6}" id="{15066627-ADA3-4724-9D50-122950201EAF}">
    <text>TARJETA</text>
  </threadedComment>
  <threadedComment ref="H37" dT="2025-12-05T19:49:27.00" personId="{86AA2667-3936-4BBD-A6E6-AB08F2D8D7E6}" id="{E05DA74A-6C7B-4168-B33B-BFE344DFE986}">
    <text>TRANSFERENCIA</text>
  </threadedComment>
  <threadedComment ref="H38" dT="2025-12-05T19:49:58.00" personId="{86AA2667-3936-4BBD-A6E6-AB08F2D8D7E6}" id="{A8D30D0B-5186-4544-A24C-0FD96588290D}">
    <text>TRANSFERENCIA</text>
  </threadedComment>
  <threadedComment ref="H42" dT="2025-12-05T21:16:50.00" personId="{86AA2667-3936-4BBD-A6E6-AB08F2D8D7E6}" id="{066298D7-C734-464E-8EA1-EC120BA0E83F}">
    <text>TRANSFERENCIA</text>
  </threadedComment>
  <threadedComment ref="H43" dT="2025-12-06T13:42:34.00" personId="{86AA2667-3936-4BBD-A6E6-AB08F2D8D7E6}" id="{2702AB25-2BE8-4FE8-9908-7D3D96C5D7A9}">
    <text>transferencia</text>
  </threadedComment>
  <threadedComment ref="H44" dT="2025-12-06T14:20:51.00" personId="{86AA2667-3936-4BBD-A6E6-AB08F2D8D7E6}" id="{3053D98C-C02D-443F-980F-1123E129E7B6}">
    <text>30 transferenica
55 efectivo</text>
  </threadedComment>
  <threadedComment ref="H46" dT="2025-12-06T15:03:16.00" personId="{86AA2667-3936-4BBD-A6E6-AB08F2D8D7E6}" id="{8DA7BDF4-54B0-427D-AED5-71D014D58B78}">
    <text>transferencia</text>
  </threadedComment>
  <threadedComment ref="H47" dT="2025-12-06T15:42:17.00" personId="{86AA2667-3936-4BBD-A6E6-AB08F2D8D7E6}" id="{63A8BD8A-63B2-4DD5-B91B-C2CF221B3947}">
    <text>transferencia y tarjeta</text>
  </threadedComment>
  <threadedComment ref="H48" dT="2025-12-06T15:42:27.00" personId="{86AA2667-3936-4BBD-A6E6-AB08F2D8D7E6}" id="{734F690C-7647-40D8-8664-D92056B86BA0}">
    <text>transferencia y tarjeta</text>
  </threadedComment>
  <threadedComment ref="H51" dT="2025-12-06T15:58:49.00" personId="{86AA2667-3936-4BBD-A6E6-AB08F2D8D7E6}" id="{3350FDA5-BA54-4E14-AFCC-4F6BD8FA90A6}">
    <text>transferencia</text>
  </threadedComment>
  <threadedComment ref="H55" dT="2025-12-06T22:10:05.00" personId="{86AA2667-3936-4BBD-A6E6-AB08F2D8D7E6}" id="{8E9BADC5-59B7-41F4-BC44-5545CA63AC8F}">
    <text>transferencia</text>
  </threadedComment>
  <threadedComment ref="H56" dT="2025-12-09T15:48:56.00" personId="{86AA2667-3936-4BBD-A6E6-AB08F2D8D7E6}" id="{2E6DEA17-6060-4535-88E0-43E0B5C12DD7}">
    <text>30 transferencia
efectivo</text>
  </threadedComment>
  <threadedComment ref="H57" dT="2025-12-06T22:10:35.00" personId="{86AA2667-3936-4BBD-A6E6-AB08F2D8D7E6}" id="{A5C3E05C-5180-4609-8860-4FF11EA141FC}">
    <text>transferencia</text>
  </threadedComment>
  <threadedComment ref="H58" dT="2025-12-09T15:48:21.00" personId="{86AA2667-3936-4BBD-A6E6-AB08F2D8D7E6}" id="{2D0BDDC5-5B15-4ABE-B4AC-8D48AD556A9C}">
    <text>30 tarjeta
efectivo</text>
  </threadedComment>
  <threadedComment ref="H59" dT="2025-12-06T22:52:46.00" personId="{86AA2667-3936-4BBD-A6E6-AB08F2D8D7E6}" id="{6D5C187B-1DAE-4145-A485-CD774FF5EB0D}">
    <text>TRANSFERENCIA</text>
  </threadedComment>
  <threadedComment ref="H60" dT="2025-12-09T15:48:07.00" personId="{86AA2667-3936-4BBD-A6E6-AB08F2D8D7E6}" id="{F32D8513-25DE-4337-872C-35AA21AF2ED5}">
    <text>30 transferecia
35 efectivo</text>
  </threadedComment>
  <threadedComment ref="H61" dT="2025-12-09T15:47:25.00" personId="{86AA2667-3936-4BBD-A6E6-AB08F2D8D7E6}" id="{4E36A00B-A131-4A9B-9C37-BB49DA08E185}">
    <text>30 transferencia
35 efectivo</text>
  </threadedComment>
  <threadedComment ref="H67" dT="2025-12-09T22:18:02.00" personId="{86AA2667-3936-4BBD-A6E6-AB08F2D8D7E6}" id="{A0A96696-6CB9-459D-983A-A796AB6DA12C}">
    <text>transferencia</text>
  </threadedComment>
  <threadedComment ref="H68" dT="2025-12-09T22:17:52.00" personId="{86AA2667-3936-4BBD-A6E6-AB08F2D8D7E6}" id="{DDC5F514-15BE-4FCA-AF65-2474F17FD69D}">
    <text>tarjeta</text>
  </threadedComment>
  <threadedComment ref="H69" dT="2025-12-09T22:18:32.00" personId="{86AA2667-3936-4BBD-A6E6-AB08F2D8D7E6}" id="{4D192C9D-ADD0-424C-B993-6563DEE3AA9E}">
    <text>50 transferencia
25 efectivo</text>
  </threadedComment>
  <threadedComment ref="H70" dT="2025-12-09T22:17:39.00" personId="{86AA2667-3936-4BBD-A6E6-AB08F2D8D7E6}" id="{5047D13F-58CB-486F-826E-BDE70B5F8515}">
    <text>transferencia</text>
  </threadedComment>
  <threadedComment ref="H71" dT="2025-12-10T13:58:20.00" personId="{86AA2667-3936-4BBD-A6E6-AB08F2D8D7E6}" id="{E3212666-00A8-4D19-92C2-C3A0C056B612}">
    <text>30 transferencia 
45 efectivo</text>
  </threadedComment>
  <threadedComment ref="H74" dT="2025-12-10T19:19:49.00" personId="{86AA2667-3936-4BBD-A6E6-AB08F2D8D7E6}" id="{8E5D943A-2A01-4B7D-A73C-CAEC4A5C4DFA}">
    <text>TRANSFERENCIA</text>
  </threadedComment>
  <threadedComment ref="H77" dT="2025-12-10T19:29:08.00" personId="{86AA2667-3936-4BBD-A6E6-AB08F2D8D7E6}" id="{CE9E8529-C8FF-4239-83BD-797A20FDA721}">
    <text>transferencia</text>
  </threadedComment>
  <threadedComment ref="H78" dT="2025-12-10T22:46:17.00" personId="{86AA2667-3936-4BBD-A6E6-AB08F2D8D7E6}" id="{C8A02185-6DB5-459B-B433-09B1B4826233}">
    <text>30 transferencia 
45 efectivo</text>
  </threadedComment>
  <threadedComment ref="H79" dT="2025-12-10T20:05:21.00" personId="{86AA2667-3936-4BBD-A6E6-AB08F2D8D7E6}" id="{32830B20-AE85-45FE-9093-6AAAD621DFF9}">
    <text>transferencia</text>
  </threadedComment>
  <threadedComment ref="H80" dT="2025-12-10T22:49:12.00" personId="{86AA2667-3936-4BBD-A6E6-AB08F2D8D7E6}" id="{13E68BCA-10AF-41D0-9FAA-488D76105007}">
    <text>transferencia</text>
  </threadedComment>
  <threadedComment ref="H81" dT="2025-12-13T13:29:51.00" personId="{86AA2667-3936-4BBD-A6E6-AB08F2D8D7E6}" id="{246C5BAA-3B63-4466-961E-C529E7EC4A34}">
    <text>tarjeta</text>
  </threadedComment>
  <threadedComment ref="H82" dT="2025-12-13T13:29:59.00" personId="{86AA2667-3936-4BBD-A6E6-AB08F2D8D7E6}" id="{34AC98F7-92AD-4513-85C6-621EEE9A9F45}">
    <text>tarjeta</text>
  </threadedComment>
  <threadedComment ref="H83" dT="2025-12-13T13:30:20.00" personId="{86AA2667-3936-4BBD-A6E6-AB08F2D8D7E6}" id="{DC532371-0A61-449A-B1CA-B79ED540BE3F}">
    <text>10 efectivo 
35 tran</text>
  </threadedComment>
  <threadedComment ref="H85" dT="2025-12-11T19:24:38.00" personId="{86AA2667-3936-4BBD-A6E6-AB08F2D8D7E6}" id="{DA8E3B17-E127-4FF7-AB8E-E516469E0C87}">
    <text>transferencia
factura</text>
  </threadedComment>
  <threadedComment ref="H87" dT="2025-12-11T22:11:44.00" personId="{86AA2667-3936-4BBD-A6E6-AB08F2D8D7E6}" id="{E88FC70A-01A3-4923-A6E8-F5D0270EACC3}">
    <text>transferencia</text>
  </threadedComment>
  <threadedComment ref="H88" dT="2025-12-11T22:11:52.00" personId="{86AA2667-3936-4BBD-A6E6-AB08F2D8D7E6}" id="{29E287DF-99D2-47D4-A034-D553F505AE62}">
    <text>transferencia</text>
  </threadedComment>
  <threadedComment ref="H89" dT="2025-12-13T14:34:24.00" personId="{86AA2667-3936-4BBD-A6E6-AB08F2D8D7E6}" id="{E0CDE40D-6E97-4AB7-BBF4-D10F3FB2D28A}">
    <text>30 transferencia 
40 efectivo</text>
  </threadedComment>
  <threadedComment ref="H92" dT="2025-12-11T22:27:57.00" personId="{86AA2667-3936-4BBD-A6E6-AB08F2D8D7E6}" id="{5A256C7C-DDEB-45C0-B023-E54546BBAC88}">
    <text>transferencia</text>
  </threadedComment>
  <threadedComment ref="H93" dT="2025-12-12T20:27:07.00" personId="{86AA2667-3936-4BBD-A6E6-AB08F2D8D7E6}" id="{51142489-59D2-4D96-A323-ED640716E5BA}">
    <text>30 TRANSFERENCIA
55 EFECTIVO</text>
  </threadedComment>
  <threadedComment ref="H94" dT="2025-12-12T20:08:14.00" personId="{86AA2667-3936-4BBD-A6E6-AB08F2D8D7E6}" id="{6612DDFF-44AE-48A4-A7E7-173FAB863F30}">
    <text>TRANSFERENCIA</text>
  </threadedComment>
  <threadedComment ref="H95" dT="2025-12-12T20:08:20.00" personId="{86AA2667-3936-4BBD-A6E6-AB08F2D8D7E6}" id="{DE4CC6F4-A626-4358-9A5B-2472508D4C25}">
    <text>TRANSFERENCIA</text>
  </threadedComment>
  <threadedComment ref="H96" dT="2025-12-12T20:09:16.00" personId="{86AA2667-3936-4BBD-A6E6-AB08F2D8D7E6}" id="{719FB1BE-F999-49FA-8497-D0A387BD074C}">
    <text>TRANSFERENCIA</text>
  </threadedComment>
  <threadedComment ref="H97" dT="2025-12-12T20:30:14.00" personId="{86AA2667-3936-4BBD-A6E6-AB08F2D8D7E6}" id="{CA5AFD32-CF14-43F8-AFC2-D357F19FC503}">
    <text>TRANSFERENCIA</text>
  </threadedComment>
  <threadedComment ref="H98" dT="2025-12-12T20:30:20.00" personId="{86AA2667-3936-4BBD-A6E6-AB08F2D8D7E6}" id="{8BD02CE2-87EC-4936-8A32-905EE7AD5423}">
    <text>TRANSFERENCIA</text>
  </threadedComment>
  <threadedComment ref="H99" dT="2025-12-12T20:22:52.00" personId="{86AA2667-3936-4BBD-A6E6-AB08F2D8D7E6}" id="{CE3C67A7-A48E-4BB7-9A08-F9897B8B6E59}">
    <text>30 transferencia
30 efectivo</text>
  </threadedComment>
  <threadedComment ref="H100" dT="2025-12-12T21:57:17.00" personId="{86AA2667-3936-4BBD-A6E6-AB08F2D8D7E6}" id="{C84DA40B-D70C-4914-9D30-F9CC5EE8A901}">
    <text>transferencia</text>
  </threadedComment>
  <threadedComment ref="H102" dT="2025-12-12T22:15:13.00" personId="{86AA2667-3936-4BBD-A6E6-AB08F2D8D7E6}" id="{FAB4849E-51DC-40A6-AB2D-58F842720973}">
    <text>tarjeta</text>
  </threadedComment>
  <threadedComment ref="H105" dT="2025-12-13T15:54:46.00" personId="{86AA2667-3936-4BBD-A6E6-AB08F2D8D7E6}" id="{E385B6D3-00ED-4C07-9979-AF418D6AD4D9}">
    <text>TRANSFERENCIA + TARJETA</text>
  </threadedComment>
  <threadedComment ref="H108" dT="2025-12-13T16:32:45.00" personId="{86AA2667-3936-4BBD-A6E6-AB08F2D8D7E6}" id="{865EA5C5-1502-4BCE-9F04-C75D93263AAE}">
    <text>TARJETA</text>
  </threadedComment>
  <threadedComment ref="H109" dT="2025-12-13T19:01:16.00" personId="{86AA2667-3936-4BBD-A6E6-AB08F2D8D7E6}" id="{C5128C04-36E0-4A5A-BA7A-483134275167}">
    <text>TRANSFERENCIA</text>
  </threadedComment>
  <threadedComment ref="H110" dT="2025-12-13T22:05:04.00" personId="{86AA2667-3936-4BBD-A6E6-AB08F2D8D7E6}" id="{662DE6B8-DB69-4160-9B7F-C84372420434}">
    <text>30 efectivo 
40 tarjeta</text>
  </threadedComment>
  <threadedComment ref="H111" dT="2025-12-13T21:30:15.00" personId="{86AA2667-3936-4BBD-A6E6-AB08F2D8D7E6}" id="{9454E76A-0630-4880-A910-1F351F2196B7}">
    <text>transferencia + tarjeta</text>
  </threadedComment>
  <threadedComment ref="H112" dT="2025-12-13T22:13:53.00" personId="{86AA2667-3936-4BBD-A6E6-AB08F2D8D7E6}" id="{3580B8EF-DD65-4226-95EC-DEAB77BBE04A}">
    <text>30 transferenica
25 efectivo</text>
  </threadedComment>
  <threadedComment ref="H113" dT="2025-12-13T19:35:51.00" personId="{86AA2667-3936-4BBD-A6E6-AB08F2D8D7E6}" id="{518E15F6-25E1-4B02-B982-B15947DBEAF2}">
    <text>transferencia</text>
  </threadedComment>
  <threadedComment ref="H114" dT="2025-12-15T16:03:04.00" personId="{86AA2667-3936-4BBD-A6E6-AB08F2D8D7E6}" id="{8735769F-B1CE-49B0-8B5C-F96272C34DCB}">
    <text>Transferencia</text>
  </threadedComment>
  <threadedComment ref="H118" dT="2025-12-15T22:34:54.00" personId="{86AA2667-3936-4BBD-A6E6-AB08F2D8D7E6}" id="{DD94A92C-6383-457F-A034-5A99ED72B5AF}">
    <text>Transferencia</text>
  </threadedComment>
  <threadedComment ref="H121" dT="2025-12-16T16:54:40.00" personId="{86AA2667-3936-4BBD-A6E6-AB08F2D8D7E6}" id="{996DAD54-C9F5-46D9-B05B-065D7E0E1F47}">
    <text>tarjeta+transferencia</text>
  </threadedComment>
  <threadedComment ref="H122" dT="2025-12-16T16:54:48.00" personId="{86AA2667-3936-4BBD-A6E6-AB08F2D8D7E6}" id="{31D88A16-E6FC-4E8B-ACD2-84D478BD6C66}">
    <text>tarjeta+transferencia</text>
  </threadedComment>
  <threadedComment ref="H123" dT="2025-12-16T16:55:03.00" personId="{86AA2667-3936-4BBD-A6E6-AB08F2D8D7E6}" id="{8DBC1637-3A30-434B-A9C0-79141A0A0F45}">
    <text>tarjeta+transferencia</text>
  </threadedComment>
  <threadedComment ref="H124" dT="2025-12-16T15:19:46.00" personId="{86AA2667-3936-4BBD-A6E6-AB08F2D8D7E6}" id="{605E2898-1E46-43F4-B413-E61581D7EDDC}">
    <text>TRANSFERENCIA</text>
  </threadedComment>
  <threadedComment ref="H125" dT="2025-12-16T15:19:52.00" personId="{86AA2667-3936-4BBD-A6E6-AB08F2D8D7E6}" id="{29B2900C-218E-4311-92BF-53D5FA9EA345}">
    <text>TRANSFERENCIA</text>
  </threadedComment>
  <threadedComment ref="H126" dT="2025-12-16T15:20:45.00" personId="{86AA2667-3936-4BBD-A6E6-AB08F2D8D7E6}" id="{C5F7CAE8-230C-49B7-942D-BC903DAE63D4}">
    <text>TRANSFERENCIA</text>
  </threadedComment>
  <threadedComment ref="H127" dT="2025-12-16T22:03:40.00" personId="{86AA2667-3936-4BBD-A6E6-AB08F2D8D7E6}" id="{0DFEFD88-346F-4E8A-9D3C-66D91FEDD4EF}">
    <text>factura</text>
  </threadedComment>
  <threadedComment ref="H128" dT="2025-12-17T18:59:07.00" personId="{86AA2667-3936-4BBD-A6E6-AB08F2D8D7E6}" id="{20A88C0F-4158-452B-A602-57E29AF69B9A}">
    <text>TARJETA</text>
  </threadedComment>
  <threadedComment ref="H130" dT="2025-12-17T19:19:03.00" personId="{86AA2667-3936-4BBD-A6E6-AB08F2D8D7E6}" id="{20347D9D-1B98-4698-B7DB-F721C8C065AD}">
    <text>transferencia</text>
  </threadedComment>
  <threadedComment ref="H131" dT="2025-12-17T19:17:03.00" personId="{86AA2667-3936-4BBD-A6E6-AB08F2D8D7E6}" id="{062C335A-4BF4-4B64-B1C0-A499D57EA8B1}">
    <text>transferencia + tarjeta</text>
  </threadedComment>
  <threadedComment ref="H132" dT="2025-12-17T19:18:39.00" personId="{86AA2667-3936-4BBD-A6E6-AB08F2D8D7E6}" id="{040AEF19-891A-46AB-8DAF-383A3AE4C127}">
    <text>transferencia + efectivo</text>
  </threadedComment>
  <threadedComment ref="H133" dT="2025-12-17T21:18:09.00" personId="{86AA2667-3936-4BBD-A6E6-AB08F2D8D7E6}" id="{A98B1A80-E08B-48EC-A4F3-6F3E8909566E}">
    <text>30 transferencia + 50 efectivo</text>
  </threadedComment>
  <threadedComment ref="H134" dT="2025-12-17T19:17:56.00" personId="{86AA2667-3936-4BBD-A6E6-AB08F2D8D7E6}" id="{1445E895-B4A9-42BE-B86A-3004E79269B1}">
    <text>tarjeta</text>
  </threadedComment>
  <threadedComment ref="H136" dT="2025-12-17T21:17:44.00" personId="{86AA2667-3936-4BBD-A6E6-AB08F2D8D7E6}" id="{59EA7EF9-A9BA-475B-A9C8-D660A709D393}">
    <text>transferencia</text>
  </threadedComment>
  <threadedComment ref="H137" dT="2025-12-17T21:17:51.00" personId="{86AA2667-3936-4BBD-A6E6-AB08F2D8D7E6}" id="{360DC5A2-E784-481B-A9B2-C51753BCAD10}">
    <text>transferencia</text>
  </threadedComment>
  <threadedComment ref="H138" dT="2025-12-17T22:55:11.00" personId="{86AA2667-3936-4BBD-A6E6-AB08F2D8D7E6}" id="{BE1F88AD-492F-45A0-A345-C3B3BDB7E4CD}">
    <text>TARJETA</text>
  </threadedComment>
  <threadedComment ref="H139" dT="2025-12-17T21:17:24.00" personId="{86AA2667-3936-4BBD-A6E6-AB08F2D8D7E6}" id="{E377FCCD-FE62-419D-820C-F42B32FB8112}">
    <text>transferencia</text>
  </threadedComment>
  <threadedComment ref="H141" dT="2025-12-19T21:19:05.00" personId="{86AA2667-3936-4BBD-A6E6-AB08F2D8D7E6}" id="{F363F892-AB83-40D5-B3DB-BD58F93243B5}">
    <text>transferencia</text>
  </threadedComment>
  <threadedComment ref="H144" dT="2025-12-19T21:19:25.00" personId="{86AA2667-3936-4BBD-A6E6-AB08F2D8D7E6}" id="{FA4F7DCE-44EC-429C-80B3-DF4C54244632}">
    <text>30 transferencia
25 efectivo</text>
  </threadedComment>
  <threadedComment ref="H145" dT="2025-12-18T21:20:36.00" personId="{86AA2667-3936-4BBD-A6E6-AB08F2D8D7E6}" id="{3F231FF8-2EE5-4BDE-AE2C-CA0F5AAC9306}">
    <text>tarejta</text>
  </threadedComment>
  <threadedComment ref="H146" dT="2025-12-18T21:47:48.00" personId="{86AA2667-3936-4BBD-A6E6-AB08F2D8D7E6}" id="{BE839A0E-901E-4563-84C2-FECE85F47072}">
    <text>transferencia</text>
  </threadedComment>
  <threadedComment ref="H147" dT="2025-12-18T21:47:41.00" personId="{86AA2667-3936-4BBD-A6E6-AB08F2D8D7E6}" id="{04000719-90FF-450C-9714-C64402C8F971}">
    <text>30 transferencia + 40 efectivo</text>
  </threadedComment>
  <threadedComment ref="H148" dT="2025-12-18T21:47:28.00" personId="{86AA2667-3936-4BBD-A6E6-AB08F2D8D7E6}" id="{A9EC672E-C4CE-4815-A979-BD71B7239390}">
    <text>30 en transferenica + 35 efectivo</text>
  </threadedComment>
  <threadedComment ref="H153" dT="2025-12-18T21:47:05.00" personId="{86AA2667-3936-4BBD-A6E6-AB08F2D8D7E6}" id="{A820A105-FCF6-4E4E-A3D5-58EEB54E52B9}">
    <text>transferencia</text>
  </threadedComment>
  <threadedComment ref="H155" dT="2025-12-19T16:59:25.00" personId="{86AA2667-3936-4BBD-A6E6-AB08F2D8D7E6}" id="{2701BE9F-9866-46BF-A2C0-6FB255118BB6}">
    <text>TRANSFERENCIA</text>
  </threadedComment>
  <threadedComment ref="H156" dT="2025-12-19T19:22:13.00" personId="{86AA2667-3936-4BBD-A6E6-AB08F2D8D7E6}" id="{87745721-95FA-43E6-9F85-88973F70C113}">
    <text>TRANSFERENCIA+TARJETA</text>
  </threadedComment>
  <threadedComment ref="H157" dT="2025-12-19T19:57:19.00" personId="{86AA2667-3936-4BBD-A6E6-AB08F2D8D7E6}" id="{0F250071-E9DF-41BE-AB5C-4688536157A0}">
    <text>TRANSFERENCIA</text>
  </threadedComment>
  <threadedComment ref="H158" dT="2025-12-19T19:58:53.00" personId="{86AA2667-3936-4BBD-A6E6-AB08F2D8D7E6}" id="{B8776A63-1FF9-4396-A20F-A352AAE5CD25}">
    <text>TRANSFERENCIA</text>
  </threadedComment>
  <threadedComment ref="H159" dT="2025-12-19T19:59:23.00" personId="{86AA2667-3936-4BBD-A6E6-AB08F2D8D7E6}" id="{32676644-F6FE-45CD-951A-3487E87EEC6B}">
    <text>30 TRANSFERENCIA
35 EFECTIVO</text>
  </threadedComment>
  <threadedComment ref="H160" dT="2025-12-19T19:59:49.00" personId="{86AA2667-3936-4BBD-A6E6-AB08F2D8D7E6}" id="{17F4237A-2FA2-4B54-B668-C53B5A0826FD}">
    <text>30 TRANSFERENICA
50 EFECTIVO</text>
  </threadedComment>
  <threadedComment ref="H161" dT="2025-12-20T13:43:07.00" personId="{86AA2667-3936-4BBD-A6E6-AB08F2D8D7E6}" id="{B61B79AD-1FF4-4138-B405-5A61E1B88B31}">
    <text>30 TRANSFERENCIA
50 EFECTIVO</text>
  </threadedComment>
  <threadedComment ref="H162" dT="2025-12-20T13:43:21.00" personId="{86AA2667-3936-4BBD-A6E6-AB08F2D8D7E6}" id="{BBD35FA7-C90D-4BEB-8A1D-334B9D98A14E}">
    <text>30 TRANSFERENCIA
45 EFECTIVO</text>
  </threadedComment>
  <threadedComment ref="H163" dT="2025-12-19T21:04:08.00" personId="{86AA2667-3936-4BBD-A6E6-AB08F2D8D7E6}" id="{50494321-A833-4002-8F09-F4D421ED21DB}">
    <text>30 transferencia
45 efectivo</text>
  </threadedComment>
  <threadedComment ref="H164" dT="2025-12-19T20:16:15.00" personId="{86AA2667-3936-4BBD-A6E6-AB08F2D8D7E6}" id="{1AC6680E-0305-4CFE-ADEA-41F26EF96CF1}">
    <text>transferencia</text>
  </threadedComment>
  <threadedComment ref="H166" dT="2025-12-20T13:43:53.00" personId="{86AA2667-3936-4BBD-A6E6-AB08F2D8D7E6}" id="{7C1031AE-270F-42B0-9B43-F689A3FF09D3}">
    <text>30 TRANSFEREBCIA
45 EFECTIVO</text>
  </threadedComment>
  <threadedComment ref="H167" dT="2025-12-19T20:40:49.00" personId="{86AA2667-3936-4BBD-A6E6-AB08F2D8D7E6}" id="{C82F8D5F-08EA-4005-ADD0-52E9F0105BFC}">
    <text>transferencia</text>
  </threadedComment>
  <threadedComment ref="H168" dT="2025-12-19T20:06:36.00" personId="{86AA2667-3936-4BBD-A6E6-AB08F2D8D7E6}" id="{E53CB9DE-9FC4-4492-B7BD-B59CF256F8C1}">
    <text>TRANSFERENCIA</text>
  </threadedComment>
  <threadedComment ref="H169" dT="2025-12-19T22:20:58.00" personId="{86AA2667-3936-4BBD-A6E6-AB08F2D8D7E6}" id="{5E5BB6F6-ABD5-43B5-8864-C9D615815773}">
    <text>transferencia</text>
  </threadedComment>
  <threadedComment ref="H170" dT="2025-12-20T13:05:42.00" personId="{86AA2667-3936-4BBD-A6E6-AB08F2D8D7E6}" id="{0CB5E1FA-532D-4632-B61F-5D9F7E999EEA}">
    <text>TRANSFERENCIA</text>
  </threadedComment>
  <threadedComment ref="H172" dT="2025-12-20T14:34:46.00" personId="{86AA2667-3936-4BBD-A6E6-AB08F2D8D7E6}" id="{EEA0D554-9F47-4EB4-870F-2F306ACCD97D}">
    <text>30 transferencia
45 efectivo</text>
  </threadedComment>
  <threadedComment ref="H173" dT="2025-12-20T15:37:08.00" personId="{86AA2667-3936-4BBD-A6E6-AB08F2D8D7E6}" id="{3B72CCA9-061F-431D-8455-E1A8EAE12960}">
    <text>30 tranferencia 
25 efectivo</text>
  </threadedComment>
  <threadedComment ref="H175" dT="2025-12-20T21:36:31.00" personId="{86AA2667-3936-4BBD-A6E6-AB08F2D8D7E6}" id="{9A3C567A-5CCA-4EDF-A4BE-0EE09521B76A}">
    <text>30 transferencia + 55 efectivo</text>
  </threadedComment>
  <threadedComment ref="H176" dT="2025-12-20T20:21:01.00" personId="{86AA2667-3936-4BBD-A6E6-AB08F2D8D7E6}" id="{6D370423-2DC0-4224-A572-2AA305DFCA5B}">
    <text>transferencia</text>
  </threadedComment>
  <threadedComment ref="H177" dT="2025-12-20T20:30:26.00" personId="{86AA2667-3936-4BBD-A6E6-AB08F2D8D7E6}" id="{C0F7FFF6-8C6B-44E6-A421-A7A101BE6991}">
    <text>tarjeta+ transferencia</text>
  </threadedComment>
  <threadedComment ref="H178" dT="2025-12-20T19:57:51.00" personId="{86AA2667-3936-4BBD-A6E6-AB08F2D8D7E6}" id="{D47C7ED1-40BB-4815-A2C7-4CA6CD7558CF}">
    <text>30 transferencia 
25 efectivo</text>
  </threadedComment>
  <threadedComment ref="H179" dT="2025-12-20T19:49:36.00" personId="{86AA2667-3936-4BBD-A6E6-AB08F2D8D7E6}" id="{EEBA2613-5291-4AC7-A06F-42AF973039A7}">
    <text>tarjeta</text>
  </threadedComment>
  <threadedComment ref="H180" dT="2025-12-20T19:49:42.00" personId="{86AA2667-3936-4BBD-A6E6-AB08F2D8D7E6}" id="{F19380F5-AFE5-44FE-92A0-3D9FAC55E27B}">
    <text>tarjeta</text>
  </threadedComment>
  <threadedComment ref="H181" dT="2025-12-20T20:04:49.00" personId="{86AA2667-3936-4BBD-A6E6-AB08F2D8D7E6}" id="{5AF27665-371F-4580-856F-AFD030EDFFD2}">
    <text>transferencia 
factura</text>
  </threadedComment>
  <threadedComment ref="H182" dT="2025-12-20T20:04:58.00" personId="{86AA2667-3936-4BBD-A6E6-AB08F2D8D7E6}" id="{228EFEFF-845A-4879-A402-6173D10EF765}">
    <text>transferencia
factura</text>
  </threadedComment>
  <threadedComment ref="H183" dT="2025-12-22T12:35:58.00" personId="{86AA2667-3936-4BBD-A6E6-AB08F2D8D7E6}" id="{07139A2C-5DE1-49AD-8889-2A49543A23FC}">
    <text>30 transferencia
55 efectivo</text>
  </threadedComment>
  <threadedComment ref="H186" dT="2025-12-22T12:37:38.00" personId="{86AA2667-3936-4BBD-A6E6-AB08F2D8D7E6}" id="{D7B7D89C-2A9F-4618-98C3-FDEAA94228E3}">
    <text>30 transferencia
50 efectivo</text>
  </threadedComment>
  <threadedComment ref="H187" dT="2025-12-21T13:35:01.00" personId="{86AA2667-3936-4BBD-A6E6-AB08F2D8D7E6}" id="{E5CD3B54-AD1B-4293-ADDC-C0D6F1DDE7F9}">
    <text>30 TRANSFERENCIA
55 EFECTIVIO</text>
  </threadedComment>
  <threadedComment ref="H188" dT="2025-12-21T13:35:23.00" personId="{86AA2667-3936-4BBD-A6E6-AB08F2D8D7E6}" id="{0D879F1F-6956-480F-B747-8350EE4F60E2}">
    <text>30 TRANSFERENCIA 
50 EFECTIVO</text>
  </threadedComment>
  <threadedComment ref="H190" dT="2025-12-21T16:32:36.00" personId="{86AA2667-3936-4BBD-A6E6-AB08F2D8D7E6}" id="{D7BB7B99-095D-47EC-B13D-EFB03CE921B9}">
    <text>transferencia</text>
  </threadedComment>
  <threadedComment ref="H191" dT="2025-12-21T15:52:22.00" personId="{86AA2667-3936-4BBD-A6E6-AB08F2D8D7E6}" id="{D7428587-D05C-478B-AAF4-8044CB63DCD6}">
    <text>30 transferencia 
55 tarjeta</text>
  </threadedComment>
  <threadedComment ref="H192" dT="2025-12-21T18:46:52.00" personId="{86AA2667-3936-4BBD-A6E6-AB08F2D8D7E6}" id="{4D98FC25-C1C5-476A-82EB-706E12474E06}">
    <text>30 transferencia
120 tarjeta</text>
  </threadedComment>
  <threadedComment ref="H193" dT="2025-12-21T16:06:25.00" personId="{86AA2667-3936-4BBD-A6E6-AB08F2D8D7E6}" id="{A2F212F0-848E-42A7-9BE8-75AFD060A03E}">
    <text>transferencia</text>
  </threadedComment>
  <threadedComment ref="H194" dT="2025-12-21T19:03:19.00" personId="{86AA2667-3936-4BBD-A6E6-AB08F2D8D7E6}" id="{9AAD2292-5B72-4423-83BC-FEF270F3B5DD}">
    <text>30 TRANSFERENCIA
45 EFECTIVO</text>
  </threadedComment>
  <threadedComment ref="H195" dT="2025-12-21T20:11:53.00" personId="{86AA2667-3936-4BBD-A6E6-AB08F2D8D7E6}" id="{D33A59CE-5FCC-455A-8306-1CB01B72107B}">
    <text>30 transferencia
70 efectivo</text>
  </threadedComment>
  <threadedComment ref="H196" dT="2025-12-21T19:02:37.00" personId="{86AA2667-3936-4BBD-A6E6-AB08F2D8D7E6}" id="{F88BCEBA-251B-4078-AEFE-E7C3E4B832AE}">
    <text>30 TRANSFERENCIA
55 EFECTIVO</text>
  </threadedComment>
  <threadedComment ref="H198" dT="2025-12-22T16:22:11.00" personId="{86AA2667-3936-4BBD-A6E6-AB08F2D8D7E6}" id="{F8EA3ABC-660E-4640-9F6B-CF8A61C2F9AF}">
    <text>30 TRANSFERENCIA 
55 TARJET</text>
  </threadedComment>
  <threadedComment ref="H199" dT="2025-12-22T16:22:19.00" personId="{86AA2667-3936-4BBD-A6E6-AB08F2D8D7E6}" id="{C36C7639-EF35-4735-B63C-C8C0B0D2C7D9}">
    <text>TRANSFERENCIA Y TARJETA</text>
  </threadedComment>
  <threadedComment ref="H200" dT="2025-12-22T16:22:33.00" personId="{86AA2667-3936-4BBD-A6E6-AB08F2D8D7E6}" id="{2120165A-A96A-4AE0-892D-ACF03D860638}">
    <text>TRANSFERENCIA Y TARJETA</text>
  </threadedComment>
  <threadedComment ref="H202" dT="2025-12-22T14:05:18.00" personId="{86AA2667-3936-4BBD-A6E6-AB08F2D8D7E6}" id="{50C1CB19-CDFB-4A55-BD45-8AF98B5D4AEA}">
    <text>30 transferencia
65 efecvtivo</text>
  </threadedComment>
  <threadedComment ref="H204" dT="2025-12-22T19:41:59.00" personId="{86AA2667-3936-4BBD-A6E6-AB08F2D8D7E6}" id="{FD5FB092-3921-4D07-BF22-FBA5C48A771E}">
    <text>TRANSFERENCIA</text>
  </threadedComment>
  <threadedComment ref="H205" dT="2025-12-26T14:06:51.00" personId="{86AA2667-3936-4BBD-A6E6-AB08F2D8D7E6}" id="{260D8DC3-061A-42B9-9BC8-71A0E4B6FA47}">
    <text>tarjeta+transferencia</text>
  </threadedComment>
  <threadedComment ref="H207" dT="2025-12-22T19:41:46.00" personId="{86AA2667-3936-4BBD-A6E6-AB08F2D8D7E6}" id="{52ACC75B-23C4-44E7-A8A8-2375C1165535}">
    <text>TARJETA</text>
  </threadedComment>
  <threadedComment ref="H208" dT="2025-12-22T19:42:35.00" personId="{86AA2667-3936-4BBD-A6E6-AB08F2D8D7E6}" id="{FEB96806-E59C-44E9-BB3A-023B4EDCE825}">
    <text>30 TRANSFERENCIA
25 EFECTIVO</text>
  </threadedComment>
  <threadedComment ref="H209" dT="2025-12-22T19:43:16.00" personId="{86AA2667-3936-4BBD-A6E6-AB08F2D8D7E6}" id="{79B46994-AF9B-4794-8B67-8C1B6D534778}">
    <text>30 TRANSFERENCIA 
25 EFECTIVO</text>
  </threadedComment>
  <threadedComment ref="H210" dT="2025-12-22T20:16:30.00" personId="{86AA2667-3936-4BBD-A6E6-AB08F2D8D7E6}" id="{DB7E540A-EA42-4202-B726-1FDAEE14C7AE}">
    <text>transferencia</text>
  </threadedComment>
  <threadedComment ref="H211" dT="2025-12-22T20:16:36.00" personId="{86AA2667-3936-4BBD-A6E6-AB08F2D8D7E6}" id="{4720B27F-DF41-49F2-ACAB-32EE782535AA}">
    <text>transferencia</text>
  </threadedComment>
  <threadedComment ref="H212" dT="2025-12-22T20:16:42.00" personId="{86AA2667-3936-4BBD-A6E6-AB08F2D8D7E6}" id="{45758CD8-7CB3-46FE-8470-445B579E0F31}">
    <text>transferencia</text>
  </threadedComment>
  <threadedComment ref="H213" dT="2025-12-26T14:13:43.00" personId="{86AA2667-3936-4BBD-A6E6-AB08F2D8D7E6}" id="{A6236BF2-C677-4106-ADBB-FB7E7ED80142}">
    <text>30 transferencia
40 efectivo</text>
  </threadedComment>
  <threadedComment ref="H214" dT="2025-12-22T19:43:31.00" personId="{86AA2667-3936-4BBD-A6E6-AB08F2D8D7E6}" id="{652ED1AC-48A7-4F58-B1D4-25364C830540}">
    <text>TRANSFERENCIA</text>
  </threadedComment>
  <threadedComment ref="H215" dT="2025-12-22T22:42:07.00" personId="{86AA2667-3936-4BBD-A6E6-AB08F2D8D7E6}" id="{5372A3A3-886C-4BE6-A44A-86FA08F6BC92}">
    <text>30 tarjeta
45 efectivo</text>
  </threadedComment>
  <threadedComment ref="H218" dT="2025-12-23T12:15:43.00" personId="{86AA2667-3936-4BBD-A6E6-AB08F2D8D7E6}" id="{D3C8EE1E-6959-4759-8D3B-152901CB0659}">
    <text>tarjeta</text>
  </threadedComment>
  <threadedComment ref="H219" dT="2025-12-23T12:15:48.00" personId="{86AA2667-3936-4BBD-A6E6-AB08F2D8D7E6}" id="{C2C98501-F55F-4FA7-AE6E-66ED28001652}">
    <text>tarjeta</text>
  </threadedComment>
  <threadedComment ref="H220" dT="2025-12-23T16:30:59.00" personId="{86AA2667-3936-4BBD-A6E6-AB08F2D8D7E6}" id="{5853E291-E691-4ACC-986D-8D3D92EBA3FC}">
    <text>30 TRANSFERENCIA
40 EFECTIVO</text>
  </threadedComment>
  <threadedComment ref="H221" dT="2025-12-23T16:33:33.00" personId="{86AA2667-3936-4BBD-A6E6-AB08F2D8D7E6}" id="{7F007E6F-7932-4D28-A987-C7A91F9B83B9}">
    <text>TRANSFERENCIA</text>
  </threadedComment>
  <threadedComment ref="H222" dT="2025-12-23T15:31:51.00" personId="{86AA2667-3936-4BBD-A6E6-AB08F2D8D7E6}" id="{CE3B3ED2-A17C-47E4-B5EB-ACA517241F2F}">
    <text>30 transferencia
50 efectivo</text>
  </threadedComment>
  <threadedComment ref="H223" dT="2025-12-23T17:02:52.00" personId="{86AA2667-3936-4BBD-A6E6-AB08F2D8D7E6}" id="{A1FA23BE-F3FF-4F48-A0F5-23E7A1DAAE2E}">
    <text>transferencia</text>
  </threadedComment>
  <threadedComment ref="H225" dT="2025-12-23T16:31:27.00" personId="{86AA2667-3936-4BBD-A6E6-AB08F2D8D7E6}" id="{CF2269E8-1DFA-4422-8B47-971516765A8F}">
    <text>TRANSFERENCIA</text>
  </threadedComment>
  <threadedComment ref="H226" dT="2025-12-23T17:33:42.00" personId="{86AA2667-3936-4BBD-A6E6-AB08F2D8D7E6}" id="{DDB656ED-79EE-485D-B9DC-421418C5B390}">
    <text>60 transferencia
10 efectivo</text>
  </threadedComment>
  <threadedComment ref="H228" dT="2025-12-23T17:13:43.00" personId="{86AA2667-3936-4BBD-A6E6-AB08F2D8D7E6}" id="{60789A3A-225E-4CEB-ADC8-439ED1974332}">
    <text>transferencia</text>
  </threadedComment>
  <threadedComment ref="H229" dT="2025-12-23T19:43:07.00" personId="{86AA2667-3936-4BBD-A6E6-AB08F2D8D7E6}" id="{47A2547E-1A2B-405E-9B03-8EBFBD363ED0}">
    <text>tarjeta</text>
  </threadedComment>
  <threadedComment ref="H230" dT="2025-12-23T18:10:13.00" personId="{86AA2667-3936-4BBD-A6E6-AB08F2D8D7E6}" id="{D4DB7385-ADD0-480A-ACFA-0E105F2B8532}">
    <text>30 TRANSFERENCIA
30 EFECTIVO</text>
  </threadedComment>
  <threadedComment ref="H235" dT="2025-12-23T19:26:06.00" personId="{86AA2667-3936-4BBD-A6E6-AB08F2D8D7E6}" id="{2699714B-0CF5-45DA-AC6D-38D8E2C55B0C}">
    <text>transferencia</text>
  </threadedComment>
  <threadedComment ref="H236" dT="2025-12-23T21:50:32.00" personId="{86AA2667-3936-4BBD-A6E6-AB08F2D8D7E6}" id="{DB7EFDE9-A767-4D64-BA39-5A52830B1005}">
    <text>30 TRANSFERENCIA
40 EFECTIVO</text>
  </threadedComment>
  <threadedComment ref="H237" dT="2025-12-26T13:17:34.00" personId="{86AA2667-3936-4BBD-A6E6-AB08F2D8D7E6}" id="{49CD76AE-50B8-450E-859F-10AC9FB8FE1D}">
    <text>factura</text>
  </threadedComment>
  <threadedComment ref="H239" dT="2025-12-23T12:18:29.00" personId="{86AA2667-3936-4BBD-A6E6-AB08F2D8D7E6}" id="{8728A3B3-3139-4758-81C0-70DE9B176B9F}">
    <text>transferencia</text>
  </threadedComment>
  <threadedComment ref="H242" dT="2025-12-24T13:50:37.00" personId="{86AA2667-3936-4BBD-A6E6-AB08F2D8D7E6}" id="{A92013F3-255B-4BDD-A777-E54E7E8AAE0C}">
    <text>30 transferencia
58 efectivo</text>
  </threadedComment>
  <threadedComment ref="H243" dT="2025-12-24T13:52:15.00" personId="{86AA2667-3936-4BBD-A6E6-AB08F2D8D7E6}" id="{C93AAAD0-737E-4A3B-9711-E308B56E3485}">
    <text>30 tarjeta
40 efectivo</text>
  </threadedComment>
  <threadedComment ref="H244" dT="2025-12-24T13:52:23.00" personId="{86AA2667-3936-4BBD-A6E6-AB08F2D8D7E6}" id="{9A56A778-5017-4813-B9D8-C83846ECAA2F}">
    <text>transferencia</text>
  </threadedComment>
  <threadedComment ref="H245" dT="2025-12-24T13:51:15.00" personId="{86AA2667-3936-4BBD-A6E6-AB08F2D8D7E6}" id="{D6D758EE-60B5-414D-B578-F7174C8C4450}">
    <text>30 transferencia
35 efevtivo</text>
  </threadedComment>
  <threadedComment ref="H246" dT="2025-12-26T13:24:00.00" personId="{86AA2667-3936-4BBD-A6E6-AB08F2D8D7E6}" id="{720EA22C-1091-4203-910C-50C91DE700A7}">
    <text>transferencia
tarjeta</text>
  </threadedComment>
  <threadedComment ref="H247" dT="2025-12-26T13:26:55.00" personId="{86AA2667-3936-4BBD-A6E6-AB08F2D8D7E6}" id="{8663B639-0265-414B-9F6E-627A0CEA754A}">
    <text>transferencia
factura</text>
  </threadedComment>
  <threadedComment ref="H248" dT="2025-12-24T18:08:34.00" personId="{86AA2667-3936-4BBD-A6E6-AB08F2D8D7E6}" id="{66559572-496A-49A6-AC74-DE9EDBB00915}">
    <text>tarjeya</text>
  </threadedComment>
  <threadedComment ref="H249" dT="2025-12-26T13:19:41.00" personId="{86AA2667-3936-4BBD-A6E6-AB08F2D8D7E6}" id="{97F3C458-E82C-49DF-8E1E-79EEF33B5DD0}">
    <text>30 transferencia
40 efectivo</text>
  </threadedComment>
  <threadedComment ref="H250" dT="2025-12-26T13:21:13.00" personId="{86AA2667-3936-4BBD-A6E6-AB08F2D8D7E6}" id="{64A28E14-971E-4F45-8776-AE88821AFA7A}">
    <text>30 transferencia 
35 efectivo</text>
  </threadedComment>
  <threadedComment ref="H251" dT="2025-12-26T13:20:52.00" personId="{86AA2667-3936-4BBD-A6E6-AB08F2D8D7E6}" id="{38B1AB8E-3598-4C1C-85AB-FB15400BA9B4}">
    <text>30 transferencia
40 efectivo</text>
  </threadedComment>
  <threadedComment ref="H252" dT="2025-12-24T19:37:37.00" personId="{86AA2667-3936-4BBD-A6E6-AB08F2D8D7E6}" id="{8385FAFD-2BB1-4FCD-BBC6-12B3B544685F}">
    <text>TRANSFERENCIA</text>
  </threadedComment>
  <threadedComment ref="H253" dT="2025-12-26T13:20:15.00" personId="{86AA2667-3936-4BBD-A6E6-AB08F2D8D7E6}" id="{65408F7A-5186-4821-A4E9-FB3F719D7958}">
    <text>30 transferencia
50 efectivo</text>
  </threadedComment>
  <threadedComment ref="H255" dT="2025-12-24T19:00:36.00" personId="{86AA2667-3936-4BBD-A6E6-AB08F2D8D7E6}" id="{0BDC86F2-A3D4-493D-9734-EFA0B679ED21}">
    <text>transferencia</text>
  </threadedComment>
  <threadedComment ref="H256" dT="2025-12-24T19:00:44.00" personId="{86AA2667-3936-4BBD-A6E6-AB08F2D8D7E6}" id="{B3B6622A-29F5-4DBF-815E-09867F14B201}">
    <text>transferencia</text>
  </threadedComment>
  <threadedComment ref="H257" dT="2025-12-24T19:08:31.00" personId="{86AA2667-3936-4BBD-A6E6-AB08F2D8D7E6}" id="{ACAB0FE4-1C11-4367-830C-04D46D267DB0}">
    <text>transferencia</text>
  </threadedComment>
  <threadedComment ref="H263" dT="2025-12-24T18:15:23.00" personId="{86AA2667-3936-4BBD-A6E6-AB08F2D8D7E6}" id="{375211AE-0C69-4D6D-BE02-B90ECC4B3ABC}">
    <text>tarjeta</text>
  </threadedComment>
  <threadedComment ref="H264" dT="2025-12-26T15:07:56.00" personId="{86AA2667-3936-4BBD-A6E6-AB08F2D8D7E6}" id="{04C58DAB-4336-492F-9C37-2FBF109D15EB}">
    <text>transferencia</text>
  </threadedComment>
  <threadedComment ref="H265" dT="2025-12-26T15:08:01.00" personId="{86AA2667-3936-4BBD-A6E6-AB08F2D8D7E6}" id="{9F0B5C10-3F9D-48A2-9013-25155D7F3F15}">
    <text>transferencia</text>
  </threadedComment>
  <threadedComment ref="H266" dT="2025-12-26T15:49:34.00" personId="{86AA2667-3936-4BBD-A6E6-AB08F2D8D7E6}" id="{AF01ABA1-F4F6-4D19-AF32-0087199BB257}">
    <text>transferencia</text>
  </threadedComment>
  <threadedComment ref="H267" dT="2025-12-26T14:33:07.00" personId="{86AA2667-3936-4BBD-A6E6-AB08F2D8D7E6}" id="{735F2F89-1A64-4BFE-B822-D14D85E771E3}">
    <text>transferencia</text>
  </threadedComment>
  <threadedComment ref="H268" dT="2025-12-26T16:29:36.00" personId="{86AA2667-3936-4BBD-A6E6-AB08F2D8D7E6}" id="{A95339C2-468C-4558-AAF4-431FB1C0EBC4}">
    <text>30 transferencia
55 efectivo</text>
  </threadedComment>
  <threadedComment ref="H269" dT="2025-12-26T15:08:39.00" personId="{86AA2667-3936-4BBD-A6E6-AB08F2D8D7E6}" id="{6379D92E-1F6C-4EE6-9B91-5393BD49F00A}">
    <text>TRANSFERENCIA</text>
  </threadedComment>
  <threadedComment ref="H270" dT="2025-12-26T13:10:55.00" personId="{86AA2667-3936-4BBD-A6E6-AB08F2D8D7E6}" id="{2C042025-62C7-4991-BE9E-BC159ED271DD}">
    <text>tarjeta</text>
  </threadedComment>
  <threadedComment ref="H271" dT="2025-12-27T13:02:17.00" personId="{86AA2667-3936-4BBD-A6E6-AB08F2D8D7E6}" id="{BDC22DB8-D1BC-408F-8E4C-3AC60F6FDBAC}">
    <text>transferencia</text>
  </threadedComment>
  <threadedComment ref="H272" dT="2025-12-27T13:02:56.00" personId="{86AA2667-3936-4BBD-A6E6-AB08F2D8D7E6}" id="{9396DDA7-B214-4CE8-A403-11092A96EFBA}">
    <text>20 transferencia
60 efectivo</text>
  </threadedComment>
  <threadedComment ref="H273" dT="2025-12-27T13:03:32.00" personId="{86AA2667-3936-4BBD-A6E6-AB08F2D8D7E6}" id="{641E90D3-0F64-4A89-9B0C-62B2EB5E7F03}">
    <text>30 transferencia
65 efectivo</text>
  </threadedComment>
  <threadedComment ref="H274" dT="2025-12-26T21:36:19.00" personId="{86AA2667-3936-4BBD-A6E6-AB08F2D8D7E6}" id="{06422621-652A-4E0E-ADB8-64019C5608F5}">
    <text>TRANSFERENCIA</text>
  </threadedComment>
  <threadedComment ref="H276" dT="2025-12-27T13:23:59.00" personId="{86AA2667-3936-4BBD-A6E6-AB08F2D8D7E6}" id="{B572ADCD-3D93-4B47-A045-6834239A00ED}">
    <text>TARJETA</text>
  </threadedComment>
  <threadedComment ref="H277" dT="2025-12-27T13:24:25.00" personId="{86AA2667-3936-4BBD-A6E6-AB08F2D8D7E6}" id="{48A70F47-E34B-4FF5-995B-792345E0B3F8}">
    <text>60 EFECTIVO
15 TARJETA</text>
  </threadedComment>
  <threadedComment ref="H278" dT="2025-12-27T16:49:39.00" personId="{86AA2667-3936-4BBD-A6E6-AB08F2D8D7E6}" id="{514BB3B3-ED47-4E41-B464-2348A7FAD18B}">
    <text>30 tarjeta 
45 efectivo</text>
  </threadedComment>
  <threadedComment ref="H279" dT="2025-12-27T16:50:47.00" personId="{86AA2667-3936-4BBD-A6E6-AB08F2D8D7E6}" id="{1EF05AB8-2B08-43A2-91DA-EC8287DF39D7}">
    <text>30 transferencia
55 efectivo</text>
  </threadedComment>
  <threadedComment ref="H282" dT="2025-12-27T20:37:07.00" personId="{86AA2667-3936-4BBD-A6E6-AB08F2D8D7E6}" id="{B097FAAC-B9F6-40AD-ADA4-1AF566DA7F4D}">
    <text>30 transferencia
25 efectivo</text>
  </threadedComment>
  <threadedComment ref="H283" dT="2025-12-27T22:33:26.00" personId="{86AA2667-3936-4BBD-A6E6-AB08F2D8D7E6}" id="{5A073284-8C65-4150-A646-6A9B0B05A435}">
    <text>transferencia</text>
  </threadedComment>
  <threadedComment ref="H284" dT="2025-12-27T22:37:58.00" personId="{86AA2667-3936-4BBD-A6E6-AB08F2D8D7E6}" id="{4331F5C9-E972-4DB3-B0F4-A3BFDD6AA09F}">
    <text>30 transferencia
45 efectivo</text>
  </threadedComment>
  <threadedComment ref="H285" dT="2025-12-27T14:53:42.00" personId="{86AA2667-3936-4BBD-A6E6-AB08F2D8D7E6}" id="{0D22409B-CFF6-4569-9ADF-BFC37BB79FAB}">
    <text>TARJETA</text>
  </threadedComment>
  <threadedComment ref="H286" dT="2025-12-27T14:53:48.00" personId="{86AA2667-3936-4BBD-A6E6-AB08F2D8D7E6}" id="{C7A9DCBD-E184-480B-BDFD-5BE953B6406A}">
    <text>TARJETA</text>
  </threadedComment>
  <threadedComment ref="H287" dT="2025-12-27T16:56:08.00" personId="{86AA2667-3936-4BBD-A6E6-AB08F2D8D7E6}" id="{788088CA-2401-4616-A5FB-D63241312BDC}">
    <text>30 transferencia 
55 efectivo</text>
  </threadedComment>
  <threadedComment ref="H289" dT="2025-12-27T21:17:48.00" personId="{86AA2667-3936-4BBD-A6E6-AB08F2D8D7E6}" id="{B7757FB7-5B29-4111-AFE1-2D3095584A1B}">
    <text>transferencia
factura</text>
  </threadedComment>
  <threadedComment ref="H291" dT="2025-12-29T16:26:47.00" personId="{86AA2667-3936-4BBD-A6E6-AB08F2D8D7E6}" id="{EA83197F-0A2C-40CB-B1A5-8B425E414373}">
    <text>30 transferencia 
65 efectivo</text>
  </threadedComment>
  <threadedComment ref="H292" dT="2025-12-29T16:27:05.00" personId="{86AA2667-3936-4BBD-A6E6-AB08F2D8D7E6}" id="{995E8691-E93F-4DEC-8F76-96C28B8E8581}">
    <text>60 transferencia 
10 efectivo</text>
  </threadedComment>
  <threadedComment ref="H294" dT="2025-12-29T15:13:36.00" personId="{86AA2667-3936-4BBD-A6E6-AB08F2D8D7E6}" id="{FB8C4550-4749-4371-8C1E-907F82F2452D}">
    <text>transferencia</text>
  </threadedComment>
  <threadedComment ref="H295" dT="2025-12-29T15:20:21.00" personId="{86AA2667-3936-4BBD-A6E6-AB08F2D8D7E6}" id="{6FC70788-7C66-4010-8A72-98EFDCC72E96}">
    <text>transferencia</text>
  </threadedComment>
  <threadedComment ref="H296" dT="2025-12-29T19:30:58.00" personId="{86AA2667-3936-4BBD-A6E6-AB08F2D8D7E6}" id="{14896215-17EB-499B-8471-EA1F74605BDB}">
    <text>tarjeta</text>
  </threadedComment>
  <threadedComment ref="H297" dT="2025-12-29T19:30:46.00" personId="{86AA2667-3936-4BBD-A6E6-AB08F2D8D7E6}" id="{7BC5A97F-5179-4D7A-9A36-95E65007EAED}">
    <text>tarjeta</text>
  </threadedComment>
  <threadedComment ref="H298" dT="2025-12-29T19:31:09.00" personId="{86AA2667-3936-4BBD-A6E6-AB08F2D8D7E6}" id="{2B4FE184-FBD3-4D00-9E5C-C098BBCB935F}">
    <text>transferenica</text>
  </threadedComment>
  <threadedComment ref="H299" dT="2025-12-31T15:43:21.00" personId="{86AA2667-3936-4BBD-A6E6-AB08F2D8D7E6}" id="{9D6AF0DC-1ED2-4BA1-8673-9BFD6D7BF7C1}">
    <text>transferencia</text>
  </threadedComment>
  <threadedComment ref="H300" dT="2025-12-31T15:43:48.00" personId="{86AA2667-3936-4BBD-A6E6-AB08F2D8D7E6}" id="{9BD4272F-D975-4349-BAAD-A4A821240F2A}">
    <text>30 transferencia 
40 efectivo</text>
  </threadedComment>
  <threadedComment ref="H302" dT="2025-12-29T15:49:08.00" personId="{86AA2667-3936-4BBD-A6E6-AB08F2D8D7E6}" id="{7E46F5D5-AB26-4519-A0CB-53C8EA2C15D5}">
    <text>TRANSFERENCIA</text>
  </threadedComment>
  <threadedComment ref="H303" dT="2025-12-29T15:48:59.00" personId="{86AA2667-3936-4BBD-A6E6-AB08F2D8D7E6}" id="{6DE6ABAA-6613-40C8-9ECD-313B7D669AFB}">
    <text>TRANSFERENCIA</text>
  </threadedComment>
  <threadedComment ref="H304" dT="2025-12-31T15:42:01.00" personId="{86AA2667-3936-4BBD-A6E6-AB08F2D8D7E6}" id="{00B56E2F-33F7-4597-83B2-75295537E4DB}">
    <text>transferencia</text>
  </threadedComment>
  <threadedComment ref="H307" dT="2025-12-30T15:59:02.00" personId="{86AA2667-3936-4BBD-A6E6-AB08F2D8D7E6}" id="{43B919D3-6CBF-475F-BDCD-25E989C6D552}">
    <text>TARJETRA</text>
  </threadedComment>
  <threadedComment ref="H308" dT="2025-12-30T15:59:08.00" personId="{86AA2667-3936-4BBD-A6E6-AB08F2D8D7E6}" id="{445EB6BB-2C58-4172-B3B1-970DCA0A4658}">
    <text>TARJETA</text>
  </threadedComment>
  <threadedComment ref="H309" dT="2025-12-30T20:39:30.00" personId="{86AA2667-3936-4BBD-A6E6-AB08F2D8D7E6}" id="{1A7D1599-D1B1-43DD-BE4C-73A053F49D90}">
    <text>30 transferenciA
40 EFECTIVO</text>
  </threadedComment>
  <threadedComment ref="H310" dT="2025-12-30T20:29:40.00" personId="{86AA2667-3936-4BBD-A6E6-AB08F2D8D7E6}" id="{8FEDF0DD-EF83-466B-A9E6-F6C0A9B1113F}">
    <text>30 transferencia
55 efectivo</text>
  </threadedComment>
  <threadedComment ref="H311" dT="2025-12-30T20:29:55.00" personId="{86AA2667-3936-4BBD-A6E6-AB08F2D8D7E6}" id="{D5594CA7-3F2F-4842-A3D3-385C6B940273}">
    <text>transferencia</text>
  </threadedComment>
  <threadedComment ref="H312" dT="2025-12-30T20:33:43.00" personId="{86AA2667-3936-4BBD-A6E6-AB08F2D8D7E6}" id="{2A97D13A-ED60-4A1C-9886-89D25901C9CF}">
    <text>30 transferewncia
25 efectivo</text>
  </threadedComment>
  <threadedComment ref="H313" dT="2025-12-30T20:31:36.00" personId="{86AA2667-3936-4BBD-A6E6-AB08F2D8D7E6}" id="{53582B59-28FA-41C7-B298-9195F0C3670F}">
    <text>30 transferencia
45 efectivo</text>
  </threadedComment>
  <threadedComment ref="H314" dT="2025-12-30T20:42:46.00" personId="{86AA2667-3936-4BBD-A6E6-AB08F2D8D7E6}" id="{95414162-1215-45A3-B801-C625CE983CCD}">
    <text>TARJETA</text>
  </threadedComment>
  <threadedComment ref="H316" dT="2025-12-31T15:45:02.00" personId="{86AA2667-3936-4BBD-A6E6-AB08F2D8D7E6}" id="{B26CA63A-0537-440F-9EB6-B3C4E1CA100D}">
    <text>30 anticipo
50 efectivo</text>
  </threadedComment>
  <threadedComment ref="H317" dT="2025-12-31T15:45:46.00" personId="{86AA2667-3936-4BBD-A6E6-AB08F2D8D7E6}" id="{A1B348C9-3545-435A-8AAD-B526FE10AB43}">
    <text>30 transferencia
20 efectivo</text>
  </threadedComment>
  <threadedComment ref="H321" dT="2025-12-30T21:13:41.00" personId="{86AA2667-3936-4BBD-A6E6-AB08F2D8D7E6}" id="{D00D6061-1B50-4783-A07C-8756E4A7A93F}">
    <text>tarjeta</text>
  </threadedComment>
  <threadedComment ref="H322" dT="2025-12-30T22:33:12.00" personId="{86AA2667-3936-4BBD-A6E6-AB08F2D8D7E6}" id="{798A5749-1CBC-41F0-B153-7CEB6A4A8E7F}">
    <text>transferencia</text>
  </threadedComment>
  <threadedComment ref="H323" dT="2026-01-05T13:29:16.00" personId="{86AA2667-3936-4BBD-A6E6-AB08F2D8D7E6}" id="{031F1BBC-6979-42BB-B3DE-10193105E211}">
    <text>30 transferencia 
40 efectivo</text>
  </threadedComment>
  <threadedComment ref="H324" dT="2025-12-31T14:26:02.00" personId="{86AA2667-3936-4BBD-A6E6-AB08F2D8D7E6}" id="{E0B4FB1F-F22E-45D3-B3CE-CB6EAD14C568}">
    <text>30 transferencia
30 efectivo</text>
  </threadedComment>
  <threadedComment ref="H326" dT="2025-12-31T16:50:47.00" personId="{86AA2667-3936-4BBD-A6E6-AB08F2D8D7E6}" id="{0F79FF21-7E8E-4B7D-930F-F83A41A690D2}">
    <text>30 TRANSFERENCIA
55 TARJETA</text>
  </threadedComment>
  <threadedComment ref="H327" dT="2025-12-31T16:50:04.00" personId="{86AA2667-3936-4BBD-A6E6-AB08F2D8D7E6}" id="{4A46651C-F8F5-4AAA-AC55-C7D68732C598}">
    <text>TRANSFERENCIA</text>
  </threadedComment>
  <threadedComment ref="H328" dT="2025-12-31T14:58:34.00" personId="{86AA2667-3936-4BBD-A6E6-AB08F2D8D7E6}" id="{4D27F6F8-5BE9-4EC2-966F-2FF04F782FF0}">
    <text>transferencia</text>
  </threadedComment>
  <threadedComment ref="H329" dT="2025-12-31T14:59:34.00" personId="{86AA2667-3936-4BBD-A6E6-AB08F2D8D7E6}" id="{110908C2-1B2B-4B4F-BC1C-7FE199C0B9F8}">
    <text>50 efectivo
35 etransferencia</text>
  </threadedComment>
  <threadedComment ref="H330" dT="2025-12-31T18:22:40.00" personId="{86AA2667-3936-4BBD-A6E6-AB08F2D8D7E6}" id="{2CB0AD4B-5A7B-4E7A-8EF3-FE026784302C}">
    <text>30 TRANSFERENCIA
50 EFECTIVO</text>
  </threadedComment>
  <threadedComment ref="H331" dT="2025-12-31T18:52:54.00" personId="{86AA2667-3936-4BBD-A6E6-AB08F2D8D7E6}" id="{831FE6FD-A92E-409B-955E-9901A939D24B}">
    <text>transferencia y tarjeta</text>
  </threadedComment>
  <threadedComment ref="H332" dT="2025-12-31T15:08:29.00" personId="{86AA2667-3936-4BBD-A6E6-AB08F2D8D7E6}" id="{AC417AAD-7DFC-4A9F-94F4-EFB8327FC98B}">
    <text>transferencia</text>
  </threadedComment>
  <threadedComment ref="H333" dT="2025-12-31T15:08:38.00" personId="{86AA2667-3936-4BBD-A6E6-AB08F2D8D7E6}" id="{34D2B64D-BE37-4FBB-8F18-F7F142AB942F}">
    <text>transferencia</text>
  </threadedComment>
  <threadedComment ref="H334" dT="2025-12-31T19:48:07.00" personId="{86AA2667-3936-4BBD-A6E6-AB08F2D8D7E6}" id="{DA7FBB83-3864-471B-A99D-9620793F29FA}">
    <text>30 transferencia
60 efectivo</text>
  </threadedComment>
  <threadedComment ref="H335" dT="2025-12-31T20:06:55.00" personId="{86AA2667-3936-4BBD-A6E6-AB08F2D8D7E6}" id="{0023B211-7366-435D-86CF-EFC54A51AB4C}">
    <text>transferencia</text>
  </threadedComment>
  <threadedComment ref="H337" dT="2025-12-31T20:54:40.00" personId="{86AA2667-3936-4BBD-A6E6-AB08F2D8D7E6}" id="{7B0F44FE-E391-4E8C-BAAB-410D4EC01716}">
    <text>transferencia</text>
  </threadedComment>
  <threadedComment ref="H339" dT="2025-12-31T16:53:58.00" personId="{86AA2667-3936-4BBD-A6E6-AB08F2D8D7E6}" id="{A1CF3F31-C012-43D6-B9B2-7A6C56627E7A}">
    <text>TRANSFERENCIA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79"/>
  <sheetViews>
    <sheetView topLeftCell="A5" workbookViewId="0"/>
  </sheetViews>
  <sheetFormatPr baseColWidth="10" defaultColWidth="12.6640625" defaultRowHeight="15.75" customHeight="1" x14ac:dyDescent="0.15"/>
  <cols>
    <col min="2" max="2" width="31.6640625" customWidth="1"/>
    <col min="3" max="3" width="15.5" customWidth="1"/>
    <col min="4" max="4" width="30.33203125" customWidth="1"/>
    <col min="5" max="5" width="23.83203125" customWidth="1"/>
    <col min="6" max="6" width="22.83203125" customWidth="1"/>
    <col min="7" max="7" width="15.1640625" customWidth="1"/>
    <col min="10" max="10" width="16.6640625" customWidth="1"/>
  </cols>
  <sheetData>
    <row r="1" spans="1:10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ht="16" x14ac:dyDescent="0.2">
      <c r="A2" s="5">
        <v>45660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6" t="s">
        <v>14</v>
      </c>
      <c r="H2" s="7">
        <v>85000</v>
      </c>
      <c r="I2" s="8">
        <v>6.2</v>
      </c>
      <c r="J2" s="1" t="s">
        <v>15</v>
      </c>
    </row>
    <row r="3" spans="1:10" ht="16" x14ac:dyDescent="0.2">
      <c r="A3" s="5">
        <v>45660</v>
      </c>
      <c r="B3" s="1" t="s">
        <v>16</v>
      </c>
      <c r="C3" s="1" t="s">
        <v>17</v>
      </c>
      <c r="D3" s="1" t="s">
        <v>18</v>
      </c>
      <c r="E3" s="1" t="s">
        <v>19</v>
      </c>
      <c r="F3" s="1"/>
      <c r="G3" s="6" t="s">
        <v>14</v>
      </c>
      <c r="H3" s="7">
        <v>50000</v>
      </c>
      <c r="I3" s="8">
        <v>13.8</v>
      </c>
      <c r="J3" s="1" t="s">
        <v>15</v>
      </c>
    </row>
    <row r="4" spans="1:10" ht="16" x14ac:dyDescent="0.2">
      <c r="A4" s="5">
        <v>45660</v>
      </c>
      <c r="B4" s="1" t="s">
        <v>20</v>
      </c>
      <c r="C4" s="1" t="s">
        <v>21</v>
      </c>
      <c r="D4" s="1" t="s">
        <v>22</v>
      </c>
      <c r="E4" s="1" t="s">
        <v>19</v>
      </c>
      <c r="F4" s="1"/>
      <c r="G4" s="6" t="s">
        <v>23</v>
      </c>
      <c r="H4" s="7">
        <v>60000</v>
      </c>
      <c r="I4" s="9"/>
      <c r="J4" s="1" t="s">
        <v>15</v>
      </c>
    </row>
    <row r="5" spans="1:10" ht="16" x14ac:dyDescent="0.2">
      <c r="A5" s="5">
        <v>45660</v>
      </c>
      <c r="B5" s="1" t="s">
        <v>24</v>
      </c>
      <c r="C5" s="1" t="s">
        <v>25</v>
      </c>
      <c r="D5" s="1" t="s">
        <v>26</v>
      </c>
      <c r="E5" s="1" t="s">
        <v>19</v>
      </c>
      <c r="F5" s="1"/>
      <c r="G5" s="6" t="s">
        <v>14</v>
      </c>
      <c r="H5" s="7">
        <v>60000</v>
      </c>
      <c r="I5" s="1">
        <v>7.1</v>
      </c>
      <c r="J5" s="1" t="s">
        <v>15</v>
      </c>
    </row>
    <row r="6" spans="1:10" ht="16" x14ac:dyDescent="0.2">
      <c r="A6" s="5">
        <v>45661</v>
      </c>
      <c r="B6" s="1" t="s">
        <v>27</v>
      </c>
      <c r="C6" s="1" t="s">
        <v>28</v>
      </c>
      <c r="D6" s="1" t="s">
        <v>29</v>
      </c>
      <c r="E6" s="1" t="s">
        <v>13</v>
      </c>
      <c r="F6" s="1"/>
      <c r="G6" s="6" t="s">
        <v>14</v>
      </c>
      <c r="H6" s="7">
        <v>65000</v>
      </c>
      <c r="I6" s="8">
        <v>12.9</v>
      </c>
      <c r="J6" s="1" t="s">
        <v>15</v>
      </c>
    </row>
    <row r="7" spans="1:10" ht="16" x14ac:dyDescent="0.2">
      <c r="A7" s="5">
        <v>45661</v>
      </c>
      <c r="B7" s="1" t="s">
        <v>30</v>
      </c>
      <c r="C7" s="1" t="s">
        <v>31</v>
      </c>
      <c r="D7" s="1" t="s">
        <v>32</v>
      </c>
      <c r="E7" s="1" t="s">
        <v>13</v>
      </c>
      <c r="F7" s="1" t="s">
        <v>33</v>
      </c>
      <c r="G7" s="6" t="s">
        <v>14</v>
      </c>
      <c r="H7" s="7">
        <v>95000</v>
      </c>
      <c r="I7" s="8">
        <v>9.5</v>
      </c>
      <c r="J7" s="1" t="s">
        <v>34</v>
      </c>
    </row>
    <row r="8" spans="1:10" ht="16" x14ac:dyDescent="0.2">
      <c r="A8" s="5">
        <v>45661</v>
      </c>
      <c r="B8" s="1" t="s">
        <v>35</v>
      </c>
      <c r="C8" s="1" t="s">
        <v>36</v>
      </c>
      <c r="D8" s="1" t="s">
        <v>18</v>
      </c>
      <c r="E8" s="1" t="s">
        <v>19</v>
      </c>
      <c r="F8" s="1"/>
      <c r="G8" s="6" t="s">
        <v>14</v>
      </c>
      <c r="H8" s="7">
        <v>200000</v>
      </c>
      <c r="I8" s="8">
        <v>13.8</v>
      </c>
      <c r="J8" s="1" t="s">
        <v>37</v>
      </c>
    </row>
    <row r="9" spans="1:10" ht="16" x14ac:dyDescent="0.2">
      <c r="A9" s="5">
        <v>45661</v>
      </c>
      <c r="B9" s="1" t="s">
        <v>38</v>
      </c>
      <c r="C9" s="1" t="s">
        <v>39</v>
      </c>
      <c r="D9" s="1" t="s">
        <v>26</v>
      </c>
      <c r="E9" s="1" t="s">
        <v>19</v>
      </c>
      <c r="F9" s="1"/>
      <c r="G9" s="6" t="s">
        <v>14</v>
      </c>
      <c r="H9" s="7">
        <v>65000</v>
      </c>
      <c r="I9" s="8">
        <v>4.2</v>
      </c>
      <c r="J9" s="1" t="s">
        <v>40</v>
      </c>
    </row>
    <row r="10" spans="1:10" ht="16" x14ac:dyDescent="0.2">
      <c r="A10" s="5">
        <v>45661</v>
      </c>
      <c r="B10" s="1" t="s">
        <v>38</v>
      </c>
      <c r="C10" s="1" t="s">
        <v>41</v>
      </c>
      <c r="D10" s="1" t="s">
        <v>42</v>
      </c>
      <c r="E10" s="1" t="s">
        <v>19</v>
      </c>
      <c r="F10" s="1"/>
      <c r="G10" s="6" t="s">
        <v>23</v>
      </c>
      <c r="H10" s="7">
        <v>50000</v>
      </c>
      <c r="I10" s="8">
        <v>4.7</v>
      </c>
      <c r="J10" s="1" t="s">
        <v>37</v>
      </c>
    </row>
    <row r="11" spans="1:10" ht="16" x14ac:dyDescent="0.2">
      <c r="A11" s="5">
        <v>45661</v>
      </c>
      <c r="B11" s="1" t="s">
        <v>43</v>
      </c>
      <c r="C11" s="1" t="s">
        <v>44</v>
      </c>
      <c r="D11" s="1" t="s">
        <v>45</v>
      </c>
      <c r="E11" s="1" t="s">
        <v>19</v>
      </c>
      <c r="F11" s="1"/>
      <c r="G11" s="6" t="s">
        <v>23</v>
      </c>
      <c r="H11" s="7">
        <v>65000</v>
      </c>
      <c r="I11" s="1">
        <v>10.7</v>
      </c>
      <c r="J11" s="1" t="s">
        <v>15</v>
      </c>
    </row>
    <row r="12" spans="1:10" ht="16" x14ac:dyDescent="0.2">
      <c r="A12" s="5">
        <v>45661</v>
      </c>
      <c r="B12" s="1" t="s">
        <v>43</v>
      </c>
      <c r="C12" s="1" t="s">
        <v>46</v>
      </c>
      <c r="D12" s="1" t="s">
        <v>45</v>
      </c>
      <c r="E12" s="1" t="s">
        <v>19</v>
      </c>
      <c r="F12" s="1"/>
      <c r="G12" s="6" t="s">
        <v>23</v>
      </c>
      <c r="H12" s="7">
        <v>65000</v>
      </c>
      <c r="I12" s="8">
        <v>17.8</v>
      </c>
      <c r="J12" s="1" t="s">
        <v>15</v>
      </c>
    </row>
    <row r="13" spans="1:10" ht="16" x14ac:dyDescent="0.2">
      <c r="A13" s="5">
        <v>45661</v>
      </c>
      <c r="B13" s="1" t="s">
        <v>47</v>
      </c>
      <c r="C13" s="1" t="s">
        <v>48</v>
      </c>
      <c r="D13" s="1" t="s">
        <v>49</v>
      </c>
      <c r="E13" s="1" t="s">
        <v>19</v>
      </c>
      <c r="F13" s="1"/>
      <c r="G13" s="6" t="s">
        <v>23</v>
      </c>
      <c r="H13" s="7">
        <v>30000</v>
      </c>
      <c r="I13" s="8">
        <v>2.2000000000000002</v>
      </c>
      <c r="J13" s="1" t="s">
        <v>37</v>
      </c>
    </row>
    <row r="14" spans="1:10" ht="16" x14ac:dyDescent="0.2">
      <c r="A14" s="5">
        <v>45664</v>
      </c>
      <c r="B14" s="1" t="s">
        <v>50</v>
      </c>
      <c r="C14" s="1" t="s">
        <v>51</v>
      </c>
      <c r="D14" s="1" t="s">
        <v>18</v>
      </c>
      <c r="E14" s="1" t="s">
        <v>19</v>
      </c>
      <c r="F14" s="1"/>
      <c r="G14" s="6" t="s">
        <v>14</v>
      </c>
      <c r="H14" s="7">
        <v>50000</v>
      </c>
      <c r="I14" s="8"/>
      <c r="J14" s="1"/>
    </row>
    <row r="15" spans="1:10" ht="16" x14ac:dyDescent="0.2">
      <c r="A15" s="5">
        <v>45664</v>
      </c>
      <c r="B15" s="10" t="s">
        <v>52</v>
      </c>
      <c r="C15" s="1" t="s">
        <v>53</v>
      </c>
      <c r="D15" s="1" t="s">
        <v>32</v>
      </c>
      <c r="E15" s="1" t="s">
        <v>13</v>
      </c>
      <c r="F15" s="1"/>
      <c r="G15" s="6" t="s">
        <v>14</v>
      </c>
      <c r="H15" s="7">
        <v>60000</v>
      </c>
      <c r="I15" s="8"/>
      <c r="J15" s="1"/>
    </row>
    <row r="16" spans="1:10" ht="16" x14ac:dyDescent="0.2">
      <c r="A16" s="5">
        <v>45664</v>
      </c>
      <c r="B16" s="1" t="s">
        <v>54</v>
      </c>
      <c r="C16" s="1" t="s">
        <v>55</v>
      </c>
      <c r="D16" s="1" t="s">
        <v>32</v>
      </c>
      <c r="E16" s="1" t="s">
        <v>19</v>
      </c>
      <c r="F16" s="1"/>
      <c r="G16" s="6" t="s">
        <v>14</v>
      </c>
      <c r="H16" s="7">
        <v>55000</v>
      </c>
      <c r="I16" s="8"/>
      <c r="J16" s="1"/>
    </row>
    <row r="17" spans="1:10" ht="16" x14ac:dyDescent="0.2">
      <c r="A17" s="5">
        <v>45664</v>
      </c>
      <c r="B17" s="1" t="s">
        <v>56</v>
      </c>
      <c r="C17" s="1" t="s">
        <v>57</v>
      </c>
      <c r="D17" s="1" t="s">
        <v>58</v>
      </c>
      <c r="E17" s="1" t="s">
        <v>59</v>
      </c>
      <c r="F17" s="1"/>
      <c r="G17" s="6" t="s">
        <v>14</v>
      </c>
      <c r="H17" s="7">
        <v>65000</v>
      </c>
      <c r="I17" s="8"/>
      <c r="J17" s="1"/>
    </row>
    <row r="18" spans="1:10" ht="16" x14ac:dyDescent="0.2">
      <c r="A18" s="5">
        <v>45664</v>
      </c>
      <c r="B18" s="1" t="s">
        <v>60</v>
      </c>
      <c r="C18" s="1" t="s">
        <v>55</v>
      </c>
      <c r="D18" s="1" t="s">
        <v>32</v>
      </c>
      <c r="E18" s="1" t="s">
        <v>19</v>
      </c>
      <c r="F18" s="1"/>
      <c r="G18" s="6" t="s">
        <v>14</v>
      </c>
      <c r="H18" s="7">
        <v>50000</v>
      </c>
      <c r="I18" s="8"/>
      <c r="J18" s="1"/>
    </row>
    <row r="19" spans="1:10" ht="16" x14ac:dyDescent="0.2">
      <c r="A19" s="5">
        <v>45664</v>
      </c>
      <c r="B19" s="1"/>
      <c r="C19" s="1"/>
      <c r="D19" s="1"/>
      <c r="E19" s="1" t="s">
        <v>61</v>
      </c>
      <c r="F19" s="1"/>
      <c r="G19" s="6"/>
      <c r="H19" s="7">
        <v>10000</v>
      </c>
      <c r="I19" s="8"/>
      <c r="J19" s="1"/>
    </row>
    <row r="20" spans="1:10" ht="16" x14ac:dyDescent="0.2">
      <c r="A20" s="5">
        <v>45664</v>
      </c>
      <c r="B20" s="1"/>
      <c r="C20" s="1"/>
      <c r="D20" s="1"/>
      <c r="E20" s="1" t="s">
        <v>61</v>
      </c>
      <c r="F20" s="1"/>
      <c r="G20" s="6"/>
      <c r="H20" s="7">
        <v>10000</v>
      </c>
      <c r="I20" s="8"/>
      <c r="J20" s="1"/>
    </row>
    <row r="21" spans="1:10" ht="16" x14ac:dyDescent="0.2">
      <c r="A21" s="5">
        <v>45664</v>
      </c>
      <c r="B21" s="1"/>
      <c r="C21" s="1"/>
      <c r="D21" s="1"/>
      <c r="E21" s="1" t="s">
        <v>61</v>
      </c>
      <c r="F21" s="1"/>
      <c r="G21" s="6"/>
      <c r="H21" s="7">
        <v>15000</v>
      </c>
      <c r="I21" s="8"/>
      <c r="J21" s="1"/>
    </row>
    <row r="22" spans="1:10" ht="16" x14ac:dyDescent="0.2">
      <c r="A22" s="5">
        <v>45665</v>
      </c>
      <c r="B22" s="1" t="s">
        <v>62</v>
      </c>
      <c r="C22" s="1" t="s">
        <v>63</v>
      </c>
      <c r="D22" s="1" t="s">
        <v>64</v>
      </c>
      <c r="E22" s="1" t="s">
        <v>19</v>
      </c>
      <c r="F22" s="1"/>
      <c r="G22" s="6" t="s">
        <v>14</v>
      </c>
      <c r="H22" s="7">
        <v>65000</v>
      </c>
      <c r="I22" s="8">
        <v>6</v>
      </c>
      <c r="J22" s="1"/>
    </row>
    <row r="23" spans="1:10" ht="16" x14ac:dyDescent="0.2">
      <c r="A23" s="5">
        <v>45665</v>
      </c>
      <c r="B23" s="1" t="s">
        <v>65</v>
      </c>
      <c r="C23" s="1" t="s">
        <v>63</v>
      </c>
      <c r="D23" s="1" t="s">
        <v>18</v>
      </c>
      <c r="E23" s="1" t="s">
        <v>13</v>
      </c>
      <c r="F23" s="1" t="s">
        <v>66</v>
      </c>
      <c r="G23" s="6" t="s">
        <v>14</v>
      </c>
      <c r="H23" s="7">
        <f>70000+65000</f>
        <v>135000</v>
      </c>
      <c r="I23" s="8">
        <v>12.1</v>
      </c>
      <c r="J23" s="1"/>
    </row>
    <row r="24" spans="1:10" ht="16" x14ac:dyDescent="0.2">
      <c r="A24" s="5">
        <v>45665</v>
      </c>
      <c r="B24" s="1" t="s">
        <v>67</v>
      </c>
      <c r="C24" s="1" t="s">
        <v>68</v>
      </c>
      <c r="D24" s="1" t="s">
        <v>26</v>
      </c>
      <c r="E24" s="1" t="s">
        <v>19</v>
      </c>
      <c r="F24" s="1"/>
      <c r="G24" s="6" t="s">
        <v>14</v>
      </c>
      <c r="H24" s="7">
        <v>180000</v>
      </c>
      <c r="I24" s="8"/>
      <c r="J24" s="1"/>
    </row>
    <row r="25" spans="1:10" ht="16" x14ac:dyDescent="0.2">
      <c r="A25" s="5">
        <v>45665</v>
      </c>
      <c r="B25" s="1" t="s">
        <v>69</v>
      </c>
      <c r="C25" s="1" t="s">
        <v>31</v>
      </c>
      <c r="D25" s="1" t="s">
        <v>26</v>
      </c>
      <c r="E25" s="1" t="s">
        <v>19</v>
      </c>
      <c r="F25" s="1"/>
      <c r="G25" s="6" t="s">
        <v>14</v>
      </c>
      <c r="H25" s="7">
        <v>75000</v>
      </c>
      <c r="I25" s="8"/>
      <c r="J25" s="1"/>
    </row>
    <row r="26" spans="1:10" ht="16" x14ac:dyDescent="0.2">
      <c r="A26" s="5">
        <v>45665</v>
      </c>
      <c r="B26" s="1" t="s">
        <v>70</v>
      </c>
      <c r="C26" s="1" t="s">
        <v>71</v>
      </c>
      <c r="D26" s="1" t="s">
        <v>64</v>
      </c>
      <c r="E26" s="1" t="s">
        <v>59</v>
      </c>
      <c r="F26" s="1"/>
      <c r="G26" s="6" t="s">
        <v>14</v>
      </c>
      <c r="H26" s="7">
        <v>0</v>
      </c>
      <c r="I26" s="8">
        <v>3</v>
      </c>
      <c r="J26" s="1"/>
    </row>
    <row r="27" spans="1:10" ht="16" x14ac:dyDescent="0.2">
      <c r="A27" s="5">
        <v>45665</v>
      </c>
      <c r="B27" s="1" t="s">
        <v>72</v>
      </c>
      <c r="C27" s="1" t="s">
        <v>73</v>
      </c>
      <c r="D27" s="1" t="s">
        <v>58</v>
      </c>
      <c r="E27" s="1" t="s">
        <v>59</v>
      </c>
      <c r="F27" s="1"/>
      <c r="G27" s="6" t="s">
        <v>14</v>
      </c>
      <c r="H27" s="7">
        <v>80000</v>
      </c>
      <c r="I27" s="8"/>
      <c r="J27" s="1"/>
    </row>
    <row r="28" spans="1:10" ht="16" x14ac:dyDescent="0.2">
      <c r="A28" s="5">
        <v>45665</v>
      </c>
      <c r="B28" s="1" t="s">
        <v>72</v>
      </c>
      <c r="C28" s="1" t="s">
        <v>74</v>
      </c>
      <c r="D28" s="1" t="s">
        <v>58</v>
      </c>
      <c r="E28" s="1" t="s">
        <v>59</v>
      </c>
      <c r="F28" s="1"/>
      <c r="G28" s="6" t="s">
        <v>14</v>
      </c>
      <c r="H28" s="7">
        <v>80000</v>
      </c>
      <c r="I28" s="8"/>
      <c r="J28" s="1"/>
    </row>
    <row r="29" spans="1:10" ht="16" x14ac:dyDescent="0.2">
      <c r="A29" s="5">
        <v>45665</v>
      </c>
      <c r="B29" s="1"/>
      <c r="C29" s="1"/>
      <c r="D29" s="1"/>
      <c r="E29" s="1" t="s">
        <v>61</v>
      </c>
      <c r="F29" s="1"/>
      <c r="G29" s="6"/>
      <c r="H29" s="7">
        <v>10000</v>
      </c>
      <c r="I29" s="8"/>
      <c r="J29" s="1"/>
    </row>
    <row r="30" spans="1:10" ht="16" x14ac:dyDescent="0.2">
      <c r="A30" s="5">
        <v>45665</v>
      </c>
      <c r="B30" s="1"/>
      <c r="C30" s="1"/>
      <c r="D30" s="1"/>
      <c r="E30" s="1" t="s">
        <v>61</v>
      </c>
      <c r="F30" s="1"/>
      <c r="G30" s="6"/>
      <c r="H30" s="7">
        <v>10000</v>
      </c>
      <c r="I30" s="8"/>
      <c r="J30" s="1"/>
    </row>
    <row r="31" spans="1:10" ht="16" x14ac:dyDescent="0.2">
      <c r="A31" s="5">
        <v>45665</v>
      </c>
      <c r="B31" s="1" t="s">
        <v>75</v>
      </c>
      <c r="C31" s="1" t="s">
        <v>63</v>
      </c>
      <c r="D31" s="1" t="s">
        <v>49</v>
      </c>
      <c r="E31" s="1" t="s">
        <v>19</v>
      </c>
      <c r="F31" s="1"/>
      <c r="G31" s="6" t="s">
        <v>23</v>
      </c>
      <c r="H31" s="7">
        <v>30000</v>
      </c>
      <c r="I31" s="8">
        <v>5.2</v>
      </c>
      <c r="J31" s="1"/>
    </row>
    <row r="32" spans="1:10" ht="16" x14ac:dyDescent="0.2">
      <c r="A32" s="5">
        <v>45665</v>
      </c>
      <c r="B32" s="1" t="s">
        <v>76</v>
      </c>
      <c r="C32" s="1" t="s">
        <v>77</v>
      </c>
      <c r="D32" s="1" t="s">
        <v>26</v>
      </c>
      <c r="E32" s="1" t="s">
        <v>78</v>
      </c>
      <c r="F32" s="1"/>
      <c r="G32" s="6" t="s">
        <v>14</v>
      </c>
      <c r="H32" s="7">
        <v>100000</v>
      </c>
      <c r="I32" s="8"/>
      <c r="J32" s="1"/>
    </row>
    <row r="33" spans="1:10" ht="16" x14ac:dyDescent="0.2">
      <c r="A33" s="5">
        <v>45666</v>
      </c>
      <c r="B33" s="1" t="s">
        <v>79</v>
      </c>
      <c r="C33" s="1" t="s">
        <v>80</v>
      </c>
      <c r="D33" s="1" t="s">
        <v>26</v>
      </c>
      <c r="E33" s="1" t="s">
        <v>13</v>
      </c>
      <c r="F33" s="1"/>
      <c r="G33" s="6" t="s">
        <v>14</v>
      </c>
      <c r="H33" s="7">
        <v>65000</v>
      </c>
      <c r="I33" s="8"/>
      <c r="J33" s="1"/>
    </row>
    <row r="34" spans="1:10" ht="16" x14ac:dyDescent="0.2">
      <c r="A34" s="5">
        <v>45666</v>
      </c>
      <c r="B34" s="1" t="s">
        <v>81</v>
      </c>
      <c r="C34" s="1" t="s">
        <v>82</v>
      </c>
      <c r="D34" s="1" t="s">
        <v>64</v>
      </c>
      <c r="E34" s="1" t="s">
        <v>13</v>
      </c>
      <c r="F34" s="1"/>
      <c r="G34" s="6"/>
      <c r="H34" s="7">
        <v>65000</v>
      </c>
      <c r="I34" s="8"/>
      <c r="J34" s="1"/>
    </row>
    <row r="35" spans="1:10" ht="16" x14ac:dyDescent="0.2">
      <c r="A35" s="5">
        <v>45666</v>
      </c>
      <c r="B35" s="1" t="s">
        <v>81</v>
      </c>
      <c r="C35" s="1" t="s">
        <v>83</v>
      </c>
      <c r="D35" s="1" t="s">
        <v>18</v>
      </c>
      <c r="E35" s="1" t="s">
        <v>19</v>
      </c>
      <c r="F35" s="1"/>
      <c r="G35" s="6" t="s">
        <v>14</v>
      </c>
      <c r="H35" s="7">
        <v>55000</v>
      </c>
      <c r="I35" s="8"/>
      <c r="J35" s="1"/>
    </row>
    <row r="36" spans="1:10" ht="16" x14ac:dyDescent="0.2">
      <c r="A36" s="5">
        <v>45666</v>
      </c>
      <c r="B36" s="1" t="s">
        <v>84</v>
      </c>
      <c r="C36" s="1" t="s">
        <v>85</v>
      </c>
      <c r="D36" s="1" t="s">
        <v>64</v>
      </c>
      <c r="E36" s="1" t="s">
        <v>19</v>
      </c>
      <c r="F36" s="1"/>
      <c r="G36" s="6" t="s">
        <v>23</v>
      </c>
      <c r="H36" s="7">
        <v>50000</v>
      </c>
      <c r="I36" s="8">
        <v>11.7</v>
      </c>
      <c r="J36" s="1"/>
    </row>
    <row r="37" spans="1:10" ht="16" x14ac:dyDescent="0.2">
      <c r="A37" s="5">
        <v>45666</v>
      </c>
      <c r="B37" s="1" t="s">
        <v>86</v>
      </c>
      <c r="C37" s="1" t="s">
        <v>87</v>
      </c>
      <c r="D37" s="1" t="s">
        <v>88</v>
      </c>
      <c r="E37" s="1" t="s">
        <v>13</v>
      </c>
      <c r="F37" s="1"/>
      <c r="G37" s="6" t="s">
        <v>14</v>
      </c>
      <c r="H37" s="7">
        <v>65000</v>
      </c>
      <c r="I37" s="8">
        <v>2</v>
      </c>
      <c r="J37" s="1"/>
    </row>
    <row r="38" spans="1:10" ht="16" x14ac:dyDescent="0.2">
      <c r="A38" s="5">
        <v>45666</v>
      </c>
      <c r="B38" s="1" t="s">
        <v>89</v>
      </c>
      <c r="C38" s="1" t="s">
        <v>90</v>
      </c>
      <c r="D38" s="1" t="s">
        <v>64</v>
      </c>
      <c r="E38" s="1" t="s">
        <v>13</v>
      </c>
      <c r="F38" s="1" t="s">
        <v>91</v>
      </c>
      <c r="G38" s="6" t="s">
        <v>14</v>
      </c>
      <c r="H38" s="7">
        <f>80000+65000</f>
        <v>145000</v>
      </c>
      <c r="I38" s="8">
        <v>6.1</v>
      </c>
      <c r="J38" s="1"/>
    </row>
    <row r="39" spans="1:10" ht="16" x14ac:dyDescent="0.2">
      <c r="A39" s="5">
        <v>45666</v>
      </c>
      <c r="B39" s="1" t="s">
        <v>92</v>
      </c>
      <c r="C39" s="1" t="s">
        <v>93</v>
      </c>
      <c r="D39" s="1" t="s">
        <v>88</v>
      </c>
      <c r="E39" s="1" t="s">
        <v>94</v>
      </c>
      <c r="F39" s="1"/>
      <c r="G39" s="6" t="s">
        <v>14</v>
      </c>
      <c r="H39" s="7">
        <v>75000</v>
      </c>
      <c r="I39" s="8">
        <v>5.3</v>
      </c>
      <c r="J39" s="1"/>
    </row>
    <row r="40" spans="1:10" ht="16" x14ac:dyDescent="0.2">
      <c r="A40" s="5">
        <v>45666</v>
      </c>
      <c r="B40" s="1" t="s">
        <v>95</v>
      </c>
      <c r="C40" s="1" t="s">
        <v>96</v>
      </c>
      <c r="D40" s="1" t="s">
        <v>97</v>
      </c>
      <c r="E40" s="1" t="s">
        <v>19</v>
      </c>
      <c r="F40" s="1"/>
      <c r="G40" s="6" t="s">
        <v>14</v>
      </c>
      <c r="H40" s="7">
        <v>55000</v>
      </c>
      <c r="I40" s="8">
        <v>7.7</v>
      </c>
      <c r="J40" s="1"/>
    </row>
    <row r="41" spans="1:10" ht="16" x14ac:dyDescent="0.2">
      <c r="A41" s="5">
        <v>45666</v>
      </c>
      <c r="B41" s="1" t="s">
        <v>98</v>
      </c>
      <c r="C41" s="1" t="s">
        <v>99</v>
      </c>
      <c r="D41" s="1" t="s">
        <v>32</v>
      </c>
      <c r="E41" s="1" t="s">
        <v>13</v>
      </c>
      <c r="F41" s="1"/>
      <c r="G41" s="6" t="s">
        <v>14</v>
      </c>
      <c r="H41" s="7">
        <v>80000</v>
      </c>
      <c r="I41" s="8"/>
      <c r="J41" s="1"/>
    </row>
    <row r="42" spans="1:10" ht="16" x14ac:dyDescent="0.2">
      <c r="A42" s="5">
        <v>45666</v>
      </c>
      <c r="B42" s="1" t="s">
        <v>98</v>
      </c>
      <c r="C42" s="1" t="s">
        <v>100</v>
      </c>
      <c r="D42" s="1" t="s">
        <v>101</v>
      </c>
      <c r="E42" s="1" t="s">
        <v>13</v>
      </c>
      <c r="F42" s="1"/>
      <c r="G42" s="6" t="s">
        <v>14</v>
      </c>
      <c r="H42" s="7">
        <v>80000</v>
      </c>
      <c r="I42" s="1"/>
      <c r="J42" s="1"/>
    </row>
    <row r="43" spans="1:10" ht="16" x14ac:dyDescent="0.2">
      <c r="A43" s="5">
        <v>45667</v>
      </c>
      <c r="B43" s="1" t="s">
        <v>102</v>
      </c>
      <c r="C43" s="1" t="s">
        <v>103</v>
      </c>
      <c r="D43" s="1" t="s">
        <v>64</v>
      </c>
      <c r="E43" s="1" t="s">
        <v>19</v>
      </c>
      <c r="F43" s="1"/>
      <c r="G43" s="6"/>
      <c r="H43" s="7">
        <v>65000</v>
      </c>
      <c r="I43" s="8"/>
      <c r="J43" s="1"/>
    </row>
    <row r="44" spans="1:10" ht="16" x14ac:dyDescent="0.2">
      <c r="A44" s="5">
        <v>45667</v>
      </c>
      <c r="B44" s="1" t="s">
        <v>102</v>
      </c>
      <c r="C44" s="1" t="s">
        <v>104</v>
      </c>
      <c r="D44" s="1" t="s">
        <v>26</v>
      </c>
      <c r="E44" s="1" t="s">
        <v>19</v>
      </c>
      <c r="F44" s="1"/>
      <c r="G44" s="6"/>
      <c r="H44" s="7">
        <v>65000</v>
      </c>
      <c r="I44" s="8"/>
      <c r="J44" s="1"/>
    </row>
    <row r="45" spans="1:10" ht="16" x14ac:dyDescent="0.2">
      <c r="A45" s="5">
        <v>45667</v>
      </c>
      <c r="B45" s="1" t="s">
        <v>105</v>
      </c>
      <c r="C45" s="1" t="s">
        <v>106</v>
      </c>
      <c r="D45" s="1" t="s">
        <v>88</v>
      </c>
      <c r="E45" s="1" t="s">
        <v>13</v>
      </c>
      <c r="F45" s="1"/>
      <c r="G45" s="6" t="s">
        <v>14</v>
      </c>
      <c r="H45" s="7">
        <v>55000</v>
      </c>
      <c r="I45" s="8"/>
      <c r="J45" s="1"/>
    </row>
    <row r="46" spans="1:10" ht="16" x14ac:dyDescent="0.2">
      <c r="A46" s="5">
        <v>45667</v>
      </c>
      <c r="B46" s="1" t="s">
        <v>107</v>
      </c>
      <c r="C46" s="1" t="s">
        <v>108</v>
      </c>
      <c r="D46" s="1" t="s">
        <v>32</v>
      </c>
      <c r="E46" s="1" t="s">
        <v>13</v>
      </c>
      <c r="F46" s="1" t="s">
        <v>109</v>
      </c>
      <c r="G46" s="6" t="s">
        <v>14</v>
      </c>
      <c r="H46" s="7">
        <v>120000</v>
      </c>
      <c r="I46" s="8">
        <v>4.0999999999999996</v>
      </c>
      <c r="J46" s="1"/>
    </row>
    <row r="47" spans="1:10" ht="16" x14ac:dyDescent="0.2">
      <c r="A47" s="5">
        <v>45667</v>
      </c>
      <c r="B47" s="1" t="s">
        <v>107</v>
      </c>
      <c r="C47" s="1" t="s">
        <v>110</v>
      </c>
      <c r="D47" s="1" t="s">
        <v>88</v>
      </c>
      <c r="E47" s="1" t="s">
        <v>94</v>
      </c>
      <c r="F47" s="1"/>
      <c r="G47" s="6" t="s">
        <v>14</v>
      </c>
      <c r="H47" s="7">
        <v>60000</v>
      </c>
      <c r="I47" s="8">
        <v>2.2000000000000002</v>
      </c>
      <c r="J47" s="1"/>
    </row>
    <row r="48" spans="1:10" ht="16" x14ac:dyDescent="0.2">
      <c r="A48" s="5">
        <v>45667</v>
      </c>
      <c r="B48" s="1" t="s">
        <v>111</v>
      </c>
      <c r="C48" s="1" t="s">
        <v>63</v>
      </c>
      <c r="D48" s="1" t="s">
        <v>112</v>
      </c>
      <c r="E48" s="1" t="s">
        <v>113</v>
      </c>
      <c r="F48" s="1"/>
      <c r="G48" s="6" t="s">
        <v>14</v>
      </c>
      <c r="H48" s="7" t="s">
        <v>114</v>
      </c>
      <c r="I48" s="8"/>
      <c r="J48" s="1"/>
    </row>
    <row r="49" spans="1:10" ht="16" x14ac:dyDescent="0.2">
      <c r="A49" s="5">
        <v>45667</v>
      </c>
      <c r="B49" s="1" t="s">
        <v>115</v>
      </c>
      <c r="C49" s="1" t="s">
        <v>116</v>
      </c>
      <c r="D49" s="1" t="s">
        <v>32</v>
      </c>
      <c r="E49" s="1" t="s">
        <v>19</v>
      </c>
      <c r="F49" s="1"/>
      <c r="G49" s="6" t="s">
        <v>14</v>
      </c>
      <c r="H49" s="7">
        <v>10000</v>
      </c>
      <c r="I49" s="8">
        <v>4.5999999999999996</v>
      </c>
      <c r="J49" s="1"/>
    </row>
    <row r="50" spans="1:10" ht="16" x14ac:dyDescent="0.2">
      <c r="A50" s="5">
        <v>45667</v>
      </c>
      <c r="B50" s="1" t="s">
        <v>117</v>
      </c>
      <c r="C50" s="1" t="s">
        <v>118</v>
      </c>
      <c r="D50" s="1" t="s">
        <v>119</v>
      </c>
      <c r="E50" s="1" t="s">
        <v>19</v>
      </c>
      <c r="F50" s="1"/>
      <c r="G50" s="6" t="s">
        <v>23</v>
      </c>
      <c r="H50" s="7">
        <v>60000</v>
      </c>
      <c r="I50" s="8">
        <v>12.3</v>
      </c>
      <c r="J50" s="1"/>
    </row>
    <row r="51" spans="1:10" ht="16" x14ac:dyDescent="0.2">
      <c r="A51" s="5">
        <v>45668</v>
      </c>
      <c r="B51" s="1" t="s">
        <v>120</v>
      </c>
      <c r="C51" s="1" t="s">
        <v>121</v>
      </c>
      <c r="D51" s="1" t="s">
        <v>122</v>
      </c>
      <c r="E51" s="1" t="s">
        <v>19</v>
      </c>
      <c r="F51" s="1"/>
      <c r="G51" s="6" t="s">
        <v>14</v>
      </c>
      <c r="H51" s="7">
        <v>60000</v>
      </c>
      <c r="I51" s="8">
        <v>7.1</v>
      </c>
      <c r="J51" s="1"/>
    </row>
    <row r="52" spans="1:10" ht="16" x14ac:dyDescent="0.2">
      <c r="A52" s="5">
        <v>45668</v>
      </c>
      <c r="B52" s="1" t="s">
        <v>123</v>
      </c>
      <c r="C52" s="1" t="s">
        <v>124</v>
      </c>
      <c r="D52" s="1" t="s">
        <v>18</v>
      </c>
      <c r="E52" s="1" t="s">
        <v>19</v>
      </c>
      <c r="F52" s="1"/>
      <c r="G52" s="6" t="s">
        <v>14</v>
      </c>
      <c r="H52" s="7">
        <v>60000</v>
      </c>
      <c r="I52" s="8">
        <v>14.9</v>
      </c>
      <c r="J52" s="1"/>
    </row>
    <row r="53" spans="1:10" ht="16" x14ac:dyDescent="0.2">
      <c r="A53" s="5">
        <v>45668</v>
      </c>
      <c r="B53" s="1" t="s">
        <v>125</v>
      </c>
      <c r="C53" s="1" t="s">
        <v>126</v>
      </c>
      <c r="D53" s="1" t="s">
        <v>32</v>
      </c>
      <c r="E53" s="1" t="s">
        <v>19</v>
      </c>
      <c r="F53" s="1"/>
      <c r="G53" s="6" t="s">
        <v>14</v>
      </c>
      <c r="H53" s="7">
        <v>55000</v>
      </c>
      <c r="I53" s="8"/>
      <c r="J53" s="1"/>
    </row>
    <row r="54" spans="1:10" ht="16" x14ac:dyDescent="0.2">
      <c r="A54" s="5">
        <v>45668</v>
      </c>
      <c r="B54" s="1" t="s">
        <v>127</v>
      </c>
      <c r="C54" s="1" t="s">
        <v>128</v>
      </c>
      <c r="D54" s="1" t="s">
        <v>49</v>
      </c>
      <c r="E54" s="1" t="s">
        <v>19</v>
      </c>
      <c r="F54" s="1"/>
      <c r="G54" s="6" t="s">
        <v>23</v>
      </c>
      <c r="H54" s="7">
        <v>25000</v>
      </c>
      <c r="I54" s="8">
        <v>2.5</v>
      </c>
      <c r="J54" s="1"/>
    </row>
    <row r="55" spans="1:10" ht="16" x14ac:dyDescent="0.2">
      <c r="A55" s="5">
        <v>45668</v>
      </c>
      <c r="B55" s="1" t="s">
        <v>129</v>
      </c>
      <c r="C55" s="1" t="s">
        <v>130</v>
      </c>
      <c r="D55" s="1" t="s">
        <v>131</v>
      </c>
      <c r="E55" s="1" t="s">
        <v>13</v>
      </c>
      <c r="F55" s="1"/>
      <c r="G55" s="6" t="s">
        <v>14</v>
      </c>
      <c r="H55" s="7">
        <v>85000</v>
      </c>
      <c r="I55" s="8">
        <v>41.2</v>
      </c>
      <c r="J55" s="1"/>
    </row>
    <row r="56" spans="1:10" ht="16" x14ac:dyDescent="0.2">
      <c r="A56" s="5">
        <v>45668</v>
      </c>
      <c r="B56" s="1" t="s">
        <v>132</v>
      </c>
      <c r="C56" s="1" t="s">
        <v>133</v>
      </c>
      <c r="D56" s="1" t="s">
        <v>18</v>
      </c>
      <c r="E56" s="1" t="s">
        <v>19</v>
      </c>
      <c r="F56" s="1"/>
      <c r="G56" s="6" t="s">
        <v>14</v>
      </c>
      <c r="H56" s="7" t="s">
        <v>114</v>
      </c>
      <c r="I56" s="8"/>
      <c r="J56" s="1"/>
    </row>
    <row r="57" spans="1:10" ht="16" x14ac:dyDescent="0.2">
      <c r="A57" s="5">
        <v>45668</v>
      </c>
      <c r="B57" s="1" t="s">
        <v>134</v>
      </c>
      <c r="C57" s="1" t="s">
        <v>135</v>
      </c>
      <c r="D57" s="1" t="s">
        <v>88</v>
      </c>
      <c r="E57" s="1" t="s">
        <v>13</v>
      </c>
      <c r="F57" s="1" t="s">
        <v>109</v>
      </c>
      <c r="G57" s="6" t="s">
        <v>14</v>
      </c>
      <c r="H57" s="7">
        <v>140000</v>
      </c>
      <c r="I57" s="8"/>
      <c r="J57" s="1"/>
    </row>
    <row r="58" spans="1:10" ht="16" x14ac:dyDescent="0.2">
      <c r="A58" s="5">
        <v>45668</v>
      </c>
      <c r="B58" s="1" t="s">
        <v>136</v>
      </c>
      <c r="C58" s="1" t="s">
        <v>137</v>
      </c>
      <c r="D58" s="1" t="s">
        <v>119</v>
      </c>
      <c r="E58" s="1" t="s">
        <v>19</v>
      </c>
      <c r="F58" s="1"/>
      <c r="G58" s="6" t="s">
        <v>23</v>
      </c>
      <c r="H58" s="7">
        <v>40000</v>
      </c>
      <c r="I58" s="8"/>
      <c r="J58" s="1"/>
    </row>
    <row r="59" spans="1:10" ht="16" x14ac:dyDescent="0.2">
      <c r="A59" s="5">
        <v>45668</v>
      </c>
      <c r="B59" s="1" t="s">
        <v>136</v>
      </c>
      <c r="C59" s="1" t="s">
        <v>130</v>
      </c>
      <c r="D59" s="1" t="s">
        <v>119</v>
      </c>
      <c r="E59" s="1" t="s">
        <v>19</v>
      </c>
      <c r="F59" s="1"/>
      <c r="G59" s="6" t="s">
        <v>23</v>
      </c>
      <c r="H59" s="7">
        <v>40000</v>
      </c>
      <c r="I59" s="8"/>
      <c r="J59" s="1"/>
    </row>
    <row r="60" spans="1:10" ht="16" x14ac:dyDescent="0.2">
      <c r="A60" s="5">
        <v>45668</v>
      </c>
      <c r="B60" s="1" t="s">
        <v>136</v>
      </c>
      <c r="C60" s="1" t="s">
        <v>138</v>
      </c>
      <c r="D60" s="1" t="s">
        <v>119</v>
      </c>
      <c r="E60" s="1" t="s">
        <v>19</v>
      </c>
      <c r="F60" s="1"/>
      <c r="G60" s="6" t="s">
        <v>23</v>
      </c>
      <c r="H60" s="7">
        <v>40000</v>
      </c>
      <c r="I60" s="8"/>
      <c r="J60" s="1"/>
    </row>
    <row r="61" spans="1:10" ht="16" x14ac:dyDescent="0.2">
      <c r="A61" s="5">
        <v>45668</v>
      </c>
      <c r="B61" s="1" t="s">
        <v>139</v>
      </c>
      <c r="C61" s="1" t="s">
        <v>140</v>
      </c>
      <c r="D61" s="1" t="s">
        <v>26</v>
      </c>
      <c r="E61" s="1" t="s">
        <v>19</v>
      </c>
      <c r="F61" s="1"/>
      <c r="G61" s="6" t="s">
        <v>14</v>
      </c>
      <c r="H61" s="7">
        <v>62000</v>
      </c>
      <c r="I61" s="8">
        <v>4.9000000000000004</v>
      </c>
      <c r="J61" s="1"/>
    </row>
    <row r="62" spans="1:10" ht="16" x14ac:dyDescent="0.2">
      <c r="A62" s="5">
        <v>45668</v>
      </c>
      <c r="B62" s="1" t="s">
        <v>141</v>
      </c>
      <c r="C62" s="1" t="s">
        <v>142</v>
      </c>
      <c r="D62" s="1" t="s">
        <v>26</v>
      </c>
      <c r="E62" s="1" t="s">
        <v>19</v>
      </c>
      <c r="F62" s="1"/>
      <c r="G62" s="6" t="s">
        <v>14</v>
      </c>
      <c r="H62" s="7">
        <v>60000</v>
      </c>
      <c r="I62" s="8">
        <v>260</v>
      </c>
      <c r="J62" s="1"/>
    </row>
    <row r="63" spans="1:10" ht="16" x14ac:dyDescent="0.2">
      <c r="A63" s="5">
        <v>45668</v>
      </c>
      <c r="B63" s="1" t="s">
        <v>143</v>
      </c>
      <c r="C63" s="1" t="s">
        <v>144</v>
      </c>
      <c r="D63" s="1" t="s">
        <v>49</v>
      </c>
      <c r="E63" s="1" t="s">
        <v>19</v>
      </c>
      <c r="F63" s="1"/>
      <c r="G63" s="6" t="s">
        <v>23</v>
      </c>
      <c r="H63" s="7">
        <v>25000</v>
      </c>
      <c r="I63" s="8"/>
      <c r="J63" s="1"/>
    </row>
    <row r="64" spans="1:10" ht="16" x14ac:dyDescent="0.2">
      <c r="A64" s="5">
        <v>45670</v>
      </c>
      <c r="B64" s="1" t="s">
        <v>145</v>
      </c>
      <c r="C64" s="1" t="s">
        <v>146</v>
      </c>
      <c r="D64" s="1" t="s">
        <v>88</v>
      </c>
      <c r="E64" s="1" t="s">
        <v>94</v>
      </c>
      <c r="F64" s="1"/>
      <c r="G64" s="6" t="s">
        <v>14</v>
      </c>
      <c r="H64" s="7">
        <v>55000</v>
      </c>
      <c r="I64" s="8">
        <v>3.3</v>
      </c>
      <c r="J64" s="1" t="s">
        <v>15</v>
      </c>
    </row>
    <row r="65" spans="1:10" ht="16" x14ac:dyDescent="0.2">
      <c r="A65" s="5">
        <v>45670</v>
      </c>
      <c r="B65" s="1" t="s">
        <v>147</v>
      </c>
      <c r="C65" s="1" t="s">
        <v>148</v>
      </c>
      <c r="D65" s="1" t="s">
        <v>32</v>
      </c>
      <c r="E65" s="1" t="s">
        <v>78</v>
      </c>
      <c r="F65" s="1"/>
      <c r="G65" s="6" t="s">
        <v>14</v>
      </c>
      <c r="H65" s="7">
        <v>65000</v>
      </c>
      <c r="I65" s="8">
        <v>5.2</v>
      </c>
      <c r="J65" s="1" t="s">
        <v>15</v>
      </c>
    </row>
    <row r="66" spans="1:10" ht="16" x14ac:dyDescent="0.2">
      <c r="A66" s="5">
        <v>45670</v>
      </c>
      <c r="B66" s="1" t="s">
        <v>149</v>
      </c>
      <c r="C66" s="1" t="s">
        <v>150</v>
      </c>
      <c r="D66" s="1" t="s">
        <v>32</v>
      </c>
      <c r="E66" s="1" t="s">
        <v>78</v>
      </c>
      <c r="F66" s="1"/>
      <c r="G66" s="6" t="s">
        <v>14</v>
      </c>
      <c r="H66" s="7">
        <v>75000</v>
      </c>
      <c r="I66" s="8">
        <v>3.3</v>
      </c>
      <c r="J66" s="1" t="s">
        <v>15</v>
      </c>
    </row>
    <row r="67" spans="1:10" ht="16" x14ac:dyDescent="0.2">
      <c r="A67" s="5">
        <v>45670</v>
      </c>
      <c r="B67" s="1" t="s">
        <v>151</v>
      </c>
      <c r="C67" s="1" t="s">
        <v>152</v>
      </c>
      <c r="D67" s="1" t="s">
        <v>153</v>
      </c>
      <c r="E67" s="1" t="s">
        <v>78</v>
      </c>
      <c r="F67" s="1"/>
      <c r="G67" s="6" t="s">
        <v>14</v>
      </c>
      <c r="H67" s="7">
        <v>65000</v>
      </c>
      <c r="I67" s="8">
        <v>3.9</v>
      </c>
      <c r="J67" s="1" t="s">
        <v>15</v>
      </c>
    </row>
    <row r="68" spans="1:10" ht="16" x14ac:dyDescent="0.2">
      <c r="A68" s="5">
        <v>45670</v>
      </c>
      <c r="B68" s="1" t="s">
        <v>154</v>
      </c>
      <c r="C68" s="1" t="s">
        <v>155</v>
      </c>
      <c r="D68" s="1" t="s">
        <v>26</v>
      </c>
      <c r="E68" s="1" t="s">
        <v>19</v>
      </c>
      <c r="F68" s="1"/>
      <c r="G68" s="6" t="s">
        <v>14</v>
      </c>
      <c r="H68" s="7">
        <v>65000</v>
      </c>
      <c r="I68" s="8">
        <v>6.9</v>
      </c>
      <c r="J68" s="1" t="s">
        <v>15</v>
      </c>
    </row>
    <row r="69" spans="1:10" ht="16" x14ac:dyDescent="0.2">
      <c r="A69" s="5">
        <v>45670</v>
      </c>
      <c r="B69" s="1" t="s">
        <v>156</v>
      </c>
      <c r="C69" s="1" t="s">
        <v>157</v>
      </c>
      <c r="D69" s="1" t="s">
        <v>26</v>
      </c>
      <c r="E69" s="1" t="s">
        <v>19</v>
      </c>
      <c r="F69" s="1"/>
      <c r="G69" s="6" t="s">
        <v>14</v>
      </c>
      <c r="H69" s="7">
        <v>60000</v>
      </c>
      <c r="I69" s="8">
        <v>4</v>
      </c>
      <c r="J69" s="1" t="s">
        <v>15</v>
      </c>
    </row>
    <row r="70" spans="1:10" ht="16" x14ac:dyDescent="0.2">
      <c r="A70" s="5">
        <v>45670</v>
      </c>
      <c r="B70" s="1" t="s">
        <v>158</v>
      </c>
      <c r="C70" s="1" t="s">
        <v>159</v>
      </c>
      <c r="D70" s="1" t="s">
        <v>49</v>
      </c>
      <c r="E70" s="1" t="s">
        <v>61</v>
      </c>
      <c r="F70" s="1"/>
      <c r="G70" s="6" t="s">
        <v>23</v>
      </c>
      <c r="H70" s="7">
        <v>10000</v>
      </c>
      <c r="I70" s="8" t="s">
        <v>114</v>
      </c>
      <c r="J70" s="1" t="s">
        <v>160</v>
      </c>
    </row>
    <row r="71" spans="1:10" ht="16" x14ac:dyDescent="0.2">
      <c r="A71" s="5">
        <v>45670</v>
      </c>
      <c r="B71" s="1" t="s">
        <v>161</v>
      </c>
      <c r="C71" s="1" t="s">
        <v>162</v>
      </c>
      <c r="D71" s="1" t="s">
        <v>32</v>
      </c>
      <c r="E71" s="1" t="s">
        <v>78</v>
      </c>
      <c r="F71" s="1"/>
      <c r="G71" s="6" t="s">
        <v>14</v>
      </c>
      <c r="H71" s="7">
        <v>70000</v>
      </c>
      <c r="I71" s="8">
        <v>1.6</v>
      </c>
      <c r="J71" s="1" t="s">
        <v>34</v>
      </c>
    </row>
    <row r="72" spans="1:10" ht="19.5" customHeight="1" x14ac:dyDescent="0.2">
      <c r="A72" s="5">
        <v>45671</v>
      </c>
      <c r="B72" s="1" t="s">
        <v>163</v>
      </c>
      <c r="C72" s="1" t="s">
        <v>164</v>
      </c>
      <c r="D72" s="1" t="s">
        <v>165</v>
      </c>
      <c r="E72" s="1" t="s">
        <v>13</v>
      </c>
      <c r="F72" s="1"/>
      <c r="G72" s="6" t="s">
        <v>14</v>
      </c>
      <c r="H72" s="7">
        <v>80000</v>
      </c>
      <c r="I72" s="1">
        <v>6.6</v>
      </c>
      <c r="J72" s="1" t="s">
        <v>15</v>
      </c>
    </row>
    <row r="73" spans="1:10" ht="19.5" customHeight="1" x14ac:dyDescent="0.2">
      <c r="A73" s="5">
        <v>45671</v>
      </c>
      <c r="B73" s="1" t="s">
        <v>120</v>
      </c>
      <c r="C73" s="1" t="s">
        <v>166</v>
      </c>
      <c r="D73" s="1" t="s">
        <v>122</v>
      </c>
      <c r="E73" s="1" t="s">
        <v>94</v>
      </c>
      <c r="F73" s="1"/>
      <c r="G73" s="6" t="s">
        <v>14</v>
      </c>
      <c r="H73" s="7">
        <v>85000</v>
      </c>
      <c r="I73" s="8">
        <v>29</v>
      </c>
      <c r="J73" s="1" t="s">
        <v>15</v>
      </c>
    </row>
    <row r="74" spans="1:10" ht="16" x14ac:dyDescent="0.2">
      <c r="A74" s="5">
        <v>45671</v>
      </c>
      <c r="B74" s="1" t="s">
        <v>167</v>
      </c>
      <c r="C74" s="1" t="s">
        <v>168</v>
      </c>
      <c r="D74" s="1" t="s">
        <v>165</v>
      </c>
      <c r="E74" s="1" t="s">
        <v>19</v>
      </c>
      <c r="F74" s="1"/>
      <c r="G74" s="6" t="s">
        <v>14</v>
      </c>
      <c r="H74" s="7">
        <v>80000</v>
      </c>
      <c r="I74" s="8">
        <v>4.5999999999999996</v>
      </c>
      <c r="J74" s="1" t="s">
        <v>15</v>
      </c>
    </row>
    <row r="75" spans="1:10" ht="16" x14ac:dyDescent="0.2">
      <c r="A75" s="5">
        <v>45671</v>
      </c>
      <c r="B75" s="1" t="s">
        <v>169</v>
      </c>
      <c r="C75" s="1" t="s">
        <v>170</v>
      </c>
      <c r="D75" s="1" t="s">
        <v>18</v>
      </c>
      <c r="E75" s="1" t="s">
        <v>13</v>
      </c>
      <c r="F75" s="1"/>
      <c r="G75" s="6" t="s">
        <v>14</v>
      </c>
      <c r="H75" s="7">
        <v>80000</v>
      </c>
      <c r="I75" s="8">
        <v>9.3000000000000007</v>
      </c>
      <c r="J75" s="1" t="s">
        <v>15</v>
      </c>
    </row>
    <row r="76" spans="1:10" ht="16" x14ac:dyDescent="0.2">
      <c r="A76" s="5">
        <v>45671</v>
      </c>
      <c r="B76" s="1" t="s">
        <v>171</v>
      </c>
      <c r="C76" s="1" t="s">
        <v>172</v>
      </c>
      <c r="D76" s="1" t="s">
        <v>18</v>
      </c>
      <c r="E76" s="1" t="s">
        <v>19</v>
      </c>
      <c r="F76" s="1"/>
      <c r="G76" s="6" t="s">
        <v>14</v>
      </c>
      <c r="H76" s="7">
        <v>50000</v>
      </c>
      <c r="I76" s="8">
        <v>5.3</v>
      </c>
      <c r="J76" s="1" t="s">
        <v>15</v>
      </c>
    </row>
    <row r="77" spans="1:10" ht="16" x14ac:dyDescent="0.2">
      <c r="A77" s="5">
        <v>45671</v>
      </c>
      <c r="B77" s="1" t="s">
        <v>86</v>
      </c>
      <c r="C77" s="1" t="s">
        <v>173</v>
      </c>
      <c r="D77" s="1" t="s">
        <v>88</v>
      </c>
      <c r="E77" s="1" t="s">
        <v>94</v>
      </c>
      <c r="F77" s="1"/>
      <c r="G77" s="6" t="s">
        <v>14</v>
      </c>
      <c r="H77" s="7">
        <v>65000</v>
      </c>
      <c r="I77" s="8">
        <v>3.7</v>
      </c>
      <c r="J77" s="1" t="s">
        <v>15</v>
      </c>
    </row>
    <row r="78" spans="1:10" ht="16" x14ac:dyDescent="0.2">
      <c r="A78" s="5">
        <v>45671</v>
      </c>
      <c r="B78" s="1" t="s">
        <v>174</v>
      </c>
      <c r="C78" s="1" t="s">
        <v>130</v>
      </c>
      <c r="D78" s="1" t="s">
        <v>64</v>
      </c>
      <c r="E78" s="1" t="s">
        <v>61</v>
      </c>
      <c r="F78" s="1"/>
      <c r="G78" s="6" t="s">
        <v>23</v>
      </c>
      <c r="H78" s="7">
        <v>15000</v>
      </c>
      <c r="I78" s="8"/>
      <c r="J78" s="1"/>
    </row>
    <row r="79" spans="1:10" ht="16" x14ac:dyDescent="0.2">
      <c r="A79" s="5">
        <v>45672</v>
      </c>
      <c r="B79" s="1" t="s">
        <v>175</v>
      </c>
      <c r="C79" s="1" t="s">
        <v>176</v>
      </c>
      <c r="D79" s="1" t="s">
        <v>165</v>
      </c>
      <c r="E79" s="1" t="s">
        <v>13</v>
      </c>
      <c r="F79" s="1"/>
      <c r="G79" s="6" t="s">
        <v>14</v>
      </c>
      <c r="H79" s="7">
        <v>70000</v>
      </c>
      <c r="I79" s="8">
        <v>8.9</v>
      </c>
      <c r="J79" s="1" t="s">
        <v>15</v>
      </c>
    </row>
    <row r="80" spans="1:10" ht="16" x14ac:dyDescent="0.2">
      <c r="A80" s="5">
        <v>45672</v>
      </c>
      <c r="B80" s="1" t="s">
        <v>177</v>
      </c>
      <c r="C80" s="1" t="s">
        <v>178</v>
      </c>
      <c r="D80" s="1" t="s">
        <v>18</v>
      </c>
      <c r="E80" s="1" t="s">
        <v>19</v>
      </c>
      <c r="F80" s="1"/>
      <c r="G80" s="6" t="s">
        <v>14</v>
      </c>
      <c r="H80" s="7">
        <v>65000</v>
      </c>
      <c r="I80" s="8">
        <v>11.7</v>
      </c>
      <c r="J80" s="1" t="s">
        <v>15</v>
      </c>
    </row>
    <row r="81" spans="1:10" ht="16" x14ac:dyDescent="0.2">
      <c r="A81" s="5">
        <v>45672</v>
      </c>
      <c r="B81" s="1" t="s">
        <v>179</v>
      </c>
      <c r="C81" s="1" t="s">
        <v>180</v>
      </c>
      <c r="D81" s="1" t="s">
        <v>26</v>
      </c>
      <c r="E81" s="1" t="s">
        <v>181</v>
      </c>
      <c r="F81" s="1"/>
      <c r="G81" s="6" t="s">
        <v>14</v>
      </c>
      <c r="H81" s="7">
        <v>85000</v>
      </c>
      <c r="I81" s="8"/>
      <c r="J81" s="1" t="s">
        <v>15</v>
      </c>
    </row>
    <row r="82" spans="1:10" ht="16" x14ac:dyDescent="0.2">
      <c r="A82" s="5">
        <v>45672</v>
      </c>
      <c r="B82" s="1" t="s">
        <v>182</v>
      </c>
      <c r="C82" s="1" t="s">
        <v>183</v>
      </c>
      <c r="D82" s="1" t="s">
        <v>26</v>
      </c>
      <c r="E82" s="1" t="s">
        <v>13</v>
      </c>
      <c r="F82" s="1"/>
      <c r="G82" s="6" t="s">
        <v>14</v>
      </c>
      <c r="H82" s="7">
        <v>20000</v>
      </c>
      <c r="I82" s="8">
        <v>6.5</v>
      </c>
      <c r="J82" s="1" t="s">
        <v>15</v>
      </c>
    </row>
    <row r="83" spans="1:10" ht="16" x14ac:dyDescent="0.2">
      <c r="A83" s="5">
        <v>45672</v>
      </c>
      <c r="B83" s="1" t="s">
        <v>184</v>
      </c>
      <c r="C83" s="1" t="s">
        <v>185</v>
      </c>
      <c r="D83" s="1" t="s">
        <v>32</v>
      </c>
      <c r="E83" s="1" t="s">
        <v>78</v>
      </c>
      <c r="F83" s="1"/>
      <c r="G83" s="6" t="s">
        <v>14</v>
      </c>
      <c r="H83" s="7">
        <v>65000</v>
      </c>
      <c r="I83" s="8">
        <v>2.7</v>
      </c>
      <c r="J83" s="1" t="s">
        <v>15</v>
      </c>
    </row>
    <row r="84" spans="1:10" ht="16" x14ac:dyDescent="0.2">
      <c r="A84" s="5">
        <v>45672</v>
      </c>
      <c r="B84" s="1" t="s">
        <v>186</v>
      </c>
      <c r="C84" s="1" t="s">
        <v>187</v>
      </c>
      <c r="D84" s="1" t="s">
        <v>32</v>
      </c>
      <c r="E84" s="1" t="s">
        <v>19</v>
      </c>
      <c r="F84" s="1"/>
      <c r="G84" s="6" t="s">
        <v>14</v>
      </c>
      <c r="H84" s="7">
        <v>45000</v>
      </c>
      <c r="I84" s="8">
        <v>3.1</v>
      </c>
      <c r="J84" s="1" t="s">
        <v>15</v>
      </c>
    </row>
    <row r="85" spans="1:10" ht="16" x14ac:dyDescent="0.2">
      <c r="A85" s="5">
        <v>45672</v>
      </c>
      <c r="B85" s="1" t="s">
        <v>186</v>
      </c>
      <c r="C85" s="1" t="s">
        <v>188</v>
      </c>
      <c r="D85" s="1" t="s">
        <v>32</v>
      </c>
      <c r="E85" s="1" t="s">
        <v>19</v>
      </c>
      <c r="F85" s="1"/>
      <c r="G85" s="6" t="s">
        <v>14</v>
      </c>
      <c r="H85" s="7">
        <v>60000</v>
      </c>
      <c r="I85" s="1">
        <v>7.4</v>
      </c>
      <c r="J85" s="1" t="s">
        <v>15</v>
      </c>
    </row>
    <row r="86" spans="1:10" ht="16" x14ac:dyDescent="0.2">
      <c r="A86" s="5">
        <v>45672</v>
      </c>
      <c r="B86" s="1" t="s">
        <v>186</v>
      </c>
      <c r="C86" s="1" t="s">
        <v>189</v>
      </c>
      <c r="D86" s="1" t="s">
        <v>32</v>
      </c>
      <c r="E86" s="1" t="s">
        <v>19</v>
      </c>
      <c r="F86" s="1"/>
      <c r="G86" s="6" t="s">
        <v>14</v>
      </c>
      <c r="H86" s="7">
        <v>50000</v>
      </c>
      <c r="I86" s="8">
        <v>4.2</v>
      </c>
      <c r="J86" s="1" t="s">
        <v>15</v>
      </c>
    </row>
    <row r="87" spans="1:10" ht="16" x14ac:dyDescent="0.2">
      <c r="A87" s="5">
        <v>45672</v>
      </c>
      <c r="B87" s="1" t="s">
        <v>186</v>
      </c>
      <c r="C87" s="1" t="s">
        <v>190</v>
      </c>
      <c r="D87" s="1" t="s">
        <v>32</v>
      </c>
      <c r="E87" s="1" t="s">
        <v>19</v>
      </c>
      <c r="F87" s="1"/>
      <c r="G87" s="6" t="s">
        <v>14</v>
      </c>
      <c r="H87" s="7">
        <v>45000</v>
      </c>
      <c r="I87" s="1">
        <v>3.7</v>
      </c>
      <c r="J87" s="1" t="s">
        <v>15</v>
      </c>
    </row>
    <row r="88" spans="1:10" ht="16" x14ac:dyDescent="0.2">
      <c r="A88" s="5">
        <v>45672</v>
      </c>
      <c r="B88" s="1" t="s">
        <v>191</v>
      </c>
      <c r="C88" s="1" t="s">
        <v>192</v>
      </c>
      <c r="D88" s="1" t="s">
        <v>42</v>
      </c>
      <c r="E88" s="1" t="s">
        <v>61</v>
      </c>
      <c r="F88" s="1"/>
      <c r="G88" s="6" t="s">
        <v>23</v>
      </c>
      <c r="H88" s="7">
        <v>9000</v>
      </c>
      <c r="I88" s="1" t="s">
        <v>114</v>
      </c>
      <c r="J88" s="1"/>
    </row>
    <row r="89" spans="1:10" ht="16" x14ac:dyDescent="0.2">
      <c r="A89" s="5">
        <v>45672</v>
      </c>
      <c r="B89" s="1" t="s">
        <v>191</v>
      </c>
      <c r="C89" s="1" t="s">
        <v>162</v>
      </c>
      <c r="D89" s="1" t="s">
        <v>42</v>
      </c>
      <c r="E89" s="1" t="s">
        <v>61</v>
      </c>
      <c r="F89" s="1"/>
      <c r="G89" s="6" t="s">
        <v>23</v>
      </c>
      <c r="H89" s="7">
        <v>9000</v>
      </c>
      <c r="I89" s="8" t="s">
        <v>114</v>
      </c>
      <c r="J89" s="1"/>
    </row>
    <row r="90" spans="1:10" ht="16" x14ac:dyDescent="0.2">
      <c r="A90" s="5">
        <v>45672</v>
      </c>
      <c r="B90" s="1" t="s">
        <v>191</v>
      </c>
      <c r="C90" s="1" t="s">
        <v>124</v>
      </c>
      <c r="D90" s="1" t="s">
        <v>42</v>
      </c>
      <c r="E90" s="1" t="s">
        <v>61</v>
      </c>
      <c r="F90" s="1"/>
      <c r="G90" s="6" t="s">
        <v>23</v>
      </c>
      <c r="H90" s="7">
        <v>9000</v>
      </c>
      <c r="I90" s="8" t="s">
        <v>114</v>
      </c>
      <c r="J90" s="1"/>
    </row>
    <row r="91" spans="1:10" ht="16" x14ac:dyDescent="0.2">
      <c r="A91" s="5">
        <v>45672</v>
      </c>
      <c r="B91" s="1" t="s">
        <v>191</v>
      </c>
      <c r="C91" s="1" t="s">
        <v>193</v>
      </c>
      <c r="D91" s="1" t="s">
        <v>42</v>
      </c>
      <c r="E91" s="1" t="s">
        <v>61</v>
      </c>
      <c r="F91" s="1"/>
      <c r="G91" s="6" t="s">
        <v>23</v>
      </c>
      <c r="H91" s="7">
        <v>9000</v>
      </c>
      <c r="I91" s="8" t="s">
        <v>114</v>
      </c>
      <c r="J91" s="1"/>
    </row>
    <row r="92" spans="1:10" ht="16" x14ac:dyDescent="0.2">
      <c r="A92" s="5">
        <v>45673</v>
      </c>
      <c r="B92" s="1" t="s">
        <v>194</v>
      </c>
      <c r="C92" s="1" t="s">
        <v>195</v>
      </c>
      <c r="D92" s="1" t="s">
        <v>196</v>
      </c>
      <c r="E92" s="1" t="s">
        <v>94</v>
      </c>
      <c r="F92" s="1"/>
      <c r="G92" s="6" t="s">
        <v>14</v>
      </c>
      <c r="H92" s="7">
        <v>90000</v>
      </c>
      <c r="I92" s="8">
        <v>32</v>
      </c>
      <c r="J92" s="1" t="s">
        <v>15</v>
      </c>
    </row>
    <row r="93" spans="1:10" ht="16" x14ac:dyDescent="0.2">
      <c r="A93" s="5">
        <v>45673</v>
      </c>
      <c r="B93" s="1" t="s">
        <v>197</v>
      </c>
      <c r="C93" s="1" t="s">
        <v>198</v>
      </c>
      <c r="D93" s="1" t="s">
        <v>64</v>
      </c>
      <c r="E93" s="1" t="s">
        <v>19</v>
      </c>
      <c r="F93" s="1"/>
      <c r="G93" s="6" t="s">
        <v>23</v>
      </c>
      <c r="H93" s="7">
        <v>70000</v>
      </c>
      <c r="I93" s="8">
        <v>28.1</v>
      </c>
      <c r="J93" s="1" t="s">
        <v>15</v>
      </c>
    </row>
    <row r="94" spans="1:10" ht="16" x14ac:dyDescent="0.2">
      <c r="A94" s="5">
        <v>45673</v>
      </c>
      <c r="B94" s="1" t="s">
        <v>199</v>
      </c>
      <c r="C94" s="1" t="s">
        <v>63</v>
      </c>
      <c r="D94" s="1" t="s">
        <v>49</v>
      </c>
      <c r="E94" s="1" t="s">
        <v>19</v>
      </c>
      <c r="F94" s="1"/>
      <c r="G94" s="6" t="s">
        <v>23</v>
      </c>
      <c r="H94" s="7">
        <v>25000</v>
      </c>
      <c r="I94" s="8">
        <v>3</v>
      </c>
      <c r="J94" s="1" t="s">
        <v>15</v>
      </c>
    </row>
    <row r="95" spans="1:10" ht="16" x14ac:dyDescent="0.2">
      <c r="A95" s="5">
        <v>45673</v>
      </c>
      <c r="B95" s="1" t="s">
        <v>200</v>
      </c>
      <c r="C95" s="1" t="s">
        <v>201</v>
      </c>
      <c r="D95" s="1" t="s">
        <v>26</v>
      </c>
      <c r="E95" s="1" t="s">
        <v>13</v>
      </c>
      <c r="F95" s="1"/>
      <c r="G95" s="6" t="s">
        <v>14</v>
      </c>
      <c r="H95" s="7">
        <v>80000</v>
      </c>
      <c r="I95" s="8">
        <v>7.8</v>
      </c>
      <c r="J95" s="1" t="s">
        <v>15</v>
      </c>
    </row>
    <row r="96" spans="1:10" ht="16" x14ac:dyDescent="0.2">
      <c r="A96" s="5">
        <v>45673</v>
      </c>
      <c r="B96" s="1" t="s">
        <v>202</v>
      </c>
      <c r="C96" s="1" t="s">
        <v>203</v>
      </c>
      <c r="D96" s="1" t="s">
        <v>88</v>
      </c>
      <c r="E96" s="1" t="s">
        <v>19</v>
      </c>
      <c r="F96" s="1"/>
      <c r="G96" s="6" t="s">
        <v>14</v>
      </c>
      <c r="H96" s="7">
        <v>55000</v>
      </c>
      <c r="I96" s="8">
        <v>3.8</v>
      </c>
      <c r="J96" s="1" t="s">
        <v>15</v>
      </c>
    </row>
    <row r="97" spans="1:10" ht="16" x14ac:dyDescent="0.2">
      <c r="A97" s="5">
        <v>45673</v>
      </c>
      <c r="B97" s="1" t="s">
        <v>204</v>
      </c>
      <c r="C97" s="1" t="s">
        <v>180</v>
      </c>
      <c r="D97" s="1" t="s">
        <v>88</v>
      </c>
      <c r="E97" s="1" t="s">
        <v>13</v>
      </c>
      <c r="F97" s="1"/>
      <c r="G97" s="6" t="s">
        <v>14</v>
      </c>
      <c r="H97" s="7">
        <v>80000</v>
      </c>
      <c r="I97" s="8">
        <v>5.8</v>
      </c>
      <c r="J97" s="1" t="s">
        <v>15</v>
      </c>
    </row>
    <row r="98" spans="1:10" ht="16" x14ac:dyDescent="0.2">
      <c r="A98" s="5">
        <v>45673</v>
      </c>
      <c r="B98" s="1" t="s">
        <v>205</v>
      </c>
      <c r="C98" s="1" t="s">
        <v>206</v>
      </c>
      <c r="D98" s="1" t="s">
        <v>131</v>
      </c>
      <c r="E98" s="1" t="s">
        <v>19</v>
      </c>
      <c r="F98" s="1"/>
      <c r="G98" s="6" t="s">
        <v>14</v>
      </c>
      <c r="H98" s="7">
        <v>85000</v>
      </c>
      <c r="I98" s="8">
        <v>30</v>
      </c>
      <c r="J98" s="1" t="s">
        <v>15</v>
      </c>
    </row>
    <row r="99" spans="1:10" ht="16" x14ac:dyDescent="0.2">
      <c r="A99" s="5">
        <v>45673</v>
      </c>
      <c r="B99" s="1" t="s">
        <v>207</v>
      </c>
      <c r="C99" s="1" t="s">
        <v>208</v>
      </c>
      <c r="D99" s="1"/>
      <c r="E99" s="1" t="s">
        <v>13</v>
      </c>
      <c r="F99" s="1" t="s">
        <v>209</v>
      </c>
      <c r="G99" s="6" t="s">
        <v>14</v>
      </c>
      <c r="H99" s="7">
        <v>140000</v>
      </c>
      <c r="I99" s="8">
        <v>4</v>
      </c>
      <c r="J99" s="1" t="s">
        <v>15</v>
      </c>
    </row>
    <row r="100" spans="1:10" ht="16" x14ac:dyDescent="0.2">
      <c r="A100" s="5">
        <v>45673</v>
      </c>
      <c r="B100" s="1" t="s">
        <v>210</v>
      </c>
      <c r="C100" s="1" t="s">
        <v>211</v>
      </c>
      <c r="D100" s="1" t="s">
        <v>165</v>
      </c>
      <c r="E100" s="1" t="s">
        <v>13</v>
      </c>
      <c r="F100" s="1"/>
      <c r="G100" s="6" t="s">
        <v>14</v>
      </c>
      <c r="H100" s="7">
        <v>75000</v>
      </c>
      <c r="I100" s="8">
        <v>7.2</v>
      </c>
      <c r="J100" s="1" t="s">
        <v>15</v>
      </c>
    </row>
    <row r="101" spans="1:10" ht="16" x14ac:dyDescent="0.2">
      <c r="A101" s="5">
        <v>45673</v>
      </c>
      <c r="B101" s="1" t="s">
        <v>212</v>
      </c>
      <c r="C101" s="1" t="s">
        <v>146</v>
      </c>
      <c r="D101" s="1" t="s">
        <v>131</v>
      </c>
      <c r="E101" s="1" t="s">
        <v>19</v>
      </c>
      <c r="F101" s="1"/>
      <c r="G101" s="6" t="s">
        <v>14</v>
      </c>
      <c r="H101" s="7">
        <v>85000</v>
      </c>
      <c r="I101" s="8">
        <v>33.5</v>
      </c>
      <c r="J101" s="1" t="s">
        <v>15</v>
      </c>
    </row>
    <row r="102" spans="1:10" ht="16" x14ac:dyDescent="0.2">
      <c r="A102" s="5">
        <v>45673</v>
      </c>
      <c r="B102" s="1" t="s">
        <v>213</v>
      </c>
      <c r="C102" s="1" t="s">
        <v>214</v>
      </c>
      <c r="D102" s="1" t="s">
        <v>165</v>
      </c>
      <c r="E102" s="1" t="s">
        <v>13</v>
      </c>
      <c r="F102" s="1"/>
      <c r="G102" s="6" t="s">
        <v>14</v>
      </c>
      <c r="H102" s="7">
        <v>95000</v>
      </c>
      <c r="I102" s="8">
        <v>8.6999999999999993</v>
      </c>
      <c r="J102" s="1" t="s">
        <v>15</v>
      </c>
    </row>
    <row r="103" spans="1:10" ht="16" x14ac:dyDescent="0.2">
      <c r="A103" s="5">
        <v>45674</v>
      </c>
      <c r="B103" s="1" t="s">
        <v>215</v>
      </c>
      <c r="C103" s="1" t="s">
        <v>216</v>
      </c>
      <c r="D103" s="1" t="s">
        <v>165</v>
      </c>
      <c r="E103" s="1" t="s">
        <v>13</v>
      </c>
      <c r="F103" s="1"/>
      <c r="G103" s="6" t="s">
        <v>14</v>
      </c>
      <c r="H103" s="7">
        <v>60000</v>
      </c>
      <c r="I103" s="8">
        <v>4.8</v>
      </c>
      <c r="J103" s="1" t="s">
        <v>15</v>
      </c>
    </row>
    <row r="104" spans="1:10" ht="16" x14ac:dyDescent="0.2">
      <c r="A104" s="5">
        <v>45674</v>
      </c>
      <c r="B104" s="1" t="s">
        <v>217</v>
      </c>
      <c r="C104" s="1" t="s">
        <v>218</v>
      </c>
      <c r="D104" s="1" t="s">
        <v>196</v>
      </c>
      <c r="E104" s="1" t="s">
        <v>94</v>
      </c>
      <c r="F104" s="1"/>
      <c r="G104" s="6" t="s">
        <v>14</v>
      </c>
      <c r="H104" s="7">
        <v>90000</v>
      </c>
      <c r="I104" s="8">
        <v>32.200000000000003</v>
      </c>
      <c r="J104" s="1" t="s">
        <v>15</v>
      </c>
    </row>
    <row r="105" spans="1:10" ht="16" x14ac:dyDescent="0.2">
      <c r="A105" s="5">
        <v>45674</v>
      </c>
      <c r="B105" s="1" t="s">
        <v>215</v>
      </c>
      <c r="C105" s="1" t="s">
        <v>216</v>
      </c>
      <c r="D105" s="1" t="s">
        <v>165</v>
      </c>
      <c r="E105" s="1" t="s">
        <v>13</v>
      </c>
      <c r="F105" s="1"/>
      <c r="G105" s="6" t="s">
        <v>14</v>
      </c>
      <c r="H105" s="7">
        <v>60000</v>
      </c>
      <c r="I105" s="8">
        <v>4.8</v>
      </c>
      <c r="J105" s="1" t="s">
        <v>15</v>
      </c>
    </row>
    <row r="106" spans="1:10" ht="16" x14ac:dyDescent="0.2">
      <c r="A106" s="5">
        <v>45674</v>
      </c>
      <c r="B106" s="1" t="s">
        <v>86</v>
      </c>
      <c r="C106" s="1" t="s">
        <v>219</v>
      </c>
      <c r="D106" s="1" t="s">
        <v>88</v>
      </c>
      <c r="E106" s="1" t="s">
        <v>94</v>
      </c>
      <c r="F106" s="1"/>
      <c r="G106" s="6" t="s">
        <v>14</v>
      </c>
      <c r="H106" s="7">
        <v>70000</v>
      </c>
      <c r="I106" s="8">
        <v>7.7</v>
      </c>
      <c r="J106" s="1" t="s">
        <v>37</v>
      </c>
    </row>
    <row r="107" spans="1:10" ht="16" x14ac:dyDescent="0.2">
      <c r="A107" s="5">
        <v>45674</v>
      </c>
      <c r="B107" s="1" t="s">
        <v>16</v>
      </c>
      <c r="C107" s="1" t="s">
        <v>17</v>
      </c>
      <c r="D107" s="1" t="s">
        <v>18</v>
      </c>
      <c r="E107" s="1" t="s">
        <v>13</v>
      </c>
      <c r="F107" s="1"/>
      <c r="G107" s="6" t="s">
        <v>14</v>
      </c>
      <c r="H107" s="7">
        <v>70000</v>
      </c>
      <c r="I107" s="8">
        <v>14.3</v>
      </c>
      <c r="J107" s="1" t="s">
        <v>15</v>
      </c>
    </row>
    <row r="108" spans="1:10" ht="16" x14ac:dyDescent="0.2">
      <c r="A108" s="5">
        <v>45674</v>
      </c>
      <c r="B108" s="1" t="s">
        <v>149</v>
      </c>
      <c r="C108" s="1" t="s">
        <v>150</v>
      </c>
      <c r="D108" s="1" t="s">
        <v>32</v>
      </c>
      <c r="E108" s="1" t="s">
        <v>78</v>
      </c>
      <c r="F108" s="1"/>
      <c r="G108" s="6" t="s">
        <v>14</v>
      </c>
      <c r="H108" s="7">
        <v>65000</v>
      </c>
      <c r="I108" s="8">
        <v>2.9</v>
      </c>
      <c r="J108" s="1" t="s">
        <v>15</v>
      </c>
    </row>
    <row r="109" spans="1:10" ht="16" x14ac:dyDescent="0.2">
      <c r="A109" s="5">
        <v>45674</v>
      </c>
      <c r="B109" s="1" t="s">
        <v>220</v>
      </c>
      <c r="C109" s="1" t="s">
        <v>221</v>
      </c>
      <c r="D109" s="1" t="s">
        <v>222</v>
      </c>
      <c r="E109" s="1" t="s">
        <v>19</v>
      </c>
      <c r="F109" s="1"/>
      <c r="G109" s="6" t="s">
        <v>23</v>
      </c>
      <c r="H109" s="7">
        <v>70000</v>
      </c>
      <c r="I109" s="8"/>
      <c r="J109" s="1" t="s">
        <v>15</v>
      </c>
    </row>
    <row r="110" spans="1:10" ht="16" x14ac:dyDescent="0.2">
      <c r="A110" s="5">
        <v>45674</v>
      </c>
      <c r="B110" s="1" t="s">
        <v>107</v>
      </c>
      <c r="C110" s="1" t="s">
        <v>108</v>
      </c>
      <c r="D110" s="1" t="s">
        <v>32</v>
      </c>
      <c r="E110" s="1" t="s">
        <v>113</v>
      </c>
      <c r="F110" s="1"/>
      <c r="G110" s="6" t="s">
        <v>14</v>
      </c>
      <c r="H110" s="7" t="s">
        <v>114</v>
      </c>
      <c r="I110" s="8"/>
      <c r="J110" s="1"/>
    </row>
    <row r="111" spans="1:10" ht="16" x14ac:dyDescent="0.2">
      <c r="A111" s="5">
        <v>45674</v>
      </c>
      <c r="B111" s="1" t="s">
        <v>111</v>
      </c>
      <c r="C111" s="1" t="s">
        <v>63</v>
      </c>
      <c r="D111" s="1" t="s">
        <v>112</v>
      </c>
      <c r="E111" s="1" t="s">
        <v>19</v>
      </c>
      <c r="F111" s="1" t="s">
        <v>209</v>
      </c>
      <c r="G111" s="6" t="s">
        <v>14</v>
      </c>
      <c r="H111" s="7">
        <v>80000</v>
      </c>
      <c r="I111" s="8">
        <v>1.8</v>
      </c>
      <c r="J111" s="1" t="s">
        <v>34</v>
      </c>
    </row>
    <row r="112" spans="1:10" ht="16" x14ac:dyDescent="0.2">
      <c r="A112" s="5">
        <v>45674</v>
      </c>
      <c r="B112" s="1" t="s">
        <v>223</v>
      </c>
      <c r="C112" s="1" t="s">
        <v>224</v>
      </c>
      <c r="D112" s="1" t="s">
        <v>88</v>
      </c>
      <c r="E112" s="1" t="s">
        <v>13</v>
      </c>
      <c r="F112" s="1"/>
      <c r="G112" s="6" t="s">
        <v>14</v>
      </c>
      <c r="H112" s="7">
        <v>80000</v>
      </c>
      <c r="I112" s="8">
        <v>1.8</v>
      </c>
      <c r="J112" s="1"/>
    </row>
    <row r="113" spans="1:10" ht="16" x14ac:dyDescent="0.2">
      <c r="A113" s="5">
        <v>45674</v>
      </c>
      <c r="B113" s="1" t="s">
        <v>225</v>
      </c>
      <c r="C113" s="1" t="s">
        <v>226</v>
      </c>
      <c r="D113" s="1" t="s">
        <v>32</v>
      </c>
      <c r="E113" s="1" t="s">
        <v>61</v>
      </c>
      <c r="F113" s="1"/>
      <c r="G113" s="6" t="s">
        <v>14</v>
      </c>
      <c r="H113" s="7">
        <v>10000</v>
      </c>
      <c r="I113" s="8" t="s">
        <v>114</v>
      </c>
      <c r="J113" s="1"/>
    </row>
    <row r="114" spans="1:10" ht="16" x14ac:dyDescent="0.2">
      <c r="A114" s="5">
        <v>45675</v>
      </c>
      <c r="B114" s="1" t="s">
        <v>227</v>
      </c>
      <c r="C114" s="1" t="s">
        <v>228</v>
      </c>
      <c r="D114" s="1" t="s">
        <v>229</v>
      </c>
      <c r="E114" s="1" t="s">
        <v>19</v>
      </c>
      <c r="F114" s="1"/>
      <c r="G114" s="6" t="s">
        <v>14</v>
      </c>
      <c r="H114" s="7">
        <v>85000</v>
      </c>
      <c r="I114" s="8">
        <v>30.06</v>
      </c>
      <c r="J114" s="1"/>
    </row>
    <row r="115" spans="1:10" ht="16" x14ac:dyDescent="0.2">
      <c r="A115" s="5">
        <v>45675</v>
      </c>
      <c r="B115" s="1" t="s">
        <v>230</v>
      </c>
      <c r="C115" s="1" t="s">
        <v>231</v>
      </c>
      <c r="D115" s="1" t="s">
        <v>64</v>
      </c>
      <c r="E115" s="1" t="s">
        <v>19</v>
      </c>
      <c r="F115" s="1"/>
      <c r="G115" s="6" t="s">
        <v>14</v>
      </c>
      <c r="H115" s="7">
        <v>50000</v>
      </c>
      <c r="I115" s="8">
        <v>11.3</v>
      </c>
      <c r="J115" s="1"/>
    </row>
    <row r="116" spans="1:10" ht="16" x14ac:dyDescent="0.2">
      <c r="A116" s="5">
        <v>45675</v>
      </c>
      <c r="B116" s="1" t="s">
        <v>232</v>
      </c>
      <c r="C116" s="1" t="s">
        <v>233</v>
      </c>
      <c r="D116" s="1" t="s">
        <v>88</v>
      </c>
      <c r="E116" s="1" t="s">
        <v>94</v>
      </c>
      <c r="F116" s="1"/>
      <c r="G116" s="6" t="s">
        <v>14</v>
      </c>
      <c r="H116" s="7">
        <v>60000</v>
      </c>
      <c r="I116" s="8">
        <v>4.7</v>
      </c>
      <c r="J116" s="1"/>
    </row>
    <row r="117" spans="1:10" ht="16" x14ac:dyDescent="0.2">
      <c r="A117" s="5">
        <v>45675</v>
      </c>
      <c r="B117" s="1" t="s">
        <v>234</v>
      </c>
      <c r="C117" s="1" t="s">
        <v>235</v>
      </c>
      <c r="D117" s="1" t="s">
        <v>18</v>
      </c>
      <c r="E117" s="1" t="s">
        <v>13</v>
      </c>
      <c r="F117" s="1"/>
      <c r="G117" s="6" t="s">
        <v>14</v>
      </c>
      <c r="H117" s="7">
        <v>80000</v>
      </c>
      <c r="I117" s="8">
        <v>10.3</v>
      </c>
      <c r="J117" s="1"/>
    </row>
    <row r="118" spans="1:10" ht="16" x14ac:dyDescent="0.2">
      <c r="A118" s="5">
        <v>45675</v>
      </c>
      <c r="B118" s="1" t="s">
        <v>132</v>
      </c>
      <c r="C118" s="1" t="s">
        <v>133</v>
      </c>
      <c r="D118" s="1" t="s">
        <v>18</v>
      </c>
      <c r="E118" s="1" t="s">
        <v>19</v>
      </c>
      <c r="F118" s="1"/>
      <c r="G118" s="6" t="s">
        <v>14</v>
      </c>
      <c r="H118" s="7" t="s">
        <v>114</v>
      </c>
      <c r="I118" s="8"/>
      <c r="J118" s="1"/>
    </row>
    <row r="119" spans="1:10" ht="16" x14ac:dyDescent="0.2">
      <c r="A119" s="5">
        <v>45675</v>
      </c>
      <c r="B119" s="1" t="s">
        <v>236</v>
      </c>
      <c r="C119" s="1" t="s">
        <v>237</v>
      </c>
      <c r="D119" s="1" t="s">
        <v>18</v>
      </c>
      <c r="E119" s="1" t="s">
        <v>13</v>
      </c>
      <c r="F119" s="1"/>
      <c r="G119" s="6" t="s">
        <v>14</v>
      </c>
      <c r="H119" s="7">
        <v>75000</v>
      </c>
      <c r="I119" s="8">
        <v>17</v>
      </c>
      <c r="J119" s="1"/>
    </row>
    <row r="120" spans="1:10" ht="16" x14ac:dyDescent="0.2">
      <c r="A120" s="5">
        <v>45675</v>
      </c>
      <c r="B120" s="1" t="s">
        <v>238</v>
      </c>
      <c r="C120" s="1" t="s">
        <v>233</v>
      </c>
      <c r="D120" s="1" t="s">
        <v>26</v>
      </c>
      <c r="E120" s="1" t="s">
        <v>13</v>
      </c>
      <c r="F120" s="1" t="s">
        <v>91</v>
      </c>
      <c r="G120" s="6" t="s">
        <v>14</v>
      </c>
      <c r="H120" s="7">
        <f t="shared" ref="H120:H121" si="0">65000+80000</f>
        <v>145000</v>
      </c>
      <c r="I120" s="8">
        <v>8</v>
      </c>
      <c r="J120" s="1"/>
    </row>
    <row r="121" spans="1:10" ht="16" x14ac:dyDescent="0.2">
      <c r="A121" s="5">
        <v>45675</v>
      </c>
      <c r="B121" s="1" t="s">
        <v>239</v>
      </c>
      <c r="C121" s="1" t="s">
        <v>240</v>
      </c>
      <c r="D121" s="1" t="s">
        <v>241</v>
      </c>
      <c r="E121" s="1" t="s">
        <v>13</v>
      </c>
      <c r="F121" s="1" t="s">
        <v>91</v>
      </c>
      <c r="G121" s="6" t="s">
        <v>14</v>
      </c>
      <c r="H121" s="7">
        <f t="shared" si="0"/>
        <v>145000</v>
      </c>
      <c r="I121" s="8">
        <v>6.3</v>
      </c>
      <c r="J121" s="1"/>
    </row>
    <row r="122" spans="1:10" ht="16" x14ac:dyDescent="0.2">
      <c r="A122" s="5">
        <v>45675</v>
      </c>
      <c r="B122" s="1" t="s">
        <v>242</v>
      </c>
      <c r="C122" s="1" t="s">
        <v>243</v>
      </c>
      <c r="D122" s="1" t="s">
        <v>49</v>
      </c>
      <c r="E122" s="1" t="s">
        <v>19</v>
      </c>
      <c r="F122" s="1"/>
      <c r="G122" s="6" t="s">
        <v>14</v>
      </c>
      <c r="H122" s="7">
        <v>20000</v>
      </c>
      <c r="I122" s="8"/>
      <c r="J122" s="1"/>
    </row>
    <row r="123" spans="1:10" ht="16" x14ac:dyDescent="0.2">
      <c r="A123" s="5">
        <v>45675</v>
      </c>
      <c r="B123" s="1" t="s">
        <v>56</v>
      </c>
      <c r="C123" s="1" t="s">
        <v>57</v>
      </c>
      <c r="D123" s="1" t="s">
        <v>58</v>
      </c>
      <c r="E123" s="1" t="s">
        <v>59</v>
      </c>
      <c r="F123" s="1"/>
      <c r="G123" s="6" t="s">
        <v>14</v>
      </c>
      <c r="H123" s="7">
        <v>75000</v>
      </c>
      <c r="I123" s="8">
        <v>4.3</v>
      </c>
      <c r="J123" s="1" t="s">
        <v>15</v>
      </c>
    </row>
    <row r="124" spans="1:10" ht="16" x14ac:dyDescent="0.2">
      <c r="A124" s="5">
        <v>45675</v>
      </c>
      <c r="B124" s="1" t="s">
        <v>244</v>
      </c>
      <c r="C124" s="1" t="s">
        <v>245</v>
      </c>
      <c r="D124" s="1" t="s">
        <v>26</v>
      </c>
      <c r="E124" s="1" t="s">
        <v>13</v>
      </c>
      <c r="F124" s="1"/>
      <c r="G124" s="6" t="s">
        <v>14</v>
      </c>
      <c r="H124" s="7">
        <v>80000</v>
      </c>
      <c r="I124" s="8"/>
      <c r="J124" s="1"/>
    </row>
    <row r="125" spans="1:10" ht="16" x14ac:dyDescent="0.2">
      <c r="A125" s="5">
        <v>45675</v>
      </c>
      <c r="B125" s="1"/>
      <c r="C125" s="1"/>
      <c r="D125" s="1"/>
      <c r="E125" s="1" t="s">
        <v>61</v>
      </c>
      <c r="F125" s="1"/>
      <c r="G125" s="6" t="s">
        <v>23</v>
      </c>
      <c r="H125" s="7">
        <v>10000</v>
      </c>
      <c r="I125" s="8"/>
      <c r="J125" s="1"/>
    </row>
    <row r="126" spans="1:10" ht="16" x14ac:dyDescent="0.2">
      <c r="A126" s="5">
        <v>45675</v>
      </c>
      <c r="B126" s="1"/>
      <c r="C126" s="1"/>
      <c r="D126" s="1"/>
      <c r="E126" s="1" t="s">
        <v>61</v>
      </c>
      <c r="F126" s="1"/>
      <c r="G126" s="6" t="s">
        <v>23</v>
      </c>
      <c r="H126" s="7">
        <v>15000</v>
      </c>
      <c r="I126" s="8"/>
      <c r="J126" s="1"/>
    </row>
    <row r="127" spans="1:10" ht="16" x14ac:dyDescent="0.2">
      <c r="A127" s="5">
        <v>45675</v>
      </c>
      <c r="B127" s="1"/>
      <c r="C127" s="1"/>
      <c r="D127" s="1"/>
      <c r="E127" s="1" t="s">
        <v>61</v>
      </c>
      <c r="F127" s="1"/>
      <c r="G127" s="6"/>
      <c r="H127" s="7">
        <v>10000</v>
      </c>
      <c r="I127" s="8"/>
      <c r="J127" s="1"/>
    </row>
    <row r="128" spans="1:10" ht="16" x14ac:dyDescent="0.2">
      <c r="A128" s="5">
        <v>45677</v>
      </c>
      <c r="B128" s="1" t="s">
        <v>246</v>
      </c>
      <c r="C128" s="1" t="s">
        <v>247</v>
      </c>
      <c r="D128" s="1" t="s">
        <v>12</v>
      </c>
      <c r="E128" s="1" t="s">
        <v>13</v>
      </c>
      <c r="F128" s="1"/>
      <c r="G128" s="6" t="s">
        <v>14</v>
      </c>
      <c r="H128" s="7">
        <v>80000</v>
      </c>
      <c r="I128" s="8">
        <v>5</v>
      </c>
      <c r="J128" s="1" t="s">
        <v>15</v>
      </c>
    </row>
    <row r="129" spans="1:10" ht="16" x14ac:dyDescent="0.2">
      <c r="A129" s="5">
        <v>45677</v>
      </c>
      <c r="B129" s="1" t="s">
        <v>248</v>
      </c>
      <c r="C129" s="1" t="s">
        <v>249</v>
      </c>
      <c r="D129" s="1" t="s">
        <v>12</v>
      </c>
      <c r="E129" s="1" t="s">
        <v>13</v>
      </c>
      <c r="F129" s="1"/>
      <c r="G129" s="6" t="s">
        <v>14</v>
      </c>
      <c r="H129" s="7">
        <v>135000</v>
      </c>
      <c r="I129" s="8">
        <v>45.4</v>
      </c>
      <c r="J129" s="1" t="s">
        <v>15</v>
      </c>
    </row>
    <row r="130" spans="1:10" ht="16" x14ac:dyDescent="0.2">
      <c r="A130" s="5">
        <v>45677</v>
      </c>
      <c r="B130" s="1" t="s">
        <v>250</v>
      </c>
      <c r="C130" s="1" t="s">
        <v>251</v>
      </c>
      <c r="D130" s="1" t="s">
        <v>196</v>
      </c>
      <c r="E130" s="1" t="s">
        <v>94</v>
      </c>
      <c r="F130" s="1"/>
      <c r="G130" s="6" t="s">
        <v>14</v>
      </c>
      <c r="H130" s="7">
        <v>90000</v>
      </c>
      <c r="I130" s="8">
        <v>33.9</v>
      </c>
      <c r="J130" s="1" t="s">
        <v>15</v>
      </c>
    </row>
    <row r="131" spans="1:10" ht="16" x14ac:dyDescent="0.2">
      <c r="A131" s="5">
        <v>45677</v>
      </c>
      <c r="B131" s="1" t="s">
        <v>252</v>
      </c>
      <c r="C131" s="1" t="s">
        <v>253</v>
      </c>
      <c r="D131" s="1" t="s">
        <v>26</v>
      </c>
      <c r="E131" s="1" t="s">
        <v>13</v>
      </c>
      <c r="F131" s="1"/>
      <c r="G131" s="6" t="s">
        <v>14</v>
      </c>
      <c r="H131" s="7">
        <v>90000</v>
      </c>
      <c r="I131" s="8">
        <v>4.5</v>
      </c>
      <c r="J131" s="1" t="s">
        <v>34</v>
      </c>
    </row>
    <row r="132" spans="1:10" ht="16" x14ac:dyDescent="0.2">
      <c r="A132" s="5">
        <v>45677</v>
      </c>
      <c r="B132" s="1" t="s">
        <v>254</v>
      </c>
      <c r="C132" s="1" t="s">
        <v>255</v>
      </c>
      <c r="D132" s="1" t="s">
        <v>26</v>
      </c>
      <c r="E132" s="1" t="s">
        <v>19</v>
      </c>
      <c r="F132" s="1"/>
      <c r="G132" s="6" t="s">
        <v>14</v>
      </c>
      <c r="H132" s="7">
        <v>65000</v>
      </c>
      <c r="I132" s="8">
        <v>5.0999999999999996</v>
      </c>
      <c r="J132" s="1" t="s">
        <v>15</v>
      </c>
    </row>
    <row r="133" spans="1:10" ht="16" x14ac:dyDescent="0.2">
      <c r="A133" s="5">
        <v>45677</v>
      </c>
      <c r="B133" s="1" t="s">
        <v>256</v>
      </c>
      <c r="C133" s="1" t="s">
        <v>257</v>
      </c>
      <c r="D133" s="1" t="s">
        <v>32</v>
      </c>
      <c r="E133" s="1" t="s">
        <v>113</v>
      </c>
      <c r="F133" s="1"/>
      <c r="G133" s="6" t="s">
        <v>14</v>
      </c>
      <c r="H133" s="7" t="s">
        <v>114</v>
      </c>
      <c r="I133" s="8"/>
      <c r="J133" s="1"/>
    </row>
    <row r="134" spans="1:10" ht="16" x14ac:dyDescent="0.2">
      <c r="A134" s="5">
        <v>45678</v>
      </c>
      <c r="B134" s="1" t="s">
        <v>258</v>
      </c>
      <c r="C134" s="1" t="s">
        <v>259</v>
      </c>
      <c r="D134" s="1" t="s">
        <v>18</v>
      </c>
      <c r="E134" s="1" t="s">
        <v>13</v>
      </c>
      <c r="F134" s="1"/>
      <c r="G134" s="6" t="s">
        <v>14</v>
      </c>
      <c r="H134" s="7">
        <v>75000</v>
      </c>
      <c r="I134" s="8">
        <v>16.8</v>
      </c>
      <c r="J134" s="1" t="s">
        <v>15</v>
      </c>
    </row>
    <row r="135" spans="1:10" ht="16" x14ac:dyDescent="0.2">
      <c r="A135" s="5">
        <v>45678</v>
      </c>
      <c r="B135" s="1" t="s">
        <v>258</v>
      </c>
      <c r="C135" s="1" t="s">
        <v>260</v>
      </c>
      <c r="D135" s="1" t="s">
        <v>32</v>
      </c>
      <c r="E135" s="1" t="s">
        <v>13</v>
      </c>
      <c r="F135" s="1"/>
      <c r="G135" s="6" t="s">
        <v>14</v>
      </c>
      <c r="H135" s="7">
        <v>65000</v>
      </c>
      <c r="I135" s="8">
        <v>3.8</v>
      </c>
      <c r="J135" s="1" t="s">
        <v>15</v>
      </c>
    </row>
    <row r="136" spans="1:10" ht="16" x14ac:dyDescent="0.2">
      <c r="A136" s="5">
        <v>45678</v>
      </c>
      <c r="B136" s="1" t="s">
        <v>261</v>
      </c>
      <c r="C136" s="1" t="s">
        <v>262</v>
      </c>
      <c r="D136" s="1" t="s">
        <v>165</v>
      </c>
      <c r="E136" s="1" t="s">
        <v>19</v>
      </c>
      <c r="F136" s="1"/>
      <c r="G136" s="6" t="s">
        <v>14</v>
      </c>
      <c r="H136" s="7">
        <v>65000</v>
      </c>
      <c r="I136" s="8">
        <v>2.5</v>
      </c>
      <c r="J136" s="1" t="s">
        <v>34</v>
      </c>
    </row>
    <row r="137" spans="1:10" ht="16" x14ac:dyDescent="0.2">
      <c r="A137" s="5">
        <v>45678</v>
      </c>
      <c r="B137" s="1" t="s">
        <v>261</v>
      </c>
      <c r="C137" s="1" t="s">
        <v>253</v>
      </c>
      <c r="D137" s="1" t="s">
        <v>88</v>
      </c>
      <c r="E137" s="1" t="s">
        <v>19</v>
      </c>
      <c r="F137" s="1"/>
      <c r="G137" s="6" t="s">
        <v>14</v>
      </c>
      <c r="H137" s="7">
        <v>55000</v>
      </c>
      <c r="I137" s="8">
        <v>4.2</v>
      </c>
      <c r="J137" s="1" t="s">
        <v>15</v>
      </c>
    </row>
    <row r="138" spans="1:10" ht="16" x14ac:dyDescent="0.2">
      <c r="A138" s="5">
        <v>45678</v>
      </c>
      <c r="B138" s="1" t="s">
        <v>263</v>
      </c>
      <c r="C138" s="1" t="s">
        <v>264</v>
      </c>
      <c r="D138" s="1" t="s">
        <v>88</v>
      </c>
      <c r="E138" s="1" t="s">
        <v>19</v>
      </c>
      <c r="F138" s="1"/>
      <c r="G138" s="6" t="s">
        <v>14</v>
      </c>
      <c r="H138" s="7" t="s">
        <v>114</v>
      </c>
      <c r="I138" s="8">
        <v>3.3</v>
      </c>
      <c r="J138" s="1" t="s">
        <v>160</v>
      </c>
    </row>
    <row r="139" spans="1:10" ht="16" x14ac:dyDescent="0.2">
      <c r="A139" s="5">
        <v>45678</v>
      </c>
      <c r="B139" s="1" t="s">
        <v>265</v>
      </c>
      <c r="C139" s="1" t="s">
        <v>266</v>
      </c>
      <c r="D139" s="1" t="s">
        <v>64</v>
      </c>
      <c r="E139" s="1" t="s">
        <v>13</v>
      </c>
      <c r="F139" s="1"/>
      <c r="G139" s="6" t="s">
        <v>14</v>
      </c>
      <c r="H139" s="7">
        <v>70000</v>
      </c>
      <c r="I139" s="8">
        <v>5.6</v>
      </c>
      <c r="J139" s="1" t="s">
        <v>15</v>
      </c>
    </row>
    <row r="140" spans="1:10" ht="16" x14ac:dyDescent="0.2">
      <c r="A140" s="5">
        <v>45678</v>
      </c>
      <c r="B140" s="1" t="s">
        <v>267</v>
      </c>
      <c r="C140" s="1" t="s">
        <v>268</v>
      </c>
      <c r="D140" s="1" t="s">
        <v>165</v>
      </c>
      <c r="E140" s="1" t="s">
        <v>13</v>
      </c>
      <c r="F140" s="1"/>
      <c r="G140" s="6" t="s">
        <v>14</v>
      </c>
      <c r="H140" s="7">
        <v>70000</v>
      </c>
      <c r="I140" s="8">
        <v>3.7</v>
      </c>
      <c r="J140" s="1" t="s">
        <v>15</v>
      </c>
    </row>
    <row r="141" spans="1:10" ht="16" x14ac:dyDescent="0.2">
      <c r="A141" s="5">
        <v>45678</v>
      </c>
      <c r="B141" s="1" t="s">
        <v>269</v>
      </c>
      <c r="C141" s="1" t="s">
        <v>180</v>
      </c>
      <c r="D141" s="1" t="s">
        <v>18</v>
      </c>
      <c r="E141" s="1" t="s">
        <v>19</v>
      </c>
      <c r="F141" s="1"/>
      <c r="G141" s="6" t="s">
        <v>14</v>
      </c>
      <c r="H141" s="7">
        <v>65000</v>
      </c>
      <c r="I141" s="8"/>
      <c r="J141" s="1" t="s">
        <v>15</v>
      </c>
    </row>
    <row r="142" spans="1:10" ht="16" x14ac:dyDescent="0.2">
      <c r="A142" s="5">
        <v>45678</v>
      </c>
      <c r="B142" s="1"/>
      <c r="C142" s="1"/>
      <c r="D142" s="1" t="s">
        <v>58</v>
      </c>
      <c r="E142" s="1" t="s">
        <v>61</v>
      </c>
      <c r="F142" s="1"/>
      <c r="G142" s="6" t="s">
        <v>14</v>
      </c>
      <c r="H142" s="7">
        <v>10000</v>
      </c>
      <c r="I142" s="8"/>
      <c r="J142" s="1"/>
    </row>
    <row r="143" spans="1:10" ht="16" x14ac:dyDescent="0.2">
      <c r="A143" s="1" t="s">
        <v>270</v>
      </c>
      <c r="B143" s="1" t="s">
        <v>271</v>
      </c>
      <c r="C143" s="1" t="s">
        <v>272</v>
      </c>
      <c r="D143" s="1" t="s">
        <v>26</v>
      </c>
      <c r="E143" s="1" t="s">
        <v>78</v>
      </c>
      <c r="F143" s="1"/>
      <c r="G143" s="6" t="s">
        <v>14</v>
      </c>
      <c r="H143" s="7">
        <v>65000</v>
      </c>
      <c r="I143" s="8" t="s">
        <v>273</v>
      </c>
      <c r="J143" s="1" t="s">
        <v>34</v>
      </c>
    </row>
    <row r="144" spans="1:10" ht="16" x14ac:dyDescent="0.2">
      <c r="A144" s="5">
        <v>45679</v>
      </c>
      <c r="B144" s="1" t="s">
        <v>274</v>
      </c>
      <c r="C144" s="1" t="s">
        <v>275</v>
      </c>
      <c r="D144" s="1" t="s">
        <v>26</v>
      </c>
      <c r="E144" s="1" t="s">
        <v>13</v>
      </c>
      <c r="F144" s="1"/>
      <c r="G144" s="6" t="s">
        <v>14</v>
      </c>
      <c r="H144" s="7">
        <v>65000</v>
      </c>
      <c r="I144" s="8" t="s">
        <v>276</v>
      </c>
      <c r="J144" s="1" t="s">
        <v>15</v>
      </c>
    </row>
    <row r="145" spans="1:10" ht="16" x14ac:dyDescent="0.2">
      <c r="A145" s="1" t="s">
        <v>270</v>
      </c>
      <c r="B145" s="1" t="s">
        <v>182</v>
      </c>
      <c r="C145" s="1" t="s">
        <v>183</v>
      </c>
      <c r="D145" s="1" t="s">
        <v>26</v>
      </c>
      <c r="E145" s="1" t="s">
        <v>19</v>
      </c>
      <c r="F145" s="1"/>
      <c r="G145" s="6" t="s">
        <v>14</v>
      </c>
      <c r="H145" s="7" t="s">
        <v>114</v>
      </c>
      <c r="I145" s="8"/>
      <c r="J145" s="1"/>
    </row>
    <row r="146" spans="1:10" ht="16" x14ac:dyDescent="0.2">
      <c r="A146" s="5">
        <v>45679</v>
      </c>
      <c r="B146" s="1" t="s">
        <v>277</v>
      </c>
      <c r="C146" s="1" t="s">
        <v>278</v>
      </c>
      <c r="D146" s="1" t="s">
        <v>18</v>
      </c>
      <c r="E146" s="1" t="s">
        <v>13</v>
      </c>
      <c r="F146" s="1"/>
      <c r="G146" s="6" t="s">
        <v>14</v>
      </c>
      <c r="H146" s="7">
        <v>65000</v>
      </c>
      <c r="I146" s="8">
        <v>17</v>
      </c>
      <c r="J146" s="1" t="s">
        <v>15</v>
      </c>
    </row>
    <row r="147" spans="1:10" ht="16" x14ac:dyDescent="0.2">
      <c r="A147" s="1" t="s">
        <v>270</v>
      </c>
      <c r="B147" s="1" t="s">
        <v>279</v>
      </c>
      <c r="C147" s="1" t="s">
        <v>280</v>
      </c>
      <c r="D147" s="1" t="s">
        <v>32</v>
      </c>
      <c r="E147" s="1" t="s">
        <v>13</v>
      </c>
      <c r="F147" s="1"/>
      <c r="G147" s="6" t="s">
        <v>14</v>
      </c>
      <c r="H147" s="7">
        <v>60000</v>
      </c>
      <c r="I147" s="8"/>
      <c r="J147" s="1" t="s">
        <v>15</v>
      </c>
    </row>
    <row r="148" spans="1:10" ht="16" x14ac:dyDescent="0.2">
      <c r="A148" s="5">
        <v>45679</v>
      </c>
      <c r="B148" s="1" t="s">
        <v>281</v>
      </c>
      <c r="C148" s="1" t="s">
        <v>282</v>
      </c>
      <c r="D148" s="1" t="s">
        <v>32</v>
      </c>
      <c r="E148" s="1" t="s">
        <v>19</v>
      </c>
      <c r="F148" s="1"/>
      <c r="G148" s="6" t="s">
        <v>14</v>
      </c>
      <c r="H148" s="7">
        <v>48000</v>
      </c>
      <c r="I148" s="8"/>
      <c r="J148" s="1"/>
    </row>
    <row r="149" spans="1:10" ht="16" x14ac:dyDescent="0.2">
      <c r="A149" s="5">
        <v>45680</v>
      </c>
      <c r="B149" s="1" t="s">
        <v>283</v>
      </c>
      <c r="C149" s="1" t="s">
        <v>284</v>
      </c>
      <c r="D149" s="1" t="s">
        <v>32</v>
      </c>
      <c r="E149" s="1" t="s">
        <v>13</v>
      </c>
      <c r="F149" s="1"/>
      <c r="G149" s="6" t="s">
        <v>14</v>
      </c>
      <c r="H149" s="7">
        <v>90000</v>
      </c>
      <c r="I149" s="8">
        <v>7.1</v>
      </c>
      <c r="J149" s="1" t="s">
        <v>34</v>
      </c>
    </row>
    <row r="150" spans="1:10" ht="16" x14ac:dyDescent="0.2">
      <c r="A150" s="5">
        <v>45680</v>
      </c>
      <c r="B150" s="1" t="s">
        <v>285</v>
      </c>
      <c r="C150" s="1" t="s">
        <v>173</v>
      </c>
      <c r="D150" s="1" t="s">
        <v>22</v>
      </c>
      <c r="E150" s="1" t="s">
        <v>19</v>
      </c>
      <c r="F150" s="1"/>
      <c r="G150" s="6" t="s">
        <v>23</v>
      </c>
      <c r="H150" s="7">
        <v>45000</v>
      </c>
      <c r="I150" s="8">
        <v>13.4</v>
      </c>
      <c r="J150" s="1" t="s">
        <v>15</v>
      </c>
    </row>
    <row r="151" spans="1:10" ht="16" x14ac:dyDescent="0.2">
      <c r="A151" s="5">
        <v>45680</v>
      </c>
      <c r="B151" s="1" t="s">
        <v>286</v>
      </c>
      <c r="C151" s="1" t="s">
        <v>287</v>
      </c>
      <c r="D151" s="1" t="s">
        <v>26</v>
      </c>
      <c r="E151" s="1" t="s">
        <v>13</v>
      </c>
      <c r="F151" s="1"/>
      <c r="G151" s="6" t="s">
        <v>14</v>
      </c>
      <c r="H151" s="7">
        <v>85000</v>
      </c>
      <c r="I151" s="8">
        <v>7.9</v>
      </c>
      <c r="J151" s="1" t="s">
        <v>40</v>
      </c>
    </row>
    <row r="152" spans="1:10" ht="16" x14ac:dyDescent="0.2">
      <c r="A152" s="5">
        <v>45680</v>
      </c>
      <c r="B152" s="1" t="s">
        <v>288</v>
      </c>
      <c r="C152" s="1" t="s">
        <v>289</v>
      </c>
      <c r="D152" s="1" t="s">
        <v>64</v>
      </c>
      <c r="E152" s="1" t="s">
        <v>13</v>
      </c>
      <c r="F152" s="1"/>
      <c r="G152" s="6" t="s">
        <v>23</v>
      </c>
      <c r="H152" s="7">
        <v>60000</v>
      </c>
      <c r="I152" s="8">
        <v>16.600000000000001</v>
      </c>
      <c r="J152" s="1" t="s">
        <v>15</v>
      </c>
    </row>
    <row r="153" spans="1:10" ht="16" x14ac:dyDescent="0.2">
      <c r="A153" s="5">
        <v>45680</v>
      </c>
      <c r="B153" s="1" t="s">
        <v>290</v>
      </c>
      <c r="C153" s="1" t="s">
        <v>291</v>
      </c>
      <c r="D153" s="1" t="s">
        <v>26</v>
      </c>
      <c r="E153" s="1" t="s">
        <v>78</v>
      </c>
      <c r="F153" s="1"/>
      <c r="G153" s="6" t="s">
        <v>14</v>
      </c>
      <c r="H153" s="7">
        <v>70000</v>
      </c>
      <c r="I153" s="8">
        <v>4.4000000000000004</v>
      </c>
      <c r="J153" s="1" t="s">
        <v>34</v>
      </c>
    </row>
    <row r="154" spans="1:10" ht="16" x14ac:dyDescent="0.2">
      <c r="A154" s="5">
        <v>45680</v>
      </c>
      <c r="B154" s="1" t="s">
        <v>292</v>
      </c>
      <c r="C154" s="1" t="s">
        <v>198</v>
      </c>
      <c r="D154" s="1" t="s">
        <v>58</v>
      </c>
      <c r="E154" s="1" t="s">
        <v>59</v>
      </c>
      <c r="F154" s="1"/>
      <c r="G154" s="6" t="s">
        <v>14</v>
      </c>
      <c r="H154" s="7">
        <v>65000</v>
      </c>
      <c r="I154" s="8">
        <v>3.3</v>
      </c>
      <c r="J154" s="1" t="s">
        <v>15</v>
      </c>
    </row>
    <row r="155" spans="1:10" ht="16" x14ac:dyDescent="0.2">
      <c r="A155" s="5">
        <v>45680</v>
      </c>
      <c r="B155" s="1" t="s">
        <v>293</v>
      </c>
      <c r="C155" s="1" t="s">
        <v>294</v>
      </c>
      <c r="D155" s="1" t="s">
        <v>18</v>
      </c>
      <c r="E155" s="1" t="s">
        <v>19</v>
      </c>
      <c r="F155" s="1"/>
      <c r="G155" s="6" t="s">
        <v>14</v>
      </c>
      <c r="H155" s="7">
        <v>70000</v>
      </c>
      <c r="I155" s="8">
        <v>12</v>
      </c>
      <c r="J155" s="1" t="s">
        <v>15</v>
      </c>
    </row>
    <row r="156" spans="1:10" ht="16" x14ac:dyDescent="0.2">
      <c r="A156" s="5">
        <v>45680</v>
      </c>
      <c r="B156" s="1" t="s">
        <v>295</v>
      </c>
      <c r="C156" s="1" t="s">
        <v>296</v>
      </c>
      <c r="D156" s="1" t="s">
        <v>153</v>
      </c>
      <c r="E156" s="1" t="s">
        <v>78</v>
      </c>
      <c r="F156" s="1"/>
      <c r="G156" s="6" t="s">
        <v>14</v>
      </c>
      <c r="H156" s="7">
        <v>65000</v>
      </c>
      <c r="I156" s="8">
        <v>4.2</v>
      </c>
      <c r="J156" s="1" t="s">
        <v>34</v>
      </c>
    </row>
    <row r="157" spans="1:10" ht="16" x14ac:dyDescent="0.2">
      <c r="A157" s="5">
        <v>45681</v>
      </c>
      <c r="B157" s="1" t="s">
        <v>297</v>
      </c>
      <c r="C157" s="1" t="s">
        <v>298</v>
      </c>
      <c r="D157" s="1" t="s">
        <v>18</v>
      </c>
      <c r="E157" s="1" t="s">
        <v>13</v>
      </c>
      <c r="F157" s="1"/>
      <c r="G157" s="6" t="s">
        <v>14</v>
      </c>
      <c r="H157" s="7">
        <v>100000</v>
      </c>
      <c r="I157" s="8">
        <v>14.1</v>
      </c>
      <c r="J157" s="1" t="s">
        <v>15</v>
      </c>
    </row>
    <row r="158" spans="1:10" ht="16" x14ac:dyDescent="0.2">
      <c r="A158" s="5">
        <v>45681</v>
      </c>
      <c r="B158" s="1" t="s">
        <v>299</v>
      </c>
      <c r="C158" s="1" t="s">
        <v>300</v>
      </c>
      <c r="D158" s="1" t="s">
        <v>18</v>
      </c>
      <c r="E158" s="1" t="s">
        <v>13</v>
      </c>
      <c r="F158" s="1"/>
      <c r="G158" s="6" t="s">
        <v>14</v>
      </c>
      <c r="H158" s="7">
        <v>65000</v>
      </c>
      <c r="I158" s="8">
        <v>12.5</v>
      </c>
      <c r="J158" s="1" t="s">
        <v>15</v>
      </c>
    </row>
    <row r="159" spans="1:10" ht="16" x14ac:dyDescent="0.2">
      <c r="A159" s="5">
        <v>45681</v>
      </c>
      <c r="B159" s="1" t="s">
        <v>30</v>
      </c>
      <c r="C159" s="1" t="s">
        <v>301</v>
      </c>
      <c r="D159" s="1" t="s">
        <v>32</v>
      </c>
      <c r="E159" s="1" t="s">
        <v>19</v>
      </c>
      <c r="F159" s="1"/>
      <c r="G159" s="6" t="s">
        <v>14</v>
      </c>
      <c r="H159" s="7">
        <v>65000</v>
      </c>
      <c r="I159" s="8">
        <v>9.5</v>
      </c>
      <c r="J159" s="1" t="s">
        <v>34</v>
      </c>
    </row>
    <row r="160" spans="1:10" ht="16" x14ac:dyDescent="0.2">
      <c r="A160" s="5">
        <v>45681</v>
      </c>
      <c r="B160" s="1" t="s">
        <v>302</v>
      </c>
      <c r="C160" s="1" t="s">
        <v>303</v>
      </c>
      <c r="D160" s="1" t="s">
        <v>58</v>
      </c>
      <c r="E160" s="1" t="s">
        <v>59</v>
      </c>
      <c r="F160" s="1"/>
      <c r="G160" s="6" t="s">
        <v>14</v>
      </c>
      <c r="H160" s="7">
        <v>75000</v>
      </c>
      <c r="I160" s="8">
        <v>3.6</v>
      </c>
      <c r="J160" s="1" t="s">
        <v>15</v>
      </c>
    </row>
    <row r="161" spans="1:10" ht="16" x14ac:dyDescent="0.2">
      <c r="A161" s="5">
        <v>45681</v>
      </c>
      <c r="B161" s="1" t="s">
        <v>304</v>
      </c>
      <c r="C161" s="1" t="s">
        <v>80</v>
      </c>
      <c r="D161" s="1" t="s">
        <v>153</v>
      </c>
      <c r="E161" s="1" t="s">
        <v>78</v>
      </c>
      <c r="F161" s="1"/>
      <c r="G161" s="6" t="s">
        <v>14</v>
      </c>
      <c r="H161" s="7">
        <v>65000</v>
      </c>
      <c r="I161" s="8">
        <v>1.5</v>
      </c>
      <c r="J161" s="1" t="s">
        <v>34</v>
      </c>
    </row>
    <row r="162" spans="1:10" ht="16" x14ac:dyDescent="0.2">
      <c r="A162" s="5">
        <v>45681</v>
      </c>
      <c r="B162" s="1" t="s">
        <v>305</v>
      </c>
      <c r="C162" s="1" t="s">
        <v>233</v>
      </c>
      <c r="D162" s="1" t="s">
        <v>88</v>
      </c>
      <c r="E162" s="1" t="s">
        <v>94</v>
      </c>
      <c r="F162" s="1"/>
      <c r="G162" s="6" t="s">
        <v>14</v>
      </c>
      <c r="H162" s="7">
        <v>75000</v>
      </c>
      <c r="I162" s="8">
        <v>3.2</v>
      </c>
      <c r="J162" s="1" t="s">
        <v>15</v>
      </c>
    </row>
    <row r="163" spans="1:10" ht="16" x14ac:dyDescent="0.2">
      <c r="A163" s="5">
        <v>45681</v>
      </c>
      <c r="B163" s="1" t="s">
        <v>306</v>
      </c>
      <c r="C163" s="1" t="s">
        <v>55</v>
      </c>
      <c r="D163" s="1" t="s">
        <v>307</v>
      </c>
      <c r="E163" s="1" t="s">
        <v>94</v>
      </c>
      <c r="F163" s="1"/>
      <c r="G163" s="6" t="s">
        <v>14</v>
      </c>
      <c r="H163" s="7">
        <v>90000</v>
      </c>
      <c r="I163" s="8">
        <v>31.2</v>
      </c>
      <c r="J163" s="1" t="s">
        <v>15</v>
      </c>
    </row>
    <row r="164" spans="1:10" ht="16" x14ac:dyDescent="0.2">
      <c r="A164" s="5">
        <v>45681</v>
      </c>
      <c r="B164" s="1" t="s">
        <v>107</v>
      </c>
      <c r="C164" s="1" t="s">
        <v>108</v>
      </c>
      <c r="D164" s="1" t="s">
        <v>32</v>
      </c>
      <c r="E164" s="1" t="s">
        <v>19</v>
      </c>
      <c r="F164" s="1"/>
      <c r="G164" s="6" t="s">
        <v>14</v>
      </c>
      <c r="H164" s="7" t="s">
        <v>114</v>
      </c>
      <c r="I164" s="8"/>
      <c r="J164" s="1" t="s">
        <v>15</v>
      </c>
    </row>
    <row r="165" spans="1:10" ht="16" x14ac:dyDescent="0.2">
      <c r="A165" s="5">
        <v>45681</v>
      </c>
      <c r="B165" s="1" t="s">
        <v>111</v>
      </c>
      <c r="C165" s="1" t="s">
        <v>63</v>
      </c>
      <c r="D165" s="1" t="s">
        <v>112</v>
      </c>
      <c r="E165" s="1" t="s">
        <v>113</v>
      </c>
      <c r="F165" s="1"/>
      <c r="G165" s="6" t="s">
        <v>14</v>
      </c>
      <c r="H165" s="7" t="s">
        <v>114</v>
      </c>
      <c r="I165" s="8"/>
      <c r="J165" s="1" t="s">
        <v>34</v>
      </c>
    </row>
    <row r="166" spans="1:10" ht="16" x14ac:dyDescent="0.2">
      <c r="A166" s="5">
        <v>45681</v>
      </c>
      <c r="B166" s="1" t="s">
        <v>308</v>
      </c>
      <c r="C166" s="1" t="s">
        <v>309</v>
      </c>
      <c r="D166" s="1" t="s">
        <v>119</v>
      </c>
      <c r="E166" s="1" t="s">
        <v>19</v>
      </c>
      <c r="F166" s="1"/>
      <c r="G166" s="6" t="s">
        <v>23</v>
      </c>
      <c r="H166" s="7">
        <v>50000</v>
      </c>
      <c r="I166" s="8">
        <v>9.9</v>
      </c>
      <c r="J166" s="1" t="s">
        <v>15</v>
      </c>
    </row>
    <row r="167" spans="1:10" ht="16" x14ac:dyDescent="0.2">
      <c r="A167" s="5">
        <v>45682</v>
      </c>
      <c r="B167" s="1" t="s">
        <v>310</v>
      </c>
      <c r="C167" s="1" t="s">
        <v>311</v>
      </c>
      <c r="D167" s="1" t="s">
        <v>18</v>
      </c>
      <c r="E167" s="1" t="s">
        <v>13</v>
      </c>
      <c r="F167" s="1" t="s">
        <v>91</v>
      </c>
      <c r="G167" s="6" t="s">
        <v>14</v>
      </c>
      <c r="H167" s="7">
        <f>80000+85000</f>
        <v>165000</v>
      </c>
      <c r="I167" s="8"/>
      <c r="J167" s="1"/>
    </row>
    <row r="168" spans="1:10" ht="16" x14ac:dyDescent="0.2">
      <c r="A168" s="5">
        <v>45682</v>
      </c>
      <c r="B168" s="1" t="s">
        <v>312</v>
      </c>
      <c r="C168" s="1" t="s">
        <v>313</v>
      </c>
      <c r="D168" s="1" t="s">
        <v>196</v>
      </c>
      <c r="E168" s="1" t="s">
        <v>94</v>
      </c>
      <c r="F168" s="1"/>
      <c r="G168" s="6" t="s">
        <v>14</v>
      </c>
      <c r="H168" s="7">
        <v>60000</v>
      </c>
      <c r="I168" s="8"/>
      <c r="J168" s="1"/>
    </row>
    <row r="169" spans="1:10" ht="16" x14ac:dyDescent="0.2">
      <c r="A169" s="5">
        <v>45682</v>
      </c>
      <c r="B169" s="1" t="s">
        <v>314</v>
      </c>
      <c r="C169" s="1" t="s">
        <v>315</v>
      </c>
      <c r="D169" s="1" t="s">
        <v>26</v>
      </c>
      <c r="E169" s="1" t="s">
        <v>13</v>
      </c>
      <c r="F169" s="1"/>
      <c r="G169" s="6" t="s">
        <v>14</v>
      </c>
      <c r="H169" s="7">
        <v>85000</v>
      </c>
      <c r="I169" s="8"/>
      <c r="J169" s="1"/>
    </row>
    <row r="170" spans="1:10" ht="16" x14ac:dyDescent="0.2">
      <c r="A170" s="5">
        <v>45682</v>
      </c>
      <c r="B170" s="1" t="s">
        <v>316</v>
      </c>
      <c r="C170" s="1" t="s">
        <v>317</v>
      </c>
      <c r="D170" s="1" t="s">
        <v>26</v>
      </c>
      <c r="E170" s="1" t="s">
        <v>78</v>
      </c>
      <c r="F170" s="1"/>
      <c r="G170" s="6" t="s">
        <v>14</v>
      </c>
      <c r="H170" s="7">
        <v>75000</v>
      </c>
      <c r="I170" s="8"/>
      <c r="J170" s="1"/>
    </row>
    <row r="171" spans="1:10" ht="16" x14ac:dyDescent="0.2">
      <c r="A171" s="5">
        <v>45682</v>
      </c>
      <c r="B171" s="1" t="s">
        <v>125</v>
      </c>
      <c r="C171" s="1" t="s">
        <v>126</v>
      </c>
      <c r="D171" s="1" t="s">
        <v>32</v>
      </c>
      <c r="E171" s="1" t="s">
        <v>19</v>
      </c>
      <c r="F171" s="1"/>
      <c r="G171" s="6" t="s">
        <v>14</v>
      </c>
      <c r="H171" s="7">
        <v>55000</v>
      </c>
      <c r="I171" s="8">
        <v>4.5</v>
      </c>
      <c r="J171" s="1"/>
    </row>
    <row r="172" spans="1:10" ht="16" x14ac:dyDescent="0.2">
      <c r="A172" s="5">
        <v>45682</v>
      </c>
      <c r="B172" s="1" t="s">
        <v>318</v>
      </c>
      <c r="C172" s="1" t="s">
        <v>319</v>
      </c>
      <c r="D172" s="1" t="s">
        <v>88</v>
      </c>
      <c r="E172" s="1" t="s">
        <v>94</v>
      </c>
      <c r="F172" s="1"/>
      <c r="G172" s="6" t="s">
        <v>14</v>
      </c>
      <c r="H172" s="7">
        <v>55000</v>
      </c>
      <c r="I172" s="8">
        <v>4</v>
      </c>
      <c r="J172" s="1"/>
    </row>
    <row r="173" spans="1:10" ht="16" x14ac:dyDescent="0.2">
      <c r="A173" s="5">
        <v>45682</v>
      </c>
      <c r="B173" s="1" t="s">
        <v>318</v>
      </c>
      <c r="C173" s="1" t="s">
        <v>320</v>
      </c>
      <c r="D173" s="1" t="s">
        <v>88</v>
      </c>
      <c r="E173" s="1" t="s">
        <v>94</v>
      </c>
      <c r="F173" s="1"/>
      <c r="G173" s="6" t="s">
        <v>14</v>
      </c>
      <c r="H173" s="7">
        <v>50000</v>
      </c>
      <c r="I173" s="8">
        <v>3.3</v>
      </c>
      <c r="J173" s="1"/>
    </row>
    <row r="174" spans="1:10" ht="16" x14ac:dyDescent="0.2">
      <c r="A174" s="5">
        <v>45682</v>
      </c>
      <c r="B174" s="1" t="s">
        <v>318</v>
      </c>
      <c r="C174" s="1" t="s">
        <v>321</v>
      </c>
      <c r="D174" s="1" t="s">
        <v>88</v>
      </c>
      <c r="E174" s="1" t="s">
        <v>94</v>
      </c>
      <c r="F174" s="1"/>
      <c r="G174" s="6" t="s">
        <v>14</v>
      </c>
      <c r="H174" s="7">
        <v>50000</v>
      </c>
      <c r="I174" s="8">
        <v>5</v>
      </c>
      <c r="J174" s="1"/>
    </row>
    <row r="175" spans="1:10" ht="16" x14ac:dyDescent="0.2">
      <c r="A175" s="5">
        <v>45682</v>
      </c>
      <c r="B175" s="1" t="s">
        <v>132</v>
      </c>
      <c r="C175" s="1" t="s">
        <v>133</v>
      </c>
      <c r="D175" s="1" t="s">
        <v>18</v>
      </c>
      <c r="E175" s="1" t="s">
        <v>13</v>
      </c>
      <c r="F175" s="1"/>
      <c r="G175" s="6" t="s">
        <v>14</v>
      </c>
      <c r="H175" s="7" t="s">
        <v>114</v>
      </c>
      <c r="I175" s="8"/>
      <c r="J175" s="1"/>
    </row>
    <row r="176" spans="1:10" ht="16" x14ac:dyDescent="0.2">
      <c r="A176" s="5">
        <v>45682</v>
      </c>
      <c r="B176" s="1" t="s">
        <v>322</v>
      </c>
      <c r="C176" s="1" t="s">
        <v>323</v>
      </c>
      <c r="D176" s="1" t="s">
        <v>64</v>
      </c>
      <c r="E176" s="1" t="s">
        <v>13</v>
      </c>
      <c r="F176" s="1"/>
      <c r="G176" s="6" t="s">
        <v>14</v>
      </c>
      <c r="H176" s="7">
        <v>85000</v>
      </c>
      <c r="I176" s="8">
        <v>22.5</v>
      </c>
      <c r="J176" s="1"/>
    </row>
    <row r="177" spans="1:10" ht="16" x14ac:dyDescent="0.2">
      <c r="A177" s="5">
        <v>45682</v>
      </c>
      <c r="B177" s="1" t="s">
        <v>324</v>
      </c>
      <c r="C177" s="1" t="s">
        <v>325</v>
      </c>
      <c r="D177" s="1" t="s">
        <v>165</v>
      </c>
      <c r="E177" s="1" t="s">
        <v>13</v>
      </c>
      <c r="F177" s="1"/>
      <c r="G177" s="6"/>
      <c r="H177" s="7">
        <v>70000</v>
      </c>
      <c r="I177" s="8">
        <v>4.9000000000000004</v>
      </c>
      <c r="J177" s="1"/>
    </row>
    <row r="178" spans="1:10" ht="16" x14ac:dyDescent="0.2">
      <c r="A178" s="5">
        <v>45682</v>
      </c>
      <c r="B178" s="1" t="s">
        <v>326</v>
      </c>
      <c r="C178" s="1" t="s">
        <v>327</v>
      </c>
      <c r="D178" s="1" t="s">
        <v>88</v>
      </c>
      <c r="E178" s="1" t="s">
        <v>19</v>
      </c>
      <c r="F178" s="1"/>
      <c r="G178" s="6" t="s">
        <v>14</v>
      </c>
      <c r="H178" s="7">
        <v>70000</v>
      </c>
      <c r="I178" s="8">
        <v>3</v>
      </c>
      <c r="J178" s="1"/>
    </row>
    <row r="179" spans="1:10" ht="16" x14ac:dyDescent="0.2">
      <c r="A179" s="5">
        <v>45682</v>
      </c>
      <c r="B179" s="1" t="s">
        <v>328</v>
      </c>
      <c r="C179" s="1" t="s">
        <v>159</v>
      </c>
      <c r="D179" s="1" t="s">
        <v>18</v>
      </c>
      <c r="E179" s="1" t="s">
        <v>13</v>
      </c>
      <c r="F179" s="1"/>
      <c r="G179" s="6"/>
      <c r="H179" s="7">
        <v>75000</v>
      </c>
      <c r="I179" s="8">
        <v>14</v>
      </c>
      <c r="J179" s="1"/>
    </row>
    <row r="180" spans="1:10" ht="16" x14ac:dyDescent="0.2">
      <c r="A180" s="5">
        <v>45682</v>
      </c>
      <c r="B180" s="1" t="s">
        <v>329</v>
      </c>
      <c r="C180" s="1" t="s">
        <v>330</v>
      </c>
      <c r="D180" s="1" t="s">
        <v>119</v>
      </c>
      <c r="E180" s="1" t="s">
        <v>19</v>
      </c>
      <c r="F180" s="1"/>
      <c r="G180" s="6"/>
      <c r="H180" s="7">
        <v>50000</v>
      </c>
      <c r="I180" s="8">
        <v>9.6</v>
      </c>
      <c r="J180" s="1"/>
    </row>
    <row r="181" spans="1:10" ht="16" x14ac:dyDescent="0.2">
      <c r="A181" s="5">
        <v>45682</v>
      </c>
      <c r="B181" s="1"/>
      <c r="C181" s="1"/>
      <c r="D181" s="1"/>
      <c r="E181" s="1" t="s">
        <v>61</v>
      </c>
      <c r="F181" s="1"/>
      <c r="G181" s="6" t="s">
        <v>23</v>
      </c>
      <c r="H181" s="7">
        <v>10000</v>
      </c>
      <c r="I181" s="8" t="s">
        <v>114</v>
      </c>
      <c r="J181" s="1" t="s">
        <v>160</v>
      </c>
    </row>
    <row r="182" spans="1:10" ht="16" x14ac:dyDescent="0.2">
      <c r="A182" s="5">
        <v>45682</v>
      </c>
      <c r="B182" s="1" t="s">
        <v>154</v>
      </c>
      <c r="C182" s="1" t="s">
        <v>155</v>
      </c>
      <c r="D182" s="1" t="s">
        <v>26</v>
      </c>
      <c r="E182" s="1" t="s">
        <v>13</v>
      </c>
      <c r="F182" s="1"/>
      <c r="G182" s="6" t="s">
        <v>14</v>
      </c>
      <c r="H182" s="7">
        <v>75000</v>
      </c>
      <c r="I182" s="8">
        <v>7</v>
      </c>
      <c r="J182" s="1" t="s">
        <v>15</v>
      </c>
    </row>
    <row r="183" spans="1:10" ht="16" x14ac:dyDescent="0.2">
      <c r="A183" s="5">
        <v>45682</v>
      </c>
      <c r="B183" s="1"/>
      <c r="C183" s="1"/>
      <c r="D183" s="1"/>
      <c r="E183" s="1" t="s">
        <v>61</v>
      </c>
      <c r="F183" s="1"/>
      <c r="G183" s="6" t="s">
        <v>23</v>
      </c>
      <c r="H183" s="7">
        <v>10000</v>
      </c>
      <c r="I183" s="8" t="s">
        <v>114</v>
      </c>
      <c r="J183" s="1" t="s">
        <v>160</v>
      </c>
    </row>
    <row r="184" spans="1:10" ht="16" x14ac:dyDescent="0.2">
      <c r="A184" s="5">
        <v>45684</v>
      </c>
      <c r="B184" s="1" t="s">
        <v>331</v>
      </c>
      <c r="C184" s="1" t="s">
        <v>332</v>
      </c>
      <c r="D184" s="1" t="s">
        <v>131</v>
      </c>
      <c r="E184" s="1" t="s">
        <v>19</v>
      </c>
      <c r="F184" s="1"/>
      <c r="G184" s="6" t="s">
        <v>14</v>
      </c>
      <c r="H184" s="7">
        <v>90000</v>
      </c>
      <c r="I184" s="8">
        <v>39</v>
      </c>
      <c r="J184" s="1"/>
    </row>
    <row r="185" spans="1:10" ht="16" x14ac:dyDescent="0.2">
      <c r="A185" s="5">
        <v>45684</v>
      </c>
      <c r="B185" s="1" t="s">
        <v>333</v>
      </c>
      <c r="C185" s="1" t="s">
        <v>83</v>
      </c>
      <c r="D185" s="1" t="s">
        <v>119</v>
      </c>
      <c r="E185" s="1" t="s">
        <v>19</v>
      </c>
      <c r="F185" s="1"/>
      <c r="G185" s="6" t="s">
        <v>23</v>
      </c>
      <c r="H185" s="7">
        <v>55000</v>
      </c>
      <c r="I185" s="8">
        <v>14.4</v>
      </c>
      <c r="J185" s="1"/>
    </row>
    <row r="186" spans="1:10" ht="16" x14ac:dyDescent="0.2">
      <c r="A186" s="5">
        <v>45684</v>
      </c>
      <c r="B186" s="1" t="s">
        <v>334</v>
      </c>
      <c r="C186" s="1" t="s">
        <v>335</v>
      </c>
      <c r="D186" s="1" t="s">
        <v>26</v>
      </c>
      <c r="E186" s="1" t="s">
        <v>78</v>
      </c>
      <c r="F186" s="1"/>
      <c r="G186" s="6" t="s">
        <v>14</v>
      </c>
      <c r="H186" s="7">
        <v>65000</v>
      </c>
      <c r="I186" s="8">
        <v>5.4</v>
      </c>
      <c r="J186" s="1"/>
    </row>
    <row r="187" spans="1:10" ht="16" x14ac:dyDescent="0.2">
      <c r="A187" s="5">
        <v>45684</v>
      </c>
      <c r="B187" s="1" t="s">
        <v>336</v>
      </c>
      <c r="C187" s="1" t="s">
        <v>337</v>
      </c>
      <c r="D187" s="1" t="s">
        <v>32</v>
      </c>
      <c r="E187" s="1" t="s">
        <v>13</v>
      </c>
      <c r="F187" s="1"/>
      <c r="G187" s="6" t="s">
        <v>14</v>
      </c>
      <c r="H187" s="7">
        <v>65000</v>
      </c>
      <c r="I187" s="8">
        <v>2.6</v>
      </c>
      <c r="J187" s="1"/>
    </row>
    <row r="188" spans="1:10" ht="16" x14ac:dyDescent="0.2">
      <c r="A188" s="5">
        <v>45684</v>
      </c>
      <c r="B188" s="1" t="s">
        <v>338</v>
      </c>
      <c r="C188" s="1" t="s">
        <v>339</v>
      </c>
      <c r="D188" s="1" t="s">
        <v>340</v>
      </c>
      <c r="E188" s="1" t="s">
        <v>19</v>
      </c>
      <c r="F188" s="1"/>
      <c r="G188" s="6" t="s">
        <v>23</v>
      </c>
      <c r="H188" s="7">
        <v>20000</v>
      </c>
      <c r="I188" s="8">
        <v>2.7</v>
      </c>
      <c r="J188" s="1"/>
    </row>
    <row r="189" spans="1:10" ht="16" x14ac:dyDescent="0.2">
      <c r="A189" s="5">
        <v>45684</v>
      </c>
      <c r="B189" s="1" t="s">
        <v>341</v>
      </c>
      <c r="C189" s="1" t="s">
        <v>342</v>
      </c>
      <c r="D189" s="1" t="s">
        <v>22</v>
      </c>
      <c r="E189" s="1" t="s">
        <v>19</v>
      </c>
      <c r="F189" s="1"/>
      <c r="G189" s="6" t="s">
        <v>23</v>
      </c>
      <c r="H189" s="7">
        <v>50000</v>
      </c>
      <c r="I189" s="8">
        <v>9.8000000000000007</v>
      </c>
      <c r="J189" s="1"/>
    </row>
    <row r="190" spans="1:10" ht="16" x14ac:dyDescent="0.2">
      <c r="A190" s="5">
        <v>45685</v>
      </c>
      <c r="B190" s="1" t="s">
        <v>343</v>
      </c>
      <c r="C190" s="1" t="s">
        <v>110</v>
      </c>
      <c r="D190" s="1" t="s">
        <v>42</v>
      </c>
      <c r="E190" s="1" t="s">
        <v>19</v>
      </c>
      <c r="F190" s="1"/>
      <c r="G190" s="6" t="s">
        <v>23</v>
      </c>
      <c r="H190" s="7">
        <v>53000</v>
      </c>
      <c r="I190" s="8">
        <v>7</v>
      </c>
      <c r="J190" s="1"/>
    </row>
    <row r="191" spans="1:10" ht="16" x14ac:dyDescent="0.2">
      <c r="A191" s="5">
        <v>45685</v>
      </c>
      <c r="B191" s="1" t="s">
        <v>344</v>
      </c>
      <c r="C191" s="1" t="s">
        <v>345</v>
      </c>
      <c r="D191" s="1" t="s">
        <v>26</v>
      </c>
      <c r="E191" s="1" t="s">
        <v>13</v>
      </c>
      <c r="F191" s="1"/>
      <c r="G191" s="6" t="s">
        <v>14</v>
      </c>
      <c r="H191" s="7">
        <v>100000</v>
      </c>
      <c r="I191" s="8">
        <v>6.8</v>
      </c>
      <c r="J191" s="1"/>
    </row>
    <row r="192" spans="1:10" ht="16" x14ac:dyDescent="0.2">
      <c r="A192" s="5">
        <v>45685</v>
      </c>
      <c r="B192" s="1" t="s">
        <v>346</v>
      </c>
      <c r="C192" s="1" t="s">
        <v>347</v>
      </c>
      <c r="D192" s="1" t="s">
        <v>26</v>
      </c>
      <c r="E192" s="1" t="s">
        <v>13</v>
      </c>
      <c r="F192" s="1"/>
      <c r="G192" s="6" t="s">
        <v>14</v>
      </c>
      <c r="H192" s="7">
        <v>80000</v>
      </c>
      <c r="I192" s="8">
        <v>5.5</v>
      </c>
      <c r="J192" s="1"/>
    </row>
    <row r="193" spans="1:10" ht="16" x14ac:dyDescent="0.2">
      <c r="A193" s="5">
        <v>45685</v>
      </c>
      <c r="B193" s="1" t="s">
        <v>102</v>
      </c>
      <c r="C193" s="1" t="s">
        <v>348</v>
      </c>
      <c r="D193" s="1" t="s">
        <v>64</v>
      </c>
      <c r="E193" s="1" t="s">
        <v>13</v>
      </c>
      <c r="F193" s="1"/>
      <c r="G193" s="6" t="s">
        <v>14</v>
      </c>
      <c r="H193" s="7">
        <v>75000</v>
      </c>
      <c r="I193" s="8">
        <v>7.8</v>
      </c>
      <c r="J193" s="1"/>
    </row>
    <row r="194" spans="1:10" ht="16" x14ac:dyDescent="0.2">
      <c r="A194" s="5">
        <v>45685</v>
      </c>
      <c r="B194" s="1" t="s">
        <v>102</v>
      </c>
      <c r="C194" s="1" t="s">
        <v>349</v>
      </c>
      <c r="D194" s="1" t="s">
        <v>26</v>
      </c>
      <c r="E194" s="1" t="s">
        <v>13</v>
      </c>
      <c r="F194" s="1"/>
      <c r="G194" s="6" t="s">
        <v>14</v>
      </c>
      <c r="H194" s="7">
        <v>75000</v>
      </c>
      <c r="I194" s="8"/>
      <c r="J194" s="1"/>
    </row>
    <row r="195" spans="1:10" ht="16" x14ac:dyDescent="0.2">
      <c r="A195" s="5">
        <v>45685</v>
      </c>
      <c r="B195" s="1" t="s">
        <v>350</v>
      </c>
      <c r="C195" s="1" t="s">
        <v>351</v>
      </c>
      <c r="D195" s="1" t="s">
        <v>352</v>
      </c>
      <c r="E195" s="1" t="s">
        <v>19</v>
      </c>
      <c r="F195" s="1"/>
      <c r="G195" s="6" t="s">
        <v>23</v>
      </c>
      <c r="H195" s="7">
        <v>55000</v>
      </c>
      <c r="I195" s="8">
        <v>12</v>
      </c>
      <c r="J195" s="1"/>
    </row>
    <row r="196" spans="1:10" ht="16" x14ac:dyDescent="0.2">
      <c r="A196" s="5">
        <v>45685</v>
      </c>
      <c r="B196" s="1" t="s">
        <v>336</v>
      </c>
      <c r="C196" s="1" t="s">
        <v>275</v>
      </c>
      <c r="D196" s="1" t="s">
        <v>32</v>
      </c>
      <c r="E196" s="1" t="s">
        <v>13</v>
      </c>
      <c r="F196" s="1"/>
      <c r="G196" s="6" t="s">
        <v>14</v>
      </c>
      <c r="H196" s="7">
        <v>65000</v>
      </c>
      <c r="I196" s="8">
        <v>2.306</v>
      </c>
      <c r="J196" s="1"/>
    </row>
    <row r="197" spans="1:10" ht="16" x14ac:dyDescent="0.2">
      <c r="A197" s="5">
        <v>45685</v>
      </c>
      <c r="B197" s="1" t="s">
        <v>353</v>
      </c>
      <c r="C197" s="1" t="s">
        <v>162</v>
      </c>
      <c r="D197" s="1" t="s">
        <v>26</v>
      </c>
      <c r="E197" s="1" t="s">
        <v>13</v>
      </c>
      <c r="F197" s="1"/>
      <c r="G197" s="6" t="s">
        <v>14</v>
      </c>
      <c r="H197" s="7">
        <v>90000</v>
      </c>
      <c r="I197" s="8">
        <v>6</v>
      </c>
      <c r="J197" s="1"/>
    </row>
    <row r="198" spans="1:10" ht="16" x14ac:dyDescent="0.2">
      <c r="A198" s="5">
        <v>45685</v>
      </c>
      <c r="B198" s="1" t="s">
        <v>354</v>
      </c>
      <c r="C198" s="1" t="s">
        <v>53</v>
      </c>
      <c r="D198" s="1" t="s">
        <v>64</v>
      </c>
      <c r="E198" s="1" t="s">
        <v>19</v>
      </c>
      <c r="F198" s="1"/>
      <c r="G198" s="6" t="s">
        <v>23</v>
      </c>
      <c r="H198" s="7">
        <v>50000</v>
      </c>
      <c r="I198" s="8">
        <v>14.4</v>
      </c>
      <c r="J198" s="1"/>
    </row>
    <row r="199" spans="1:10" ht="16" x14ac:dyDescent="0.2">
      <c r="A199" s="5">
        <v>45685</v>
      </c>
      <c r="B199" s="1" t="s">
        <v>62</v>
      </c>
      <c r="C199" s="1" t="s">
        <v>63</v>
      </c>
      <c r="D199" s="1" t="s">
        <v>64</v>
      </c>
      <c r="E199" s="1" t="s">
        <v>19</v>
      </c>
      <c r="F199" s="1"/>
      <c r="G199" s="6" t="s">
        <v>14</v>
      </c>
      <c r="H199" s="7">
        <v>65000</v>
      </c>
      <c r="I199" s="8">
        <v>5.9</v>
      </c>
      <c r="J199" s="1"/>
    </row>
    <row r="200" spans="1:10" ht="16" x14ac:dyDescent="0.2">
      <c r="A200" s="5">
        <v>45685</v>
      </c>
      <c r="B200" s="1" t="s">
        <v>355</v>
      </c>
      <c r="C200" s="1" t="s">
        <v>356</v>
      </c>
      <c r="D200" s="1" t="s">
        <v>32</v>
      </c>
      <c r="E200" s="1" t="s">
        <v>13</v>
      </c>
      <c r="F200" s="1"/>
      <c r="G200" s="6" t="s">
        <v>14</v>
      </c>
      <c r="H200" s="7">
        <v>60000</v>
      </c>
      <c r="I200" s="8">
        <v>4.0999999999999996</v>
      </c>
      <c r="J200" s="1"/>
    </row>
    <row r="201" spans="1:10" ht="16" x14ac:dyDescent="0.2">
      <c r="A201" s="5">
        <v>45685</v>
      </c>
      <c r="B201" s="1" t="s">
        <v>355</v>
      </c>
      <c r="C201" s="1" t="s">
        <v>357</v>
      </c>
      <c r="D201" s="1" t="s">
        <v>32</v>
      </c>
      <c r="E201" s="1" t="s">
        <v>19</v>
      </c>
      <c r="F201" s="1"/>
      <c r="G201" s="6" t="s">
        <v>14</v>
      </c>
      <c r="H201" s="7">
        <v>55000</v>
      </c>
      <c r="I201" s="8">
        <v>3.2</v>
      </c>
      <c r="J201" s="1"/>
    </row>
    <row r="202" spans="1:10" ht="16" x14ac:dyDescent="0.2">
      <c r="A202" s="5">
        <v>45685</v>
      </c>
      <c r="B202" s="1" t="s">
        <v>358</v>
      </c>
      <c r="C202" s="1" t="s">
        <v>359</v>
      </c>
      <c r="D202" s="1" t="s">
        <v>360</v>
      </c>
      <c r="E202" s="1" t="s">
        <v>19</v>
      </c>
      <c r="F202" s="1"/>
      <c r="G202" s="6" t="s">
        <v>23</v>
      </c>
      <c r="H202" s="7">
        <v>60000</v>
      </c>
      <c r="I202" s="8"/>
      <c r="J202" s="1"/>
    </row>
    <row r="203" spans="1:10" ht="16" x14ac:dyDescent="0.2">
      <c r="A203" s="5">
        <v>45685</v>
      </c>
      <c r="B203" s="1"/>
      <c r="C203" s="1"/>
      <c r="D203" s="1"/>
      <c r="E203" s="1" t="s">
        <v>61</v>
      </c>
      <c r="F203" s="1"/>
      <c r="G203" s="6"/>
      <c r="H203" s="7">
        <v>10000</v>
      </c>
      <c r="I203" s="8"/>
      <c r="J203" s="1"/>
    </row>
    <row r="204" spans="1:10" ht="16" x14ac:dyDescent="0.2">
      <c r="A204" s="5">
        <v>45685</v>
      </c>
      <c r="B204" s="1"/>
      <c r="C204" s="1"/>
      <c r="D204" s="1"/>
      <c r="E204" s="1" t="s">
        <v>61</v>
      </c>
      <c r="F204" s="1"/>
      <c r="G204" s="6"/>
      <c r="H204" s="7">
        <v>10000</v>
      </c>
      <c r="I204" s="9"/>
      <c r="J204" s="1"/>
    </row>
    <row r="205" spans="1:10" ht="16" x14ac:dyDescent="0.2">
      <c r="A205" s="5">
        <v>45685</v>
      </c>
      <c r="B205" s="1"/>
      <c r="C205" s="1"/>
      <c r="D205" s="1"/>
      <c r="E205" s="1" t="s">
        <v>61</v>
      </c>
      <c r="F205" s="1"/>
      <c r="G205" s="6"/>
      <c r="H205" s="7">
        <v>10000</v>
      </c>
      <c r="I205" s="8"/>
      <c r="J205" s="1"/>
    </row>
    <row r="206" spans="1:10" ht="16" x14ac:dyDescent="0.2">
      <c r="A206" s="5">
        <v>45685</v>
      </c>
      <c r="B206" s="1"/>
      <c r="C206" s="1"/>
      <c r="D206" s="1"/>
      <c r="E206" s="1" t="s">
        <v>61</v>
      </c>
      <c r="F206" s="1"/>
      <c r="G206" s="6"/>
      <c r="H206" s="7">
        <v>10000</v>
      </c>
      <c r="I206" s="8"/>
      <c r="J206" s="1"/>
    </row>
    <row r="207" spans="1:10" ht="16" x14ac:dyDescent="0.2">
      <c r="A207" s="5">
        <v>45686</v>
      </c>
      <c r="B207" s="1" t="s">
        <v>361</v>
      </c>
      <c r="C207" s="1" t="s">
        <v>362</v>
      </c>
      <c r="D207" s="1" t="s">
        <v>64</v>
      </c>
      <c r="E207" s="1" t="s">
        <v>181</v>
      </c>
      <c r="F207" s="1"/>
      <c r="G207" s="6" t="s">
        <v>23</v>
      </c>
      <c r="H207" s="7">
        <v>70000</v>
      </c>
      <c r="I207" s="8">
        <v>9.9</v>
      </c>
      <c r="J207" s="1" t="s">
        <v>15</v>
      </c>
    </row>
    <row r="208" spans="1:10" ht="16" x14ac:dyDescent="0.2">
      <c r="A208" s="5">
        <v>45686</v>
      </c>
      <c r="B208" s="1" t="s">
        <v>361</v>
      </c>
      <c r="C208" s="1" t="s">
        <v>173</v>
      </c>
      <c r="D208" s="1" t="s">
        <v>119</v>
      </c>
      <c r="E208" s="1" t="s">
        <v>19</v>
      </c>
      <c r="F208" s="1"/>
      <c r="G208" s="6" t="s">
        <v>23</v>
      </c>
      <c r="H208" s="7">
        <v>60000</v>
      </c>
      <c r="I208" s="8">
        <v>12</v>
      </c>
      <c r="J208" s="1" t="s">
        <v>15</v>
      </c>
    </row>
    <row r="209" spans="1:10" ht="16" x14ac:dyDescent="0.2">
      <c r="A209" s="5">
        <v>45686</v>
      </c>
      <c r="B209" s="1" t="s">
        <v>363</v>
      </c>
      <c r="C209" s="1" t="s">
        <v>364</v>
      </c>
      <c r="D209" s="1" t="s">
        <v>32</v>
      </c>
      <c r="E209" s="1" t="s">
        <v>13</v>
      </c>
      <c r="F209" s="1"/>
      <c r="G209" s="6" t="s">
        <v>14</v>
      </c>
      <c r="H209" s="7">
        <v>55000</v>
      </c>
      <c r="I209" s="8">
        <v>1.7</v>
      </c>
      <c r="J209" s="1" t="s">
        <v>15</v>
      </c>
    </row>
    <row r="210" spans="1:10" ht="16" x14ac:dyDescent="0.2">
      <c r="A210" s="5">
        <v>45686</v>
      </c>
      <c r="B210" s="1" t="s">
        <v>279</v>
      </c>
      <c r="C210" s="1" t="s">
        <v>198</v>
      </c>
      <c r="D210" s="1" t="s">
        <v>32</v>
      </c>
      <c r="E210" s="1"/>
      <c r="F210" s="1"/>
      <c r="G210" s="6" t="s">
        <v>14</v>
      </c>
      <c r="H210" s="7">
        <v>58000</v>
      </c>
      <c r="I210" s="8">
        <v>2.6</v>
      </c>
      <c r="J210" s="1" t="s">
        <v>15</v>
      </c>
    </row>
    <row r="211" spans="1:10" ht="16" x14ac:dyDescent="0.2">
      <c r="A211" s="5">
        <v>45686</v>
      </c>
      <c r="B211" s="1" t="s">
        <v>279</v>
      </c>
      <c r="C211" s="1" t="s">
        <v>365</v>
      </c>
      <c r="D211" s="1" t="s">
        <v>32</v>
      </c>
      <c r="E211" s="1"/>
      <c r="F211" s="1"/>
      <c r="G211" s="6" t="s">
        <v>14</v>
      </c>
      <c r="H211" s="7">
        <v>60000</v>
      </c>
      <c r="I211" s="8">
        <v>4.0999999999999996</v>
      </c>
      <c r="J211" s="1" t="s">
        <v>15</v>
      </c>
    </row>
    <row r="212" spans="1:10" ht="16" x14ac:dyDescent="0.2">
      <c r="A212" s="5">
        <v>45686</v>
      </c>
      <c r="B212" s="1" t="s">
        <v>182</v>
      </c>
      <c r="C212" s="1" t="s">
        <v>183</v>
      </c>
      <c r="D212" s="1" t="s">
        <v>26</v>
      </c>
      <c r="E212" s="1" t="s">
        <v>19</v>
      </c>
      <c r="F212" s="1"/>
      <c r="G212" s="6" t="s">
        <v>14</v>
      </c>
      <c r="H212" s="7" t="s">
        <v>114</v>
      </c>
      <c r="I212" s="8"/>
      <c r="J212" s="1" t="s">
        <v>15</v>
      </c>
    </row>
    <row r="213" spans="1:10" ht="16" x14ac:dyDescent="0.2">
      <c r="A213" s="5">
        <v>45686</v>
      </c>
      <c r="B213" s="1" t="s">
        <v>366</v>
      </c>
      <c r="C213" s="1" t="s">
        <v>257</v>
      </c>
      <c r="D213" s="1" t="s">
        <v>222</v>
      </c>
      <c r="E213" s="1" t="s">
        <v>19</v>
      </c>
      <c r="F213" s="1"/>
      <c r="G213" s="6" t="s">
        <v>23</v>
      </c>
      <c r="H213" s="7">
        <v>70000</v>
      </c>
      <c r="I213" s="8" t="s">
        <v>367</v>
      </c>
      <c r="J213" s="1" t="s">
        <v>15</v>
      </c>
    </row>
    <row r="214" spans="1:10" ht="16" x14ac:dyDescent="0.2">
      <c r="A214" s="5">
        <v>45686</v>
      </c>
      <c r="B214" s="1" t="s">
        <v>368</v>
      </c>
      <c r="C214" s="1" t="s">
        <v>255</v>
      </c>
      <c r="D214" s="1" t="s">
        <v>340</v>
      </c>
      <c r="E214" s="1" t="s">
        <v>19</v>
      </c>
      <c r="F214" s="1"/>
      <c r="G214" s="6" t="s">
        <v>23</v>
      </c>
      <c r="H214" s="7">
        <v>30000</v>
      </c>
      <c r="I214" s="9">
        <v>45781</v>
      </c>
      <c r="J214" s="1" t="s">
        <v>15</v>
      </c>
    </row>
    <row r="215" spans="1:10" ht="16" x14ac:dyDescent="0.2">
      <c r="A215" s="5">
        <v>45686</v>
      </c>
      <c r="B215" s="1" t="s">
        <v>369</v>
      </c>
      <c r="C215" s="1" t="s">
        <v>370</v>
      </c>
      <c r="D215" s="1" t="s">
        <v>371</v>
      </c>
      <c r="E215" s="1" t="s">
        <v>19</v>
      </c>
      <c r="F215" s="1"/>
      <c r="G215" s="6" t="s">
        <v>23</v>
      </c>
      <c r="H215" s="7">
        <v>70000</v>
      </c>
      <c r="I215" s="8"/>
      <c r="J215" s="1" t="s">
        <v>15</v>
      </c>
    </row>
    <row r="216" spans="1:10" ht="16" x14ac:dyDescent="0.2">
      <c r="A216" s="5">
        <v>45686</v>
      </c>
      <c r="B216" s="1" t="s">
        <v>372</v>
      </c>
      <c r="C216" s="1" t="s">
        <v>373</v>
      </c>
      <c r="D216" s="1" t="s">
        <v>131</v>
      </c>
      <c r="E216" s="1" t="s">
        <v>19</v>
      </c>
      <c r="F216" s="1"/>
      <c r="G216" s="6" t="s">
        <v>23</v>
      </c>
      <c r="H216" s="7">
        <v>60000</v>
      </c>
      <c r="I216" s="8">
        <v>22</v>
      </c>
      <c r="J216" s="1" t="s">
        <v>15</v>
      </c>
    </row>
    <row r="217" spans="1:10" ht="16" x14ac:dyDescent="0.2">
      <c r="A217" s="5">
        <v>45686</v>
      </c>
      <c r="B217" s="1" t="s">
        <v>374</v>
      </c>
      <c r="C217" s="1" t="s">
        <v>375</v>
      </c>
      <c r="D217" s="1" t="s">
        <v>131</v>
      </c>
      <c r="E217" s="1" t="s">
        <v>19</v>
      </c>
      <c r="F217" s="1"/>
      <c r="G217" s="6" t="s">
        <v>23</v>
      </c>
      <c r="H217" s="7">
        <v>70000</v>
      </c>
      <c r="I217" s="8">
        <v>29.3</v>
      </c>
      <c r="J217" s="1" t="s">
        <v>15</v>
      </c>
    </row>
    <row r="218" spans="1:10" ht="16" x14ac:dyDescent="0.2">
      <c r="A218" s="5">
        <v>45686</v>
      </c>
      <c r="B218" s="1" t="s">
        <v>376</v>
      </c>
      <c r="C218" s="1" t="s">
        <v>377</v>
      </c>
      <c r="D218" s="1" t="s">
        <v>64</v>
      </c>
      <c r="E218" s="1" t="s">
        <v>19</v>
      </c>
      <c r="F218" s="1"/>
      <c r="G218" s="6" t="s">
        <v>23</v>
      </c>
      <c r="H218" s="7">
        <v>50000</v>
      </c>
      <c r="I218" s="8">
        <v>14.4</v>
      </c>
      <c r="J218" s="1" t="s">
        <v>15</v>
      </c>
    </row>
    <row r="219" spans="1:10" ht="16" x14ac:dyDescent="0.2">
      <c r="A219" s="5">
        <v>45687</v>
      </c>
      <c r="B219" s="1" t="s">
        <v>378</v>
      </c>
      <c r="C219" s="1" t="s">
        <v>379</v>
      </c>
      <c r="D219" s="1" t="s">
        <v>88</v>
      </c>
      <c r="E219" s="1" t="s">
        <v>94</v>
      </c>
      <c r="F219" s="1"/>
      <c r="G219" s="6" t="s">
        <v>14</v>
      </c>
      <c r="H219" s="7">
        <v>100000</v>
      </c>
      <c r="I219" s="8">
        <v>6.9</v>
      </c>
      <c r="J219" s="1"/>
    </row>
    <row r="220" spans="1:10" ht="16" x14ac:dyDescent="0.2">
      <c r="A220" s="5">
        <v>45687</v>
      </c>
      <c r="B220" s="1" t="s">
        <v>200</v>
      </c>
      <c r="C220" s="1" t="s">
        <v>201</v>
      </c>
      <c r="D220" s="1" t="s">
        <v>26</v>
      </c>
      <c r="E220" s="1" t="s">
        <v>19</v>
      </c>
      <c r="F220" s="1"/>
      <c r="G220" s="6" t="s">
        <v>14</v>
      </c>
      <c r="H220" s="7">
        <v>65000</v>
      </c>
      <c r="I220" s="9">
        <v>45754</v>
      </c>
      <c r="J220" s="1"/>
    </row>
    <row r="221" spans="1:10" ht="16" x14ac:dyDescent="0.2">
      <c r="A221" s="5">
        <v>45687</v>
      </c>
      <c r="B221" s="1" t="s">
        <v>380</v>
      </c>
      <c r="C221" s="1" t="s">
        <v>188</v>
      </c>
      <c r="D221" s="1" t="s">
        <v>26</v>
      </c>
      <c r="E221" s="1" t="s">
        <v>19</v>
      </c>
      <c r="F221" s="1"/>
      <c r="G221" s="6" t="s">
        <v>14</v>
      </c>
      <c r="H221" s="7">
        <v>65000</v>
      </c>
      <c r="I221" s="8">
        <v>5</v>
      </c>
      <c r="J221" s="1"/>
    </row>
    <row r="222" spans="1:10" ht="16" x14ac:dyDescent="0.2">
      <c r="A222" s="5">
        <v>45687</v>
      </c>
      <c r="B222" s="1" t="s">
        <v>381</v>
      </c>
      <c r="C222" s="1" t="s">
        <v>382</v>
      </c>
      <c r="D222" s="1" t="s">
        <v>165</v>
      </c>
      <c r="E222" s="1" t="s">
        <v>13</v>
      </c>
      <c r="F222" s="1"/>
      <c r="G222" s="6" t="s">
        <v>14</v>
      </c>
      <c r="H222" s="7">
        <v>78000</v>
      </c>
      <c r="I222" s="8">
        <v>8.6</v>
      </c>
      <c r="J222" s="1"/>
    </row>
    <row r="223" spans="1:10" ht="16" x14ac:dyDescent="0.2">
      <c r="A223" s="5">
        <v>45687</v>
      </c>
      <c r="B223" s="1" t="s">
        <v>383</v>
      </c>
      <c r="C223" s="1" t="s">
        <v>384</v>
      </c>
      <c r="D223" s="1" t="s">
        <v>32</v>
      </c>
      <c r="E223" s="1" t="s">
        <v>13</v>
      </c>
      <c r="F223" s="1"/>
      <c r="G223" s="6" t="s">
        <v>14</v>
      </c>
      <c r="H223" s="7">
        <v>65000</v>
      </c>
      <c r="I223" s="8">
        <v>2</v>
      </c>
      <c r="J223" s="1"/>
    </row>
    <row r="224" spans="1:10" ht="16" x14ac:dyDescent="0.2">
      <c r="A224" s="5">
        <v>45687</v>
      </c>
      <c r="B224" s="1" t="s">
        <v>381</v>
      </c>
      <c r="C224" s="1" t="s">
        <v>385</v>
      </c>
      <c r="D224" s="1" t="s">
        <v>119</v>
      </c>
      <c r="E224" s="1" t="s">
        <v>19</v>
      </c>
      <c r="F224" s="1"/>
      <c r="G224" s="6" t="s">
        <v>23</v>
      </c>
      <c r="H224" s="7">
        <v>50000</v>
      </c>
      <c r="I224" s="8">
        <v>8.3000000000000007</v>
      </c>
      <c r="J224" s="1"/>
    </row>
    <row r="225" spans="1:10" ht="16" x14ac:dyDescent="0.2">
      <c r="A225" s="5">
        <v>45687</v>
      </c>
      <c r="B225" s="1" t="s">
        <v>386</v>
      </c>
      <c r="C225" s="1" t="s">
        <v>387</v>
      </c>
      <c r="D225" s="1" t="s">
        <v>131</v>
      </c>
      <c r="E225" s="1" t="s">
        <v>19</v>
      </c>
      <c r="F225" s="1"/>
      <c r="G225" s="6" t="s">
        <v>14</v>
      </c>
      <c r="H225" s="7">
        <v>60000</v>
      </c>
      <c r="I225" s="8">
        <v>8.6999999999999993</v>
      </c>
      <c r="J225" s="1"/>
    </row>
    <row r="226" spans="1:10" ht="16" x14ac:dyDescent="0.2">
      <c r="A226" s="5">
        <v>45687</v>
      </c>
      <c r="B226" s="1" t="s">
        <v>256</v>
      </c>
      <c r="C226" s="1" t="s">
        <v>257</v>
      </c>
      <c r="D226" s="1" t="s">
        <v>32</v>
      </c>
      <c r="E226" s="1" t="s">
        <v>19</v>
      </c>
      <c r="F226" s="1"/>
      <c r="G226" s="6" t="s">
        <v>14</v>
      </c>
      <c r="H226" s="7">
        <v>10000</v>
      </c>
      <c r="I226" s="8"/>
      <c r="J226" s="1"/>
    </row>
    <row r="227" spans="1:10" ht="16" x14ac:dyDescent="0.2">
      <c r="A227" s="5">
        <v>45687</v>
      </c>
      <c r="B227" s="1"/>
      <c r="C227" s="1"/>
      <c r="D227" s="1" t="s">
        <v>42</v>
      </c>
      <c r="E227" s="1" t="s">
        <v>61</v>
      </c>
      <c r="F227" s="1"/>
      <c r="G227" s="6" t="s">
        <v>23</v>
      </c>
      <c r="H227" s="7">
        <v>10000</v>
      </c>
      <c r="I227" s="8"/>
      <c r="J227" s="1"/>
    </row>
    <row r="228" spans="1:10" ht="16" x14ac:dyDescent="0.2">
      <c r="A228" s="5">
        <v>45688</v>
      </c>
      <c r="B228" s="1" t="s">
        <v>388</v>
      </c>
      <c r="C228" s="1" t="s">
        <v>389</v>
      </c>
      <c r="D228" s="1" t="s">
        <v>196</v>
      </c>
      <c r="E228" s="1" t="s">
        <v>94</v>
      </c>
      <c r="F228" s="1"/>
      <c r="G228" s="6" t="s">
        <v>14</v>
      </c>
      <c r="H228" s="7">
        <v>85000</v>
      </c>
      <c r="I228" s="8">
        <v>20.5</v>
      </c>
      <c r="J228" s="1" t="s">
        <v>15</v>
      </c>
    </row>
    <row r="229" spans="1:10" ht="16" x14ac:dyDescent="0.2">
      <c r="A229" s="5">
        <v>45688</v>
      </c>
      <c r="B229" s="1" t="s">
        <v>390</v>
      </c>
      <c r="C229" s="1" t="s">
        <v>391</v>
      </c>
      <c r="D229" s="1" t="s">
        <v>26</v>
      </c>
      <c r="E229" s="1" t="s">
        <v>13</v>
      </c>
      <c r="F229" s="1"/>
      <c r="G229" s="6" t="s">
        <v>14</v>
      </c>
      <c r="H229" s="7">
        <v>80000</v>
      </c>
      <c r="I229" s="8">
        <v>3.6</v>
      </c>
      <c r="J229" s="1" t="s">
        <v>15</v>
      </c>
    </row>
    <row r="230" spans="1:10" ht="16" x14ac:dyDescent="0.2">
      <c r="A230" s="5">
        <v>45688</v>
      </c>
      <c r="B230" s="1" t="s">
        <v>390</v>
      </c>
      <c r="C230" s="1" t="s">
        <v>392</v>
      </c>
      <c r="D230" s="1" t="s">
        <v>26</v>
      </c>
      <c r="E230" s="1" t="s">
        <v>13</v>
      </c>
      <c r="F230" s="1"/>
      <c r="G230" s="6" t="s">
        <v>14</v>
      </c>
      <c r="H230" s="7">
        <v>90000</v>
      </c>
      <c r="I230" s="8">
        <v>6.9</v>
      </c>
      <c r="J230" s="1" t="s">
        <v>15</v>
      </c>
    </row>
    <row r="231" spans="1:10" ht="16" x14ac:dyDescent="0.2">
      <c r="A231" s="5">
        <v>45688</v>
      </c>
      <c r="B231" s="1" t="s">
        <v>16</v>
      </c>
      <c r="C231" s="1" t="s">
        <v>17</v>
      </c>
      <c r="D231" s="1" t="s">
        <v>18</v>
      </c>
      <c r="E231" s="1" t="s">
        <v>19</v>
      </c>
      <c r="F231" s="1"/>
      <c r="G231" s="6" t="s">
        <v>14</v>
      </c>
      <c r="H231" s="7">
        <v>50000</v>
      </c>
      <c r="I231" s="8">
        <v>17.7</v>
      </c>
      <c r="J231" s="1" t="s">
        <v>15</v>
      </c>
    </row>
    <row r="232" spans="1:10" ht="16" x14ac:dyDescent="0.2">
      <c r="A232" s="5">
        <v>45688</v>
      </c>
      <c r="B232" s="1" t="s">
        <v>393</v>
      </c>
      <c r="C232" s="1" t="s">
        <v>394</v>
      </c>
      <c r="D232" s="1" t="s">
        <v>165</v>
      </c>
      <c r="E232" s="1" t="s">
        <v>13</v>
      </c>
      <c r="F232" s="1"/>
      <c r="G232" s="6" t="s">
        <v>14</v>
      </c>
      <c r="H232" s="7">
        <v>70000</v>
      </c>
      <c r="I232" s="8">
        <v>7.7</v>
      </c>
      <c r="J232" s="1" t="s">
        <v>15</v>
      </c>
    </row>
    <row r="233" spans="1:10" ht="16" x14ac:dyDescent="0.2">
      <c r="A233" s="5">
        <v>45688</v>
      </c>
      <c r="B233" s="1" t="s">
        <v>393</v>
      </c>
      <c r="C233" s="1" t="s">
        <v>275</v>
      </c>
      <c r="D233" s="1" t="s">
        <v>165</v>
      </c>
      <c r="E233" s="1" t="s">
        <v>13</v>
      </c>
      <c r="F233" s="1"/>
      <c r="G233" s="6" t="s">
        <v>14</v>
      </c>
      <c r="H233" s="7">
        <v>70000</v>
      </c>
      <c r="I233" s="8">
        <v>6.5</v>
      </c>
      <c r="J233" s="1" t="s">
        <v>15</v>
      </c>
    </row>
    <row r="234" spans="1:10" ht="16" x14ac:dyDescent="0.2">
      <c r="A234" s="5">
        <v>45688</v>
      </c>
      <c r="B234" s="1" t="s">
        <v>395</v>
      </c>
      <c r="C234" s="1" t="s">
        <v>396</v>
      </c>
      <c r="D234" s="1" t="s">
        <v>32</v>
      </c>
      <c r="E234" s="1" t="s">
        <v>113</v>
      </c>
      <c r="F234" s="1"/>
      <c r="G234" s="6" t="s">
        <v>14</v>
      </c>
      <c r="H234" s="7" t="s">
        <v>114</v>
      </c>
      <c r="I234" s="8"/>
      <c r="J234" s="1" t="s">
        <v>15</v>
      </c>
    </row>
    <row r="235" spans="1:10" ht="16" x14ac:dyDescent="0.2">
      <c r="A235" s="5">
        <v>45688</v>
      </c>
      <c r="B235" s="1" t="s">
        <v>397</v>
      </c>
      <c r="C235" s="1" t="s">
        <v>398</v>
      </c>
      <c r="D235" s="1" t="s">
        <v>112</v>
      </c>
      <c r="E235" s="1" t="s">
        <v>19</v>
      </c>
      <c r="F235" s="1"/>
      <c r="G235" s="6" t="s">
        <v>14</v>
      </c>
      <c r="H235" s="7" t="s">
        <v>399</v>
      </c>
      <c r="I235" s="8">
        <v>2.4</v>
      </c>
      <c r="J235" s="1" t="s">
        <v>34</v>
      </c>
    </row>
    <row r="236" spans="1:10" ht="16" x14ac:dyDescent="0.2">
      <c r="A236" s="5">
        <v>45688</v>
      </c>
      <c r="B236" s="1" t="s">
        <v>400</v>
      </c>
      <c r="C236" s="1" t="s">
        <v>401</v>
      </c>
      <c r="D236" s="1" t="s">
        <v>119</v>
      </c>
      <c r="E236" s="1" t="s">
        <v>19</v>
      </c>
      <c r="F236" s="1"/>
      <c r="G236" s="6" t="s">
        <v>23</v>
      </c>
      <c r="H236" s="7">
        <v>45000</v>
      </c>
      <c r="I236" s="8">
        <v>15.4</v>
      </c>
      <c r="J236" s="1" t="s">
        <v>37</v>
      </c>
    </row>
    <row r="237" spans="1:10" ht="16" x14ac:dyDescent="0.2">
      <c r="A237" s="5"/>
      <c r="B237" s="1"/>
      <c r="C237" s="1"/>
      <c r="D237" s="1"/>
      <c r="E237" s="1"/>
      <c r="F237" s="1"/>
      <c r="G237" s="6"/>
      <c r="H237" s="7"/>
      <c r="I237" s="8"/>
      <c r="J237" s="1"/>
    </row>
    <row r="238" spans="1:10" ht="16" x14ac:dyDescent="0.2">
      <c r="A238" s="5"/>
      <c r="B238" s="1"/>
      <c r="C238" s="1"/>
      <c r="D238" s="1"/>
      <c r="E238" s="1"/>
      <c r="F238" s="1"/>
      <c r="G238" s="6"/>
      <c r="H238" s="7"/>
      <c r="I238" s="8"/>
      <c r="J238" s="1"/>
    </row>
    <row r="239" spans="1:10" ht="16" x14ac:dyDescent="0.2">
      <c r="A239" s="5"/>
      <c r="B239" s="1"/>
      <c r="C239" s="1"/>
      <c r="D239" s="1"/>
      <c r="E239" s="1"/>
      <c r="F239" s="1"/>
      <c r="G239" s="6"/>
      <c r="H239" s="7"/>
      <c r="I239" s="8"/>
      <c r="J239" s="1"/>
    </row>
    <row r="240" spans="1:10" ht="16" x14ac:dyDescent="0.2">
      <c r="A240" s="1"/>
      <c r="B240" s="1"/>
      <c r="C240" s="1"/>
      <c r="D240" s="1"/>
      <c r="E240" s="1"/>
      <c r="F240" s="1"/>
      <c r="G240" s="6"/>
      <c r="H240" s="7"/>
      <c r="I240" s="8"/>
      <c r="J240" s="1"/>
    </row>
    <row r="241" spans="1:10" ht="16" x14ac:dyDescent="0.2">
      <c r="A241" s="1"/>
      <c r="B241" s="1"/>
      <c r="C241" s="1"/>
      <c r="D241" s="1"/>
      <c r="E241" s="1"/>
      <c r="F241" s="1"/>
      <c r="G241" s="6"/>
      <c r="H241" s="7"/>
      <c r="I241" s="8"/>
      <c r="J241" s="1"/>
    </row>
    <row r="242" spans="1:10" ht="16" x14ac:dyDescent="0.2">
      <c r="A242" s="1"/>
      <c r="B242" s="1"/>
      <c r="C242" s="1"/>
      <c r="D242" s="1"/>
      <c r="E242" s="1"/>
      <c r="F242" s="1"/>
      <c r="G242" s="6"/>
      <c r="H242" s="7"/>
      <c r="I242" s="8"/>
      <c r="J242" s="1"/>
    </row>
    <row r="243" spans="1:10" ht="16" x14ac:dyDescent="0.2">
      <c r="A243" s="1"/>
      <c r="B243" s="1"/>
      <c r="C243" s="1"/>
      <c r="D243" s="1"/>
      <c r="E243" s="1"/>
      <c r="F243" s="1"/>
      <c r="G243" s="6"/>
      <c r="H243" s="7"/>
      <c r="I243" s="8"/>
      <c r="J243" s="1"/>
    </row>
    <row r="244" spans="1:10" ht="16" x14ac:dyDescent="0.2">
      <c r="A244" s="1"/>
      <c r="B244" s="1"/>
      <c r="C244" s="1"/>
      <c r="D244" s="1"/>
      <c r="E244" s="1"/>
      <c r="F244" s="1"/>
      <c r="G244" s="6"/>
      <c r="H244" s="7"/>
      <c r="I244" s="8"/>
      <c r="J244" s="1"/>
    </row>
    <row r="245" spans="1:10" ht="16" x14ac:dyDescent="0.2">
      <c r="A245" s="1"/>
      <c r="B245" s="1"/>
      <c r="C245" s="1"/>
      <c r="D245" s="1"/>
      <c r="E245" s="1"/>
      <c r="F245" s="1"/>
      <c r="G245" s="6"/>
      <c r="H245" s="7"/>
      <c r="I245" s="8"/>
      <c r="J245" s="1"/>
    </row>
    <row r="246" spans="1:10" ht="16" x14ac:dyDescent="0.2">
      <c r="A246" s="1"/>
      <c r="B246" s="1"/>
      <c r="C246" s="1"/>
      <c r="D246" s="1"/>
      <c r="E246" s="1"/>
      <c r="F246" s="1"/>
      <c r="G246" s="6"/>
      <c r="H246" s="7"/>
      <c r="I246" s="8"/>
      <c r="J246" s="1"/>
    </row>
    <row r="247" spans="1:10" ht="16" x14ac:dyDescent="0.2">
      <c r="A247" s="1"/>
      <c r="B247" s="1"/>
      <c r="C247" s="1"/>
      <c r="D247" s="1"/>
      <c r="E247" s="1"/>
      <c r="F247" s="1"/>
      <c r="G247" s="6"/>
      <c r="H247" s="7"/>
      <c r="I247" s="8"/>
      <c r="J247" s="1"/>
    </row>
    <row r="248" spans="1:10" ht="16" x14ac:dyDescent="0.2">
      <c r="A248" s="1"/>
      <c r="B248" s="1"/>
      <c r="C248" s="1"/>
      <c r="D248" s="1"/>
      <c r="E248" s="1"/>
      <c r="F248" s="1"/>
      <c r="G248" s="6"/>
      <c r="H248" s="7"/>
      <c r="I248" s="8"/>
      <c r="J248" s="1"/>
    </row>
    <row r="249" spans="1:10" ht="16" x14ac:dyDescent="0.2">
      <c r="A249" s="1"/>
      <c r="B249" s="1"/>
      <c r="C249" s="1"/>
      <c r="D249" s="1"/>
      <c r="E249" s="1"/>
      <c r="F249" s="1"/>
      <c r="G249" s="6"/>
      <c r="H249" s="7"/>
      <c r="I249" s="8"/>
      <c r="J249" s="1"/>
    </row>
    <row r="250" spans="1:10" ht="16" x14ac:dyDescent="0.2">
      <c r="A250" s="11"/>
      <c r="B250" s="11"/>
      <c r="C250" s="11"/>
      <c r="D250" s="11"/>
      <c r="E250" s="11"/>
      <c r="F250" s="11"/>
      <c r="G250" s="12"/>
      <c r="H250" s="13"/>
      <c r="I250" s="14"/>
      <c r="J250" s="11"/>
    </row>
    <row r="251" spans="1:10" ht="16" x14ac:dyDescent="0.2">
      <c r="A251" s="11"/>
      <c r="B251" s="11"/>
      <c r="C251" s="11"/>
      <c r="D251" s="11"/>
      <c r="E251" s="11"/>
      <c r="F251" s="11"/>
      <c r="G251" s="12"/>
      <c r="H251" s="13"/>
      <c r="I251" s="14"/>
      <c r="J251" s="11"/>
    </row>
    <row r="252" spans="1:10" ht="16" x14ac:dyDescent="0.2">
      <c r="A252" s="11"/>
      <c r="B252" s="11"/>
      <c r="C252" s="11"/>
      <c r="D252" s="11"/>
      <c r="E252" s="11"/>
      <c r="F252" s="11"/>
      <c r="G252" s="12"/>
      <c r="H252" s="13"/>
      <c r="I252" s="14"/>
      <c r="J252" s="11"/>
    </row>
    <row r="253" spans="1:10" ht="16" x14ac:dyDescent="0.2">
      <c r="A253" s="11"/>
      <c r="B253" s="11"/>
      <c r="C253" s="11"/>
      <c r="D253" s="11"/>
      <c r="E253" s="11"/>
      <c r="F253" s="11"/>
      <c r="G253" s="12"/>
      <c r="H253" s="13"/>
      <c r="I253" s="14"/>
      <c r="J253" s="11"/>
    </row>
    <row r="254" spans="1:10" ht="16" x14ac:dyDescent="0.2">
      <c r="A254" s="11"/>
      <c r="B254" s="11"/>
      <c r="C254" s="11"/>
      <c r="D254" s="11"/>
      <c r="E254" s="11"/>
      <c r="F254" s="11"/>
      <c r="G254" s="12"/>
      <c r="H254" s="13"/>
      <c r="I254" s="14"/>
      <c r="J254" s="11"/>
    </row>
    <row r="255" spans="1:10" ht="16" x14ac:dyDescent="0.2">
      <c r="A255" s="11"/>
      <c r="B255" s="11"/>
      <c r="C255" s="11"/>
      <c r="D255" s="11"/>
      <c r="E255" s="11"/>
      <c r="F255" s="11"/>
      <c r="G255" s="12"/>
      <c r="H255" s="13"/>
      <c r="I255" s="14"/>
      <c r="J255" s="11"/>
    </row>
    <row r="256" spans="1:10" ht="16" x14ac:dyDescent="0.2">
      <c r="A256" s="11"/>
      <c r="B256" s="11"/>
      <c r="C256" s="11"/>
      <c r="D256" s="11"/>
      <c r="E256" s="11"/>
      <c r="F256" s="11"/>
      <c r="G256" s="12"/>
      <c r="H256" s="13"/>
      <c r="I256" s="14"/>
      <c r="J256" s="11"/>
    </row>
    <row r="257" spans="1:10" ht="16" x14ac:dyDescent="0.2">
      <c r="A257" s="11"/>
      <c r="B257" s="11"/>
      <c r="C257" s="11"/>
      <c r="D257" s="11"/>
      <c r="E257" s="11"/>
      <c r="F257" s="11"/>
      <c r="G257" s="12"/>
      <c r="H257" s="13"/>
      <c r="I257" s="14"/>
      <c r="J257" s="11"/>
    </row>
    <row r="258" spans="1:10" ht="16" x14ac:dyDescent="0.2">
      <c r="A258" s="11"/>
      <c r="B258" s="11"/>
      <c r="C258" s="11"/>
      <c r="D258" s="11"/>
      <c r="E258" s="11"/>
      <c r="F258" s="11"/>
      <c r="G258" s="12"/>
      <c r="H258" s="13"/>
      <c r="I258" s="14"/>
      <c r="J258" s="11"/>
    </row>
    <row r="259" spans="1:10" ht="16" x14ac:dyDescent="0.2">
      <c r="A259" s="11"/>
      <c r="B259" s="11"/>
      <c r="C259" s="11"/>
      <c r="D259" s="11"/>
      <c r="E259" s="11"/>
      <c r="F259" s="11"/>
      <c r="G259" s="12"/>
      <c r="H259" s="13"/>
      <c r="I259" s="14"/>
      <c r="J259" s="11"/>
    </row>
    <row r="260" spans="1:10" ht="16" x14ac:dyDescent="0.2">
      <c r="A260" s="11"/>
      <c r="B260" s="11"/>
      <c r="C260" s="11" t="s">
        <v>402</v>
      </c>
      <c r="D260" s="11" t="s">
        <v>403</v>
      </c>
      <c r="E260" s="11" t="s">
        <v>404</v>
      </c>
      <c r="F260" s="11" t="s">
        <v>405</v>
      </c>
      <c r="G260" s="12" t="s">
        <v>406</v>
      </c>
      <c r="H260" s="13" t="s">
        <v>407</v>
      </c>
      <c r="I260" s="14"/>
      <c r="J260" s="11"/>
    </row>
    <row r="261" spans="1:10" ht="16" x14ac:dyDescent="0.2">
      <c r="A261" s="11"/>
      <c r="B261" s="11" t="s">
        <v>408</v>
      </c>
      <c r="C261" s="11">
        <v>34</v>
      </c>
      <c r="D261" s="11">
        <v>2</v>
      </c>
      <c r="E261" s="11">
        <v>3</v>
      </c>
      <c r="F261" s="11">
        <v>2</v>
      </c>
      <c r="G261" s="12">
        <v>2</v>
      </c>
      <c r="H261" s="13">
        <v>9</v>
      </c>
      <c r="I261" s="14"/>
      <c r="J261" s="11"/>
    </row>
    <row r="262" spans="1:10" ht="16" x14ac:dyDescent="0.2">
      <c r="A262" s="11"/>
      <c r="B262" s="11" t="s">
        <v>409</v>
      </c>
      <c r="C262" s="11"/>
      <c r="D262" s="11"/>
      <c r="E262" s="11"/>
      <c r="F262" s="11"/>
      <c r="G262" s="12"/>
      <c r="H262" s="13"/>
      <c r="I262" s="14"/>
      <c r="J262" s="11"/>
    </row>
    <row r="263" spans="1:10" ht="16" x14ac:dyDescent="0.2">
      <c r="A263" s="11"/>
      <c r="B263" s="11" t="s">
        <v>410</v>
      </c>
      <c r="C263" s="11"/>
      <c r="D263" s="11"/>
      <c r="E263" s="11"/>
      <c r="F263" s="11"/>
      <c r="G263" s="12"/>
      <c r="H263" s="13"/>
      <c r="I263" s="14"/>
      <c r="J263" s="11"/>
    </row>
    <row r="264" spans="1:10" ht="16" x14ac:dyDescent="0.2">
      <c r="A264" s="11"/>
      <c r="B264" s="11" t="s">
        <v>168</v>
      </c>
      <c r="C264" s="11"/>
      <c r="D264" s="11"/>
      <c r="E264" s="11"/>
      <c r="F264" s="11"/>
      <c r="G264" s="12"/>
      <c r="H264" s="13"/>
      <c r="I264" s="14"/>
      <c r="J264" s="11"/>
    </row>
    <row r="265" spans="1:10" ht="16" x14ac:dyDescent="0.2">
      <c r="A265" s="11"/>
      <c r="B265" s="11" t="s">
        <v>411</v>
      </c>
      <c r="C265" s="11"/>
      <c r="D265" s="11"/>
      <c r="E265" s="11"/>
      <c r="F265" s="11"/>
      <c r="G265" s="12"/>
      <c r="H265" s="13"/>
      <c r="I265" s="14"/>
      <c r="J265" s="11"/>
    </row>
    <row r="266" spans="1:10" ht="16" x14ac:dyDescent="0.2">
      <c r="A266" s="11"/>
      <c r="B266" s="11" t="s">
        <v>412</v>
      </c>
      <c r="C266" s="11"/>
      <c r="D266" s="11"/>
      <c r="E266" s="11"/>
      <c r="F266" s="11"/>
      <c r="G266" s="12"/>
      <c r="H266" s="13"/>
      <c r="I266" s="14"/>
      <c r="J266" s="11"/>
    </row>
    <row r="267" spans="1:10" ht="16" x14ac:dyDescent="0.2">
      <c r="A267" s="11"/>
      <c r="B267" s="11" t="s">
        <v>413</v>
      </c>
      <c r="C267" s="11"/>
      <c r="D267" s="11"/>
      <c r="E267" s="11"/>
      <c r="F267" s="11"/>
      <c r="G267" s="12"/>
      <c r="H267" s="13"/>
      <c r="I267" s="14"/>
      <c r="J267" s="11"/>
    </row>
    <row r="268" spans="1:10" ht="16" x14ac:dyDescent="0.2">
      <c r="A268" s="11"/>
      <c r="B268" s="11" t="s">
        <v>414</v>
      </c>
      <c r="C268" s="11"/>
      <c r="D268" s="11"/>
      <c r="E268" s="11"/>
      <c r="F268" s="11"/>
      <c r="G268" s="12"/>
      <c r="H268" s="13"/>
      <c r="I268" s="14"/>
      <c r="J268" s="11"/>
    </row>
    <row r="269" spans="1:10" ht="16" x14ac:dyDescent="0.2">
      <c r="A269" s="11"/>
      <c r="B269" s="11" t="s">
        <v>415</v>
      </c>
      <c r="C269" s="11"/>
      <c r="D269" s="11"/>
      <c r="E269" s="11"/>
      <c r="F269" s="11"/>
      <c r="G269" s="12"/>
      <c r="H269" s="13"/>
      <c r="I269" s="14"/>
      <c r="J269" s="11"/>
    </row>
    <row r="270" spans="1:10" ht="16" x14ac:dyDescent="0.2">
      <c r="A270" s="11"/>
      <c r="B270" s="11" t="s">
        <v>416</v>
      </c>
      <c r="C270" s="11"/>
      <c r="D270" s="11"/>
      <c r="E270" s="11"/>
      <c r="F270" s="11"/>
      <c r="G270" s="12"/>
      <c r="H270" s="13"/>
      <c r="I270" s="14"/>
      <c r="J270" s="11"/>
    </row>
    <row r="271" spans="1:10" ht="16" x14ac:dyDescent="0.2">
      <c r="A271" s="11"/>
      <c r="B271" s="11" t="s">
        <v>417</v>
      </c>
      <c r="C271" s="11"/>
      <c r="D271" s="11"/>
      <c r="E271" s="11"/>
      <c r="F271" s="11"/>
      <c r="G271" s="12"/>
      <c r="H271" s="13"/>
      <c r="I271" s="14"/>
      <c r="J271" s="11"/>
    </row>
    <row r="272" spans="1:10" ht="16" x14ac:dyDescent="0.2">
      <c r="A272" s="11"/>
      <c r="B272" s="11" t="s">
        <v>418</v>
      </c>
      <c r="C272" s="11"/>
      <c r="D272" s="11"/>
      <c r="E272" s="11"/>
      <c r="F272" s="11"/>
      <c r="G272" s="12"/>
      <c r="H272" s="13"/>
      <c r="I272" s="14"/>
      <c r="J272" s="11"/>
    </row>
    <row r="273" spans="1:10" ht="16" x14ac:dyDescent="0.2">
      <c r="A273" s="11"/>
      <c r="B273" s="11"/>
      <c r="C273" s="11"/>
      <c r="D273" s="11"/>
      <c r="E273" s="11"/>
      <c r="F273" s="11"/>
      <c r="G273" s="12"/>
      <c r="H273" s="13"/>
      <c r="I273" s="14"/>
      <c r="J273" s="11"/>
    </row>
    <row r="274" spans="1:10" ht="16" x14ac:dyDescent="0.2">
      <c r="A274" s="11"/>
      <c r="B274" s="11"/>
      <c r="C274" s="11"/>
      <c r="D274" s="11"/>
      <c r="E274" s="11"/>
      <c r="F274" s="11"/>
      <c r="G274" s="12"/>
      <c r="H274" s="13"/>
      <c r="I274" s="14"/>
      <c r="J274" s="11"/>
    </row>
    <row r="275" spans="1:10" ht="16" x14ac:dyDescent="0.2">
      <c r="A275" s="11"/>
      <c r="B275" s="11"/>
      <c r="C275" s="11"/>
      <c r="D275" s="11"/>
      <c r="E275" s="11"/>
      <c r="F275" s="11"/>
      <c r="G275" s="12"/>
      <c r="H275" s="13"/>
      <c r="I275" s="14"/>
      <c r="J275" s="11"/>
    </row>
    <row r="276" spans="1:10" ht="16" x14ac:dyDescent="0.2">
      <c r="A276" s="11"/>
      <c r="B276" s="11"/>
      <c r="C276" s="11"/>
      <c r="D276" s="11"/>
      <c r="E276" s="11"/>
      <c r="F276" s="11"/>
      <c r="G276" s="12"/>
      <c r="H276" s="13"/>
      <c r="I276" s="14"/>
      <c r="J276" s="11"/>
    </row>
    <row r="277" spans="1:10" ht="16" x14ac:dyDescent="0.2">
      <c r="A277" s="11"/>
      <c r="B277" s="11"/>
      <c r="C277" s="11"/>
      <c r="D277" s="11"/>
      <c r="E277" s="11"/>
      <c r="F277" s="11"/>
      <c r="G277" s="12"/>
      <c r="H277" s="13"/>
      <c r="I277" s="14"/>
      <c r="J277" s="11"/>
    </row>
    <row r="278" spans="1:10" ht="16" x14ac:dyDescent="0.2">
      <c r="A278" s="11"/>
      <c r="B278" s="11"/>
      <c r="C278" s="11"/>
      <c r="D278" s="11"/>
      <c r="E278" s="11"/>
      <c r="F278" s="11"/>
      <c r="G278" s="12"/>
      <c r="H278" s="13"/>
      <c r="I278" s="14"/>
      <c r="J278" s="11"/>
    </row>
    <row r="279" spans="1:10" ht="16" x14ac:dyDescent="0.2">
      <c r="A279" s="11"/>
      <c r="B279" s="11"/>
      <c r="C279" s="11"/>
      <c r="D279" s="11"/>
      <c r="E279" s="11"/>
      <c r="F279" s="11"/>
      <c r="G279" s="12"/>
      <c r="H279" s="13"/>
      <c r="I279" s="14"/>
      <c r="J279" s="11"/>
    </row>
    <row r="280" spans="1:10" ht="16" x14ac:dyDescent="0.2">
      <c r="A280" s="11"/>
      <c r="B280" s="11"/>
      <c r="C280" s="11"/>
      <c r="D280" s="11"/>
      <c r="E280" s="11"/>
      <c r="F280" s="11"/>
      <c r="G280" s="12"/>
      <c r="H280" s="13"/>
      <c r="I280" s="14"/>
      <c r="J280" s="11"/>
    </row>
    <row r="281" spans="1:10" ht="16" x14ac:dyDescent="0.2">
      <c r="A281" s="11"/>
      <c r="B281" s="11"/>
      <c r="C281" s="11"/>
      <c r="D281" s="11"/>
      <c r="E281" s="11"/>
      <c r="F281" s="11"/>
      <c r="G281" s="12"/>
      <c r="H281" s="13"/>
      <c r="I281" s="14"/>
      <c r="J281" s="11"/>
    </row>
    <row r="282" spans="1:10" ht="16" x14ac:dyDescent="0.2">
      <c r="A282" s="11"/>
      <c r="B282" s="11"/>
      <c r="C282" s="11"/>
      <c r="D282" s="11"/>
      <c r="E282" s="11"/>
      <c r="F282" s="11"/>
      <c r="G282" s="12"/>
      <c r="H282" s="13"/>
      <c r="I282" s="14"/>
      <c r="J282" s="11"/>
    </row>
    <row r="283" spans="1:10" ht="16" x14ac:dyDescent="0.2">
      <c r="A283" s="11"/>
      <c r="B283" s="11"/>
      <c r="C283" s="11"/>
      <c r="D283" s="11"/>
      <c r="E283" s="11"/>
      <c r="F283" s="11"/>
      <c r="G283" s="12"/>
      <c r="H283" s="13"/>
      <c r="I283" s="14"/>
      <c r="J283" s="11"/>
    </row>
    <row r="284" spans="1:10" ht="16" x14ac:dyDescent="0.2">
      <c r="A284" s="11"/>
      <c r="B284" s="11"/>
      <c r="C284" s="11"/>
      <c r="D284" s="11"/>
      <c r="E284" s="11"/>
      <c r="F284" s="11"/>
      <c r="G284" s="12"/>
      <c r="H284" s="13"/>
      <c r="I284" s="14"/>
      <c r="J284" s="11"/>
    </row>
    <row r="285" spans="1:10" ht="16" x14ac:dyDescent="0.2">
      <c r="A285" s="11"/>
      <c r="B285" s="11"/>
      <c r="C285" s="11"/>
      <c r="D285" s="11"/>
      <c r="E285" s="11"/>
      <c r="F285" s="11"/>
      <c r="G285" s="12"/>
      <c r="H285" s="13"/>
      <c r="I285" s="14"/>
      <c r="J285" s="11"/>
    </row>
    <row r="286" spans="1:10" ht="16" x14ac:dyDescent="0.2">
      <c r="A286" s="11"/>
      <c r="B286" s="11"/>
      <c r="C286" s="11"/>
      <c r="D286" s="11"/>
      <c r="E286" s="11"/>
      <c r="F286" s="11"/>
      <c r="G286" s="12"/>
      <c r="H286" s="13"/>
      <c r="I286" s="14"/>
      <c r="J286" s="11"/>
    </row>
    <row r="287" spans="1:10" ht="16" x14ac:dyDescent="0.2">
      <c r="A287" s="11"/>
      <c r="B287" s="11"/>
      <c r="C287" s="11"/>
      <c r="D287" s="11"/>
      <c r="E287" s="11"/>
      <c r="F287" s="11"/>
      <c r="G287" s="12"/>
      <c r="H287" s="13"/>
      <c r="I287" s="14"/>
      <c r="J287" s="11"/>
    </row>
    <row r="288" spans="1:10" ht="16" x14ac:dyDescent="0.2">
      <c r="A288" s="11"/>
      <c r="B288" s="11"/>
      <c r="C288" s="11"/>
      <c r="D288" s="11"/>
      <c r="E288" s="11"/>
      <c r="F288" s="11"/>
      <c r="G288" s="12"/>
      <c r="H288" s="13"/>
      <c r="I288" s="14"/>
      <c r="J288" s="11"/>
    </row>
    <row r="289" spans="1:10" ht="16" x14ac:dyDescent="0.2">
      <c r="A289" s="11"/>
      <c r="B289" s="11"/>
      <c r="C289" s="11"/>
      <c r="D289" s="11"/>
      <c r="E289" s="11"/>
      <c r="F289" s="11"/>
      <c r="G289" s="12"/>
      <c r="H289" s="13"/>
      <c r="I289" s="14"/>
      <c r="J289" s="11"/>
    </row>
    <row r="290" spans="1:10" ht="16" x14ac:dyDescent="0.2">
      <c r="A290" s="11"/>
      <c r="B290" s="11"/>
      <c r="C290" s="11"/>
      <c r="D290" s="11"/>
      <c r="E290" s="11"/>
      <c r="F290" s="11"/>
      <c r="G290" s="12"/>
      <c r="H290" s="13"/>
      <c r="I290" s="14"/>
      <c r="J290" s="11"/>
    </row>
    <row r="291" spans="1:10" ht="16" x14ac:dyDescent="0.2">
      <c r="A291" s="11"/>
      <c r="B291" s="11"/>
      <c r="C291" s="11"/>
      <c r="D291" s="11"/>
      <c r="E291" s="11"/>
      <c r="F291" s="11"/>
      <c r="G291" s="12"/>
      <c r="H291" s="13"/>
      <c r="I291" s="14"/>
      <c r="J291" s="11"/>
    </row>
    <row r="292" spans="1:10" ht="16" x14ac:dyDescent="0.2">
      <c r="A292" s="11"/>
      <c r="B292" s="11"/>
      <c r="C292" s="11"/>
      <c r="D292" s="11"/>
      <c r="E292" s="11"/>
      <c r="F292" s="11"/>
      <c r="G292" s="12"/>
      <c r="H292" s="13"/>
      <c r="I292" s="14"/>
      <c r="J292" s="11"/>
    </row>
    <row r="293" spans="1:10" ht="16" x14ac:dyDescent="0.2">
      <c r="A293" s="11"/>
      <c r="B293" s="11"/>
      <c r="C293" s="11"/>
      <c r="D293" s="11"/>
      <c r="E293" s="11"/>
      <c r="F293" s="11"/>
      <c r="G293" s="12"/>
      <c r="H293" s="13"/>
      <c r="I293" s="14"/>
      <c r="J293" s="11"/>
    </row>
    <row r="294" spans="1:10" ht="16" x14ac:dyDescent="0.2">
      <c r="A294" s="11"/>
      <c r="B294" s="11"/>
      <c r="C294" s="11"/>
      <c r="D294" s="11"/>
      <c r="E294" s="11"/>
      <c r="F294" s="11"/>
      <c r="G294" s="12"/>
      <c r="H294" s="13"/>
      <c r="I294" s="14"/>
      <c r="J294" s="11"/>
    </row>
    <row r="295" spans="1:10" ht="16" x14ac:dyDescent="0.2">
      <c r="A295" s="11"/>
      <c r="B295" s="11"/>
      <c r="C295" s="11"/>
      <c r="D295" s="11"/>
      <c r="E295" s="11"/>
      <c r="F295" s="11"/>
      <c r="G295" s="12"/>
      <c r="H295" s="13"/>
      <c r="I295" s="14"/>
      <c r="J295" s="11"/>
    </row>
    <row r="296" spans="1:10" ht="16" x14ac:dyDescent="0.2">
      <c r="A296" s="11"/>
      <c r="B296" s="11"/>
      <c r="C296" s="11"/>
      <c r="D296" s="11"/>
      <c r="E296" s="11"/>
      <c r="F296" s="11"/>
      <c r="G296" s="12"/>
      <c r="H296" s="13"/>
      <c r="I296" s="14"/>
      <c r="J296" s="11"/>
    </row>
    <row r="297" spans="1:10" ht="16" x14ac:dyDescent="0.2">
      <c r="A297" s="11"/>
      <c r="B297" s="11"/>
      <c r="C297" s="11"/>
      <c r="D297" s="11"/>
      <c r="E297" s="11"/>
      <c r="F297" s="11"/>
      <c r="G297" s="12"/>
      <c r="H297" s="13"/>
      <c r="I297" s="14"/>
      <c r="J297" s="11"/>
    </row>
    <row r="298" spans="1:10" ht="16" x14ac:dyDescent="0.2">
      <c r="A298" s="11"/>
      <c r="B298" s="11"/>
      <c r="C298" s="11"/>
      <c r="D298" s="11"/>
      <c r="E298" s="11"/>
      <c r="F298" s="11"/>
      <c r="G298" s="12"/>
      <c r="H298" s="13"/>
      <c r="I298" s="14"/>
      <c r="J298" s="11"/>
    </row>
    <row r="299" spans="1:10" ht="16" x14ac:dyDescent="0.2">
      <c r="A299" s="11"/>
      <c r="B299" s="11"/>
      <c r="C299" s="11"/>
      <c r="D299" s="11"/>
      <c r="E299" s="11"/>
      <c r="F299" s="11"/>
      <c r="G299" s="12"/>
      <c r="H299" s="13"/>
      <c r="I299" s="14"/>
      <c r="J299" s="11"/>
    </row>
    <row r="300" spans="1:10" ht="16" x14ac:dyDescent="0.2">
      <c r="A300" s="11"/>
      <c r="B300" s="11"/>
      <c r="C300" s="11"/>
      <c r="D300" s="11"/>
      <c r="E300" s="11"/>
      <c r="F300" s="11"/>
      <c r="G300" s="12"/>
      <c r="H300" s="13"/>
      <c r="I300" s="14"/>
      <c r="J300" s="11"/>
    </row>
    <row r="301" spans="1:10" ht="16" x14ac:dyDescent="0.2">
      <c r="A301" s="11"/>
      <c r="B301" s="11"/>
      <c r="C301" s="11"/>
      <c r="D301" s="11"/>
      <c r="E301" s="11"/>
      <c r="F301" s="11"/>
      <c r="G301" s="12"/>
      <c r="H301" s="13"/>
      <c r="I301" s="14"/>
      <c r="J301" s="11"/>
    </row>
    <row r="302" spans="1:10" ht="16" x14ac:dyDescent="0.2">
      <c r="A302" s="11"/>
      <c r="B302" s="11"/>
      <c r="C302" s="11"/>
      <c r="D302" s="11"/>
      <c r="E302" s="11"/>
      <c r="F302" s="11"/>
      <c r="G302" s="12"/>
      <c r="H302" s="13"/>
      <c r="I302" s="14"/>
      <c r="J302" s="11"/>
    </row>
    <row r="303" spans="1:10" ht="16" x14ac:dyDescent="0.2">
      <c r="A303" s="11"/>
      <c r="B303" s="11"/>
      <c r="C303" s="11"/>
      <c r="D303" s="11"/>
      <c r="E303" s="11"/>
      <c r="F303" s="11"/>
      <c r="G303" s="12"/>
      <c r="H303" s="13"/>
      <c r="I303" s="14"/>
      <c r="J303" s="11"/>
    </row>
    <row r="304" spans="1:10" ht="16" x14ac:dyDescent="0.2">
      <c r="A304" s="11"/>
      <c r="B304" s="11"/>
      <c r="C304" s="11"/>
      <c r="D304" s="11"/>
      <c r="E304" s="11"/>
      <c r="F304" s="11"/>
      <c r="G304" s="12"/>
      <c r="H304" s="13"/>
      <c r="I304" s="14"/>
      <c r="J304" s="11"/>
    </row>
    <row r="305" spans="1:10" ht="16" x14ac:dyDescent="0.2">
      <c r="A305" s="11"/>
      <c r="B305" s="11"/>
      <c r="C305" s="11"/>
      <c r="D305" s="11"/>
      <c r="E305" s="11"/>
      <c r="F305" s="11"/>
      <c r="G305" s="12"/>
      <c r="H305" s="13"/>
      <c r="I305" s="14"/>
      <c r="J305" s="11"/>
    </row>
    <row r="306" spans="1:10" ht="16" x14ac:dyDescent="0.2">
      <c r="A306" s="11"/>
      <c r="B306" s="11"/>
      <c r="C306" s="11"/>
      <c r="D306" s="11"/>
      <c r="E306" s="11"/>
      <c r="F306" s="11"/>
      <c r="G306" s="12"/>
      <c r="H306" s="13"/>
      <c r="I306" s="14"/>
      <c r="J306" s="11"/>
    </row>
    <row r="307" spans="1:10" ht="16" x14ac:dyDescent="0.2">
      <c r="A307" s="11"/>
      <c r="B307" s="11"/>
      <c r="C307" s="11"/>
      <c r="D307" s="11"/>
      <c r="E307" s="11"/>
      <c r="F307" s="11"/>
      <c r="G307" s="12"/>
      <c r="H307" s="13"/>
      <c r="I307" s="14"/>
      <c r="J307" s="11"/>
    </row>
    <row r="308" spans="1:10" ht="16" x14ac:dyDescent="0.2">
      <c r="A308" s="11"/>
      <c r="B308" s="11"/>
      <c r="C308" s="11"/>
      <c r="D308" s="11"/>
      <c r="E308" s="11"/>
      <c r="F308" s="11"/>
      <c r="G308" s="12"/>
      <c r="H308" s="13"/>
      <c r="I308" s="14"/>
      <c r="J308" s="11"/>
    </row>
    <row r="309" spans="1:10" ht="16" x14ac:dyDescent="0.2">
      <c r="A309" s="11"/>
      <c r="B309" s="11"/>
      <c r="C309" s="11"/>
      <c r="D309" s="11"/>
      <c r="E309" s="11"/>
      <c r="F309" s="11"/>
      <c r="G309" s="12"/>
      <c r="H309" s="13"/>
      <c r="I309" s="14"/>
      <c r="J309" s="11"/>
    </row>
    <row r="310" spans="1:10" ht="16" x14ac:dyDescent="0.2">
      <c r="A310" s="11"/>
      <c r="B310" s="11"/>
      <c r="C310" s="11"/>
      <c r="D310" s="11"/>
      <c r="E310" s="11"/>
      <c r="F310" s="11"/>
      <c r="G310" s="12"/>
      <c r="H310" s="13"/>
      <c r="I310" s="14"/>
      <c r="J310" s="11"/>
    </row>
    <row r="311" spans="1:10" ht="16" x14ac:dyDescent="0.2">
      <c r="A311" s="11"/>
      <c r="B311" s="11"/>
      <c r="C311" s="11"/>
      <c r="D311" s="11"/>
      <c r="E311" s="11"/>
      <c r="F311" s="11"/>
      <c r="G311" s="12"/>
      <c r="H311" s="13"/>
      <c r="I311" s="14"/>
      <c r="J311" s="11"/>
    </row>
    <row r="312" spans="1:10" ht="16" x14ac:dyDescent="0.2">
      <c r="A312" s="11"/>
      <c r="B312" s="11"/>
      <c r="C312" s="11"/>
      <c r="D312" s="11"/>
      <c r="E312" s="11"/>
      <c r="F312" s="11"/>
      <c r="G312" s="12"/>
      <c r="H312" s="13"/>
      <c r="I312" s="14"/>
      <c r="J312" s="11"/>
    </row>
    <row r="313" spans="1:10" ht="16" x14ac:dyDescent="0.2">
      <c r="A313" s="11"/>
      <c r="B313" s="11"/>
      <c r="C313" s="11"/>
      <c r="D313" s="11"/>
      <c r="E313" s="11"/>
      <c r="F313" s="11"/>
      <c r="G313" s="12"/>
      <c r="H313" s="13"/>
      <c r="I313" s="14"/>
      <c r="J313" s="11"/>
    </row>
    <row r="314" spans="1:10" ht="16" x14ac:dyDescent="0.2">
      <c r="A314" s="11"/>
      <c r="B314" s="11"/>
      <c r="C314" s="11"/>
      <c r="D314" s="11"/>
      <c r="E314" s="11"/>
      <c r="F314" s="11"/>
      <c r="G314" s="12"/>
      <c r="H314" s="13"/>
      <c r="I314" s="14"/>
      <c r="J314" s="11"/>
    </row>
    <row r="315" spans="1:10" ht="16" x14ac:dyDescent="0.2">
      <c r="A315" s="11"/>
      <c r="B315" s="11"/>
      <c r="C315" s="11"/>
      <c r="D315" s="11"/>
      <c r="E315" s="11"/>
      <c r="F315" s="11"/>
      <c r="G315" s="12"/>
      <c r="H315" s="13"/>
      <c r="I315" s="14"/>
      <c r="J315" s="11"/>
    </row>
    <row r="316" spans="1:10" ht="16" x14ac:dyDescent="0.2">
      <c r="A316" s="11"/>
      <c r="B316" s="11"/>
      <c r="C316" s="11"/>
      <c r="D316" s="11"/>
      <c r="E316" s="11"/>
      <c r="F316" s="11"/>
      <c r="G316" s="12"/>
      <c r="H316" s="13"/>
      <c r="I316" s="14"/>
      <c r="J316" s="11"/>
    </row>
    <row r="317" spans="1:10" ht="16" x14ac:dyDescent="0.2">
      <c r="A317" s="11"/>
      <c r="B317" s="11"/>
      <c r="C317" s="11"/>
      <c r="D317" s="11"/>
      <c r="E317" s="11"/>
      <c r="F317" s="11"/>
      <c r="G317" s="12"/>
      <c r="H317" s="13"/>
      <c r="I317" s="14"/>
      <c r="J317" s="11"/>
    </row>
    <row r="318" spans="1:10" ht="16" x14ac:dyDescent="0.2">
      <c r="A318" s="11"/>
      <c r="B318" s="11"/>
      <c r="C318" s="11"/>
      <c r="D318" s="11"/>
      <c r="E318" s="11"/>
      <c r="F318" s="11"/>
      <c r="G318" s="12"/>
      <c r="H318" s="13"/>
      <c r="I318" s="14"/>
      <c r="J318" s="11"/>
    </row>
    <row r="319" spans="1:10" ht="16" x14ac:dyDescent="0.2">
      <c r="A319" s="11"/>
      <c r="B319" s="11"/>
      <c r="C319" s="11"/>
      <c r="D319" s="11"/>
      <c r="E319" s="11"/>
      <c r="F319" s="11"/>
      <c r="G319" s="12"/>
      <c r="H319" s="13"/>
      <c r="I319" s="14"/>
      <c r="J319" s="11"/>
    </row>
    <row r="320" spans="1:10" ht="16" x14ac:dyDescent="0.2">
      <c r="A320" s="11"/>
      <c r="B320" s="11"/>
      <c r="C320" s="11"/>
      <c r="D320" s="11"/>
      <c r="E320" s="11"/>
      <c r="F320" s="11"/>
      <c r="G320" s="12"/>
      <c r="H320" s="13"/>
      <c r="I320" s="14"/>
      <c r="J320" s="11"/>
    </row>
    <row r="321" spans="1:10" ht="16" x14ac:dyDescent="0.2">
      <c r="A321" s="11"/>
      <c r="B321" s="11"/>
      <c r="C321" s="11"/>
      <c r="D321" s="11"/>
      <c r="E321" s="11"/>
      <c r="F321" s="11"/>
      <c r="G321" s="12"/>
      <c r="H321" s="13"/>
      <c r="I321" s="14"/>
      <c r="J321" s="11"/>
    </row>
    <row r="322" spans="1:10" ht="16" x14ac:dyDescent="0.2">
      <c r="A322" s="11"/>
      <c r="B322" s="11"/>
      <c r="C322" s="11"/>
      <c r="D322" s="11"/>
      <c r="E322" s="11"/>
      <c r="F322" s="11"/>
      <c r="G322" s="12"/>
      <c r="H322" s="13"/>
      <c r="I322" s="14"/>
      <c r="J322" s="11"/>
    </row>
    <row r="323" spans="1:10" ht="16" x14ac:dyDescent="0.2">
      <c r="A323" s="11"/>
      <c r="B323" s="11"/>
      <c r="C323" s="11"/>
      <c r="D323" s="11"/>
      <c r="E323" s="11"/>
      <c r="F323" s="11"/>
      <c r="G323" s="12"/>
      <c r="H323" s="13"/>
      <c r="I323" s="14"/>
      <c r="J323" s="11"/>
    </row>
    <row r="324" spans="1:10" ht="16" x14ac:dyDescent="0.2">
      <c r="A324" s="11"/>
      <c r="B324" s="11"/>
      <c r="C324" s="11"/>
      <c r="D324" s="11"/>
      <c r="E324" s="11"/>
      <c r="F324" s="11"/>
      <c r="G324" s="12"/>
      <c r="H324" s="13"/>
      <c r="I324" s="14"/>
      <c r="J324" s="11"/>
    </row>
    <row r="325" spans="1:10" ht="16" x14ac:dyDescent="0.2">
      <c r="A325" s="11"/>
      <c r="B325" s="11"/>
      <c r="C325" s="11"/>
      <c r="D325" s="11"/>
      <c r="E325" s="11"/>
      <c r="F325" s="11"/>
      <c r="G325" s="12"/>
      <c r="H325" s="13"/>
      <c r="I325" s="14"/>
      <c r="J325" s="11"/>
    </row>
    <row r="326" spans="1:10" ht="16" x14ac:dyDescent="0.2">
      <c r="A326" s="11"/>
      <c r="B326" s="11"/>
      <c r="C326" s="11"/>
      <c r="D326" s="11"/>
      <c r="E326" s="11"/>
      <c r="F326" s="11"/>
      <c r="G326" s="12"/>
      <c r="H326" s="13"/>
      <c r="I326" s="14"/>
      <c r="J326" s="11"/>
    </row>
    <row r="327" spans="1:10" ht="16" x14ac:dyDescent="0.2">
      <c r="A327" s="11"/>
      <c r="B327" s="11"/>
      <c r="C327" s="11"/>
      <c r="D327" s="11"/>
      <c r="E327" s="11"/>
      <c r="F327" s="11"/>
      <c r="G327" s="12"/>
      <c r="H327" s="13"/>
      <c r="I327" s="14"/>
      <c r="J327" s="11"/>
    </row>
    <row r="328" spans="1:10" ht="16" x14ac:dyDescent="0.2">
      <c r="A328" s="11"/>
      <c r="B328" s="11"/>
      <c r="C328" s="11"/>
      <c r="D328" s="11"/>
      <c r="E328" s="11"/>
      <c r="F328" s="11"/>
      <c r="G328" s="12"/>
      <c r="H328" s="13"/>
      <c r="I328" s="14"/>
      <c r="J328" s="11"/>
    </row>
    <row r="329" spans="1:10" ht="16" x14ac:dyDescent="0.2">
      <c r="A329" s="11"/>
      <c r="B329" s="11"/>
      <c r="C329" s="11"/>
      <c r="D329" s="11"/>
      <c r="E329" s="11"/>
      <c r="F329" s="11"/>
      <c r="G329" s="12"/>
      <c r="H329" s="13"/>
      <c r="I329" s="14"/>
      <c r="J329" s="11"/>
    </row>
    <row r="330" spans="1:10" ht="16" x14ac:dyDescent="0.2">
      <c r="A330" s="11"/>
      <c r="B330" s="11"/>
      <c r="C330" s="11"/>
      <c r="D330" s="11"/>
      <c r="E330" s="11"/>
      <c r="F330" s="11"/>
      <c r="G330" s="12"/>
      <c r="H330" s="13"/>
      <c r="I330" s="14"/>
      <c r="J330" s="11"/>
    </row>
    <row r="331" spans="1:10" ht="16" x14ac:dyDescent="0.2">
      <c r="A331" s="11"/>
      <c r="B331" s="11"/>
      <c r="C331" s="11"/>
      <c r="D331" s="11"/>
      <c r="E331" s="11"/>
      <c r="F331" s="11"/>
      <c r="G331" s="12"/>
      <c r="H331" s="13"/>
      <c r="I331" s="14"/>
      <c r="J331" s="11"/>
    </row>
    <row r="332" spans="1:10" ht="16" x14ac:dyDescent="0.2">
      <c r="A332" s="11"/>
      <c r="B332" s="11"/>
      <c r="C332" s="11"/>
      <c r="D332" s="11"/>
      <c r="E332" s="11"/>
      <c r="F332" s="11"/>
      <c r="G332" s="12"/>
      <c r="H332" s="13"/>
      <c r="I332" s="14"/>
      <c r="J332" s="11"/>
    </row>
    <row r="333" spans="1:10" ht="16" x14ac:dyDescent="0.2">
      <c r="A333" s="11"/>
      <c r="B333" s="11"/>
      <c r="C333" s="11"/>
      <c r="D333" s="11"/>
      <c r="E333" s="11"/>
      <c r="F333" s="11"/>
      <c r="G333" s="12"/>
      <c r="H333" s="13"/>
      <c r="I333" s="14"/>
      <c r="J333" s="11"/>
    </row>
    <row r="334" spans="1:10" ht="16" x14ac:dyDescent="0.2">
      <c r="A334" s="11"/>
      <c r="B334" s="11"/>
      <c r="C334" s="11"/>
      <c r="D334" s="11"/>
      <c r="E334" s="11"/>
      <c r="F334" s="11"/>
      <c r="G334" s="12"/>
      <c r="H334" s="13"/>
      <c r="I334" s="14"/>
      <c r="J334" s="11"/>
    </row>
    <row r="335" spans="1:10" ht="16" x14ac:dyDescent="0.2">
      <c r="A335" s="11"/>
      <c r="B335" s="11"/>
      <c r="C335" s="11"/>
      <c r="D335" s="11"/>
      <c r="E335" s="11"/>
      <c r="F335" s="11"/>
      <c r="G335" s="12"/>
      <c r="H335" s="13"/>
      <c r="I335" s="14"/>
      <c r="J335" s="11"/>
    </row>
    <row r="336" spans="1:10" ht="16" x14ac:dyDescent="0.2">
      <c r="A336" s="11"/>
      <c r="B336" s="11"/>
      <c r="C336" s="11"/>
      <c r="D336" s="11"/>
      <c r="E336" s="11"/>
      <c r="F336" s="11"/>
      <c r="G336" s="12"/>
      <c r="H336" s="13"/>
      <c r="I336" s="14"/>
      <c r="J336" s="11"/>
    </row>
    <row r="337" spans="1:10" ht="16" x14ac:dyDescent="0.2">
      <c r="A337" s="11"/>
      <c r="B337" s="11"/>
      <c r="C337" s="11"/>
      <c r="D337" s="11"/>
      <c r="E337" s="11"/>
      <c r="F337" s="11"/>
      <c r="G337" s="12"/>
      <c r="H337" s="13"/>
      <c r="I337" s="14"/>
      <c r="J337" s="11"/>
    </row>
    <row r="338" spans="1:10" ht="16" x14ac:dyDescent="0.2">
      <c r="A338" s="11"/>
      <c r="B338" s="11"/>
      <c r="C338" s="11"/>
      <c r="D338" s="11"/>
      <c r="E338" s="11"/>
      <c r="F338" s="11"/>
      <c r="G338" s="12"/>
      <c r="H338" s="13"/>
      <c r="I338" s="14"/>
      <c r="J338" s="11"/>
    </row>
    <row r="339" spans="1:10" ht="16" x14ac:dyDescent="0.2">
      <c r="A339" s="11"/>
      <c r="B339" s="11"/>
      <c r="C339" s="11"/>
      <c r="D339" s="11"/>
      <c r="E339" s="11"/>
      <c r="F339" s="11"/>
      <c r="G339" s="12"/>
      <c r="H339" s="13"/>
      <c r="I339" s="14"/>
      <c r="J339" s="11"/>
    </row>
    <row r="340" spans="1:10" ht="16" x14ac:dyDescent="0.2">
      <c r="A340" s="11"/>
      <c r="B340" s="11"/>
      <c r="C340" s="11"/>
      <c r="D340" s="11"/>
      <c r="E340" s="11"/>
      <c r="F340" s="11"/>
      <c r="G340" s="12"/>
      <c r="H340" s="13"/>
      <c r="I340" s="14"/>
      <c r="J340" s="11"/>
    </row>
    <row r="341" spans="1:10" ht="16" x14ac:dyDescent="0.2">
      <c r="A341" s="11"/>
      <c r="B341" s="11"/>
      <c r="C341" s="11"/>
      <c r="D341" s="11"/>
      <c r="E341" s="11"/>
      <c r="F341" s="11"/>
      <c r="G341" s="12"/>
      <c r="H341" s="13"/>
      <c r="I341" s="14"/>
      <c r="J341" s="11"/>
    </row>
    <row r="342" spans="1:10" ht="16" x14ac:dyDescent="0.2">
      <c r="A342" s="11"/>
      <c r="B342" s="11"/>
      <c r="C342" s="11"/>
      <c r="D342" s="11"/>
      <c r="E342" s="11"/>
      <c r="F342" s="11"/>
      <c r="G342" s="12"/>
      <c r="H342" s="13"/>
      <c r="I342" s="14"/>
      <c r="J342" s="11"/>
    </row>
    <row r="343" spans="1:10" ht="16" x14ac:dyDescent="0.2">
      <c r="A343" s="11"/>
      <c r="B343" s="11"/>
      <c r="C343" s="11"/>
      <c r="D343" s="11"/>
      <c r="E343" s="11"/>
      <c r="F343" s="11"/>
      <c r="G343" s="12"/>
      <c r="H343" s="13"/>
      <c r="I343" s="14"/>
      <c r="J343" s="11"/>
    </row>
    <row r="344" spans="1:10" ht="16" x14ac:dyDescent="0.2">
      <c r="A344" s="11"/>
      <c r="B344" s="11"/>
      <c r="C344" s="11"/>
      <c r="D344" s="11"/>
      <c r="E344" s="11"/>
      <c r="F344" s="11"/>
      <c r="G344" s="12"/>
      <c r="H344" s="13"/>
      <c r="I344" s="14"/>
      <c r="J344" s="11"/>
    </row>
    <row r="345" spans="1:10" ht="16" x14ac:dyDescent="0.2">
      <c r="A345" s="11"/>
      <c r="B345" s="11"/>
      <c r="C345" s="11"/>
      <c r="D345" s="11"/>
      <c r="E345" s="11"/>
      <c r="F345" s="11"/>
      <c r="G345" s="12"/>
      <c r="H345" s="13"/>
      <c r="I345" s="14"/>
      <c r="J345" s="11"/>
    </row>
    <row r="346" spans="1:10" ht="16" x14ac:dyDescent="0.2">
      <c r="A346" s="11"/>
      <c r="B346" s="11"/>
      <c r="C346" s="11"/>
      <c r="D346" s="11"/>
      <c r="E346" s="11"/>
      <c r="F346" s="11"/>
      <c r="G346" s="12"/>
      <c r="H346" s="13"/>
      <c r="I346" s="14"/>
      <c r="J346" s="11"/>
    </row>
    <row r="347" spans="1:10" ht="16" x14ac:dyDescent="0.2">
      <c r="A347" s="11"/>
      <c r="B347" s="11"/>
      <c r="C347" s="11"/>
      <c r="D347" s="11"/>
      <c r="E347" s="11"/>
      <c r="F347" s="11"/>
      <c r="G347" s="12"/>
      <c r="H347" s="13"/>
      <c r="I347" s="14"/>
      <c r="J347" s="11"/>
    </row>
    <row r="348" spans="1:10" ht="16" x14ac:dyDescent="0.2">
      <c r="A348" s="11"/>
      <c r="B348" s="11"/>
      <c r="C348" s="11"/>
      <c r="D348" s="11"/>
      <c r="E348" s="11"/>
      <c r="F348" s="11"/>
      <c r="G348" s="12"/>
      <c r="H348" s="13"/>
      <c r="I348" s="14"/>
      <c r="J348" s="11"/>
    </row>
    <row r="349" spans="1:10" ht="16" x14ac:dyDescent="0.2">
      <c r="A349" s="11"/>
      <c r="B349" s="11"/>
      <c r="C349" s="11"/>
      <c r="D349" s="11"/>
      <c r="E349" s="11"/>
      <c r="F349" s="11"/>
      <c r="G349" s="12"/>
      <c r="H349" s="13"/>
      <c r="I349" s="14"/>
      <c r="J349" s="11"/>
    </row>
    <row r="350" spans="1:10" ht="16" x14ac:dyDescent="0.2">
      <c r="A350" s="11"/>
      <c r="B350" s="11"/>
      <c r="C350" s="11"/>
      <c r="D350" s="11"/>
      <c r="E350" s="11"/>
      <c r="F350" s="11"/>
      <c r="G350" s="12"/>
      <c r="H350" s="13"/>
      <c r="I350" s="14"/>
      <c r="J350" s="11"/>
    </row>
    <row r="351" spans="1:10" ht="16" x14ac:dyDescent="0.2">
      <c r="A351" s="11"/>
      <c r="B351" s="11"/>
      <c r="C351" s="11"/>
      <c r="D351" s="11"/>
      <c r="E351" s="11"/>
      <c r="F351" s="11"/>
      <c r="G351" s="12"/>
      <c r="H351" s="13"/>
      <c r="I351" s="14"/>
      <c r="J351" s="11"/>
    </row>
    <row r="352" spans="1:10" ht="16" x14ac:dyDescent="0.2">
      <c r="A352" s="11"/>
      <c r="B352" s="11"/>
      <c r="C352" s="11"/>
      <c r="D352" s="11"/>
      <c r="E352" s="11"/>
      <c r="F352" s="11"/>
      <c r="G352" s="12"/>
      <c r="H352" s="13"/>
      <c r="I352" s="14"/>
      <c r="J352" s="11"/>
    </row>
    <row r="353" spans="1:10" ht="16" x14ac:dyDescent="0.2">
      <c r="A353" s="11"/>
      <c r="B353" s="11"/>
      <c r="C353" s="11"/>
      <c r="D353" s="11"/>
      <c r="E353" s="11"/>
      <c r="F353" s="11"/>
      <c r="G353" s="12"/>
      <c r="H353" s="13"/>
      <c r="I353" s="14"/>
      <c r="J353" s="11"/>
    </row>
    <row r="354" spans="1:10" ht="16" x14ac:dyDescent="0.2">
      <c r="A354" s="11"/>
      <c r="B354" s="11"/>
      <c r="C354" s="11"/>
      <c r="D354" s="11"/>
      <c r="E354" s="11"/>
      <c r="F354" s="11"/>
      <c r="G354" s="12"/>
      <c r="H354" s="13"/>
      <c r="I354" s="14"/>
      <c r="J354" s="11"/>
    </row>
    <row r="355" spans="1:10" ht="16" x14ac:dyDescent="0.2">
      <c r="A355" s="11"/>
      <c r="B355" s="11"/>
      <c r="C355" s="11"/>
      <c r="D355" s="11"/>
      <c r="E355" s="11"/>
      <c r="F355" s="11"/>
      <c r="G355" s="12"/>
      <c r="H355" s="13"/>
      <c r="I355" s="14"/>
      <c r="J355" s="11"/>
    </row>
    <row r="356" spans="1:10" ht="16" x14ac:dyDescent="0.2">
      <c r="A356" s="11"/>
      <c r="B356" s="11"/>
      <c r="C356" s="11"/>
      <c r="D356" s="11"/>
      <c r="E356" s="11"/>
      <c r="F356" s="11"/>
      <c r="G356" s="12"/>
      <c r="H356" s="13"/>
      <c r="I356" s="14"/>
      <c r="J356" s="11"/>
    </row>
    <row r="357" spans="1:10" ht="16" x14ac:dyDescent="0.2">
      <c r="A357" s="11"/>
      <c r="B357" s="11"/>
      <c r="C357" s="11"/>
      <c r="D357" s="11"/>
      <c r="E357" s="11"/>
      <c r="F357" s="11"/>
      <c r="G357" s="12"/>
      <c r="H357" s="13"/>
      <c r="I357" s="14"/>
      <c r="J357" s="11"/>
    </row>
    <row r="358" spans="1:10" ht="16" x14ac:dyDescent="0.2">
      <c r="A358" s="11"/>
      <c r="B358" s="11"/>
      <c r="C358" s="11"/>
      <c r="D358" s="11"/>
      <c r="E358" s="11"/>
      <c r="F358" s="11"/>
      <c r="G358" s="12"/>
      <c r="H358" s="13"/>
      <c r="I358" s="14"/>
      <c r="J358" s="11"/>
    </row>
    <row r="359" spans="1:10" ht="16" x14ac:dyDescent="0.2">
      <c r="A359" s="11"/>
      <c r="B359" s="11"/>
      <c r="C359" s="11"/>
      <c r="D359" s="11"/>
      <c r="E359" s="11"/>
      <c r="F359" s="11"/>
      <c r="G359" s="12"/>
      <c r="H359" s="13"/>
      <c r="I359" s="14"/>
      <c r="J359" s="11"/>
    </row>
    <row r="360" spans="1:10" ht="16" x14ac:dyDescent="0.2">
      <c r="A360" s="11"/>
      <c r="B360" s="11"/>
      <c r="C360" s="11"/>
      <c r="D360" s="11"/>
      <c r="E360" s="11"/>
      <c r="F360" s="11"/>
      <c r="G360" s="12"/>
      <c r="H360" s="13"/>
      <c r="I360" s="14"/>
      <c r="J360" s="11"/>
    </row>
    <row r="361" spans="1:10" ht="16" x14ac:dyDescent="0.2">
      <c r="A361" s="11"/>
      <c r="B361" s="11"/>
      <c r="C361" s="11"/>
      <c r="D361" s="11"/>
      <c r="E361" s="11"/>
      <c r="F361" s="11"/>
      <c r="G361" s="12"/>
      <c r="H361" s="13"/>
      <c r="I361" s="14"/>
      <c r="J361" s="11"/>
    </row>
    <row r="362" spans="1:10" ht="16" x14ac:dyDescent="0.2">
      <c r="A362" s="11"/>
      <c r="B362" s="11"/>
      <c r="C362" s="11"/>
      <c r="D362" s="11"/>
      <c r="E362" s="11"/>
      <c r="F362" s="11"/>
      <c r="G362" s="12"/>
      <c r="H362" s="13"/>
      <c r="I362" s="14"/>
      <c r="J362" s="11"/>
    </row>
    <row r="363" spans="1:10" ht="16" x14ac:dyDescent="0.2">
      <c r="A363" s="11"/>
      <c r="B363" s="11"/>
      <c r="C363" s="11"/>
      <c r="D363" s="11"/>
      <c r="E363" s="11"/>
      <c r="F363" s="11"/>
      <c r="G363" s="12"/>
      <c r="H363" s="13"/>
      <c r="I363" s="14"/>
      <c r="J363" s="11"/>
    </row>
    <row r="364" spans="1:10" ht="16" x14ac:dyDescent="0.2">
      <c r="A364" s="11"/>
      <c r="B364" s="11"/>
      <c r="C364" s="11"/>
      <c r="D364" s="11"/>
      <c r="E364" s="11"/>
      <c r="F364" s="11"/>
      <c r="G364" s="12"/>
      <c r="H364" s="13"/>
      <c r="I364" s="14"/>
      <c r="J364" s="11"/>
    </row>
    <row r="365" spans="1:10" ht="16" x14ac:dyDescent="0.2">
      <c r="A365" s="11"/>
      <c r="B365" s="11"/>
      <c r="C365" s="11"/>
      <c r="D365" s="11"/>
      <c r="E365" s="11"/>
      <c r="F365" s="11"/>
      <c r="G365" s="12"/>
      <c r="H365" s="13"/>
      <c r="I365" s="14"/>
      <c r="J365" s="11"/>
    </row>
    <row r="366" spans="1:10" ht="16" x14ac:dyDescent="0.2">
      <c r="A366" s="11"/>
      <c r="B366" s="11"/>
      <c r="C366" s="11"/>
      <c r="D366" s="11"/>
      <c r="E366" s="11"/>
      <c r="F366" s="11"/>
      <c r="G366" s="12"/>
      <c r="H366" s="13"/>
      <c r="I366" s="14"/>
      <c r="J366" s="11"/>
    </row>
    <row r="367" spans="1:10" ht="16" x14ac:dyDescent="0.2">
      <c r="A367" s="11"/>
      <c r="B367" s="11"/>
      <c r="C367" s="11"/>
      <c r="D367" s="11"/>
      <c r="E367" s="11"/>
      <c r="F367" s="11"/>
      <c r="G367" s="12"/>
      <c r="H367" s="13"/>
      <c r="I367" s="14"/>
      <c r="J367" s="11"/>
    </row>
    <row r="368" spans="1:10" ht="16" x14ac:dyDescent="0.2">
      <c r="A368" s="11"/>
      <c r="B368" s="11"/>
      <c r="C368" s="11"/>
      <c r="D368" s="11"/>
      <c r="E368" s="11"/>
      <c r="F368" s="11"/>
      <c r="G368" s="12"/>
      <c r="H368" s="13"/>
      <c r="I368" s="14"/>
      <c r="J368" s="11"/>
    </row>
    <row r="369" spans="1:10" ht="16" x14ac:dyDescent="0.2">
      <c r="A369" s="11"/>
      <c r="B369" s="11"/>
      <c r="C369" s="11"/>
      <c r="D369" s="11"/>
      <c r="E369" s="11"/>
      <c r="F369" s="11"/>
      <c r="G369" s="12"/>
      <c r="H369" s="13"/>
      <c r="I369" s="14"/>
      <c r="J369" s="11"/>
    </row>
    <row r="370" spans="1:10" ht="16" x14ac:dyDescent="0.2">
      <c r="A370" s="11"/>
      <c r="B370" s="11"/>
      <c r="C370" s="11"/>
      <c r="D370" s="11"/>
      <c r="E370" s="11"/>
      <c r="F370" s="11"/>
      <c r="G370" s="12"/>
      <c r="H370" s="13"/>
      <c r="I370" s="14"/>
      <c r="J370" s="11"/>
    </row>
    <row r="371" spans="1:10" ht="16" x14ac:dyDescent="0.2">
      <c r="A371" s="11"/>
      <c r="B371" s="11"/>
      <c r="C371" s="11"/>
      <c r="D371" s="11"/>
      <c r="E371" s="11"/>
      <c r="F371" s="11"/>
      <c r="G371" s="12"/>
      <c r="H371" s="13"/>
      <c r="I371" s="14"/>
      <c r="J371" s="11"/>
    </row>
    <row r="372" spans="1:10" ht="16" x14ac:dyDescent="0.2">
      <c r="A372" s="11"/>
      <c r="B372" s="11"/>
      <c r="C372" s="11"/>
      <c r="D372" s="11"/>
      <c r="E372" s="11"/>
      <c r="F372" s="11"/>
      <c r="G372" s="12"/>
      <c r="H372" s="13"/>
      <c r="I372" s="14"/>
      <c r="J372" s="11"/>
    </row>
    <row r="373" spans="1:10" ht="16" x14ac:dyDescent="0.2">
      <c r="A373" s="11"/>
      <c r="B373" s="11"/>
      <c r="C373" s="11"/>
      <c r="D373" s="11"/>
      <c r="E373" s="11"/>
      <c r="F373" s="11"/>
      <c r="G373" s="12"/>
      <c r="H373" s="13"/>
      <c r="I373" s="14"/>
      <c r="J373" s="11"/>
    </row>
    <row r="374" spans="1:10" ht="16" x14ac:dyDescent="0.2">
      <c r="A374" s="11"/>
      <c r="B374" s="11"/>
      <c r="C374" s="11"/>
      <c r="D374" s="11"/>
      <c r="E374" s="11"/>
      <c r="F374" s="11"/>
      <c r="G374" s="12"/>
      <c r="H374" s="13"/>
      <c r="I374" s="14"/>
      <c r="J374" s="11"/>
    </row>
    <row r="375" spans="1:10" ht="16" x14ac:dyDescent="0.2">
      <c r="A375" s="11"/>
      <c r="B375" s="11"/>
      <c r="C375" s="11"/>
      <c r="D375" s="11"/>
      <c r="E375" s="11"/>
      <c r="F375" s="11"/>
      <c r="G375" s="12"/>
      <c r="H375" s="13"/>
      <c r="I375" s="14"/>
      <c r="J375" s="11"/>
    </row>
    <row r="376" spans="1:10" ht="16" x14ac:dyDescent="0.2">
      <c r="A376" s="11"/>
      <c r="B376" s="11"/>
      <c r="C376" s="11"/>
      <c r="D376" s="11"/>
      <c r="E376" s="11"/>
      <c r="F376" s="11"/>
      <c r="G376" s="12"/>
      <c r="H376" s="13"/>
      <c r="I376" s="14"/>
      <c r="J376" s="11"/>
    </row>
    <row r="377" spans="1:10" ht="16" x14ac:dyDescent="0.2">
      <c r="A377" s="11"/>
      <c r="B377" s="11"/>
      <c r="C377" s="11"/>
      <c r="D377" s="11"/>
      <c r="E377" s="11"/>
      <c r="F377" s="11"/>
      <c r="G377" s="12"/>
      <c r="H377" s="13"/>
      <c r="I377" s="14"/>
      <c r="J377" s="11"/>
    </row>
    <row r="378" spans="1:10" ht="16" x14ac:dyDescent="0.2">
      <c r="A378" s="11"/>
      <c r="B378" s="11"/>
      <c r="C378" s="11"/>
      <c r="D378" s="11"/>
      <c r="E378" s="11"/>
      <c r="F378" s="11"/>
      <c r="G378" s="12"/>
      <c r="H378" s="13"/>
      <c r="I378" s="14"/>
      <c r="J378" s="11"/>
    </row>
    <row r="379" spans="1:10" ht="16" x14ac:dyDescent="0.2">
      <c r="A379" s="11"/>
      <c r="B379" s="11"/>
      <c r="C379" s="11"/>
      <c r="D379" s="11"/>
      <c r="E379" s="11"/>
      <c r="F379" s="11"/>
      <c r="G379" s="12"/>
      <c r="H379" s="13"/>
      <c r="I379" s="14"/>
      <c r="J379" s="11"/>
    </row>
    <row r="380" spans="1:10" ht="16" x14ac:dyDescent="0.2">
      <c r="A380" s="11"/>
      <c r="B380" s="11"/>
      <c r="C380" s="11"/>
      <c r="D380" s="11"/>
      <c r="E380" s="11"/>
      <c r="F380" s="11"/>
      <c r="G380" s="12"/>
      <c r="H380" s="13"/>
      <c r="I380" s="14"/>
      <c r="J380" s="11"/>
    </row>
    <row r="381" spans="1:10" ht="16" x14ac:dyDescent="0.2">
      <c r="A381" s="11"/>
      <c r="B381" s="11"/>
      <c r="C381" s="11"/>
      <c r="D381" s="11"/>
      <c r="E381" s="11"/>
      <c r="F381" s="11"/>
      <c r="G381" s="12"/>
      <c r="H381" s="13"/>
      <c r="I381" s="14"/>
      <c r="J381" s="11"/>
    </row>
    <row r="382" spans="1:10" ht="16" x14ac:dyDescent="0.2">
      <c r="A382" s="11"/>
      <c r="B382" s="11"/>
      <c r="C382" s="11"/>
      <c r="D382" s="11"/>
      <c r="E382" s="11"/>
      <c r="F382" s="11"/>
      <c r="G382" s="12"/>
      <c r="H382" s="13"/>
      <c r="I382" s="14"/>
      <c r="J382" s="11"/>
    </row>
    <row r="383" spans="1:10" ht="16" x14ac:dyDescent="0.2">
      <c r="A383" s="11"/>
      <c r="B383" s="11"/>
      <c r="C383" s="11"/>
      <c r="D383" s="11"/>
      <c r="E383" s="11"/>
      <c r="F383" s="11"/>
      <c r="G383" s="12"/>
      <c r="H383" s="13"/>
      <c r="I383" s="14"/>
      <c r="J383" s="11"/>
    </row>
    <row r="384" spans="1:10" ht="16" x14ac:dyDescent="0.2">
      <c r="A384" s="11"/>
      <c r="B384" s="11"/>
      <c r="C384" s="11"/>
      <c r="D384" s="11"/>
      <c r="E384" s="11"/>
      <c r="F384" s="11"/>
      <c r="G384" s="12"/>
      <c r="H384" s="13"/>
      <c r="I384" s="14"/>
      <c r="J384" s="11"/>
    </row>
    <row r="385" spans="1:10" ht="16" x14ac:dyDescent="0.2">
      <c r="A385" s="11"/>
      <c r="B385" s="11"/>
      <c r="C385" s="11"/>
      <c r="D385" s="11"/>
      <c r="E385" s="11"/>
      <c r="F385" s="11"/>
      <c r="G385" s="12"/>
      <c r="H385" s="13"/>
      <c r="I385" s="14"/>
      <c r="J385" s="11"/>
    </row>
    <row r="386" spans="1:10" ht="16" x14ac:dyDescent="0.2">
      <c r="A386" s="11"/>
      <c r="B386" s="11"/>
      <c r="C386" s="11"/>
      <c r="D386" s="11"/>
      <c r="E386" s="11"/>
      <c r="F386" s="11"/>
      <c r="G386" s="12"/>
      <c r="H386" s="13"/>
      <c r="I386" s="14"/>
      <c r="J386" s="11"/>
    </row>
    <row r="387" spans="1:10" ht="16" x14ac:dyDescent="0.2">
      <c r="A387" s="11"/>
      <c r="B387" s="11"/>
      <c r="C387" s="11"/>
      <c r="D387" s="11"/>
      <c r="E387" s="11"/>
      <c r="F387" s="11"/>
      <c r="G387" s="12"/>
      <c r="H387" s="13"/>
      <c r="I387" s="14"/>
      <c r="J387" s="11"/>
    </row>
    <row r="388" spans="1:10" ht="16" x14ac:dyDescent="0.2">
      <c r="A388" s="11"/>
      <c r="B388" s="11"/>
      <c r="C388" s="11"/>
      <c r="D388" s="11"/>
      <c r="E388" s="11"/>
      <c r="F388" s="11"/>
      <c r="G388" s="12"/>
      <c r="H388" s="13"/>
      <c r="I388" s="14"/>
      <c r="J388" s="11"/>
    </row>
    <row r="389" spans="1:10" ht="16" x14ac:dyDescent="0.2">
      <c r="A389" s="11"/>
      <c r="B389" s="11"/>
      <c r="C389" s="11"/>
      <c r="D389" s="11"/>
      <c r="E389" s="11"/>
      <c r="F389" s="11"/>
      <c r="G389" s="12"/>
      <c r="H389" s="13"/>
      <c r="I389" s="14"/>
      <c r="J389" s="11"/>
    </row>
    <row r="390" spans="1:10" ht="16" x14ac:dyDescent="0.2">
      <c r="A390" s="11"/>
      <c r="B390" s="11"/>
      <c r="C390" s="11"/>
      <c r="D390" s="11"/>
      <c r="E390" s="11"/>
      <c r="F390" s="11"/>
      <c r="G390" s="12"/>
      <c r="H390" s="13"/>
      <c r="I390" s="14"/>
      <c r="J390" s="11"/>
    </row>
    <row r="391" spans="1:10" ht="16" x14ac:dyDescent="0.2">
      <c r="A391" s="11"/>
      <c r="B391" s="11"/>
      <c r="C391" s="11"/>
      <c r="D391" s="11"/>
      <c r="E391" s="11"/>
      <c r="F391" s="11"/>
      <c r="G391" s="12"/>
      <c r="H391" s="13"/>
      <c r="I391" s="14"/>
      <c r="J391" s="11"/>
    </row>
    <row r="392" spans="1:10" ht="16" x14ac:dyDescent="0.2">
      <c r="A392" s="11"/>
      <c r="B392" s="11"/>
      <c r="C392" s="11"/>
      <c r="D392" s="11"/>
      <c r="E392" s="11"/>
      <c r="F392" s="11"/>
      <c r="G392" s="12"/>
      <c r="H392" s="13"/>
      <c r="I392" s="14"/>
      <c r="J392" s="11"/>
    </row>
    <row r="393" spans="1:10" ht="16" x14ac:dyDescent="0.2">
      <c r="A393" s="11"/>
      <c r="B393" s="11"/>
      <c r="C393" s="11"/>
      <c r="D393" s="11"/>
      <c r="E393" s="11"/>
      <c r="F393" s="11"/>
      <c r="G393" s="12"/>
      <c r="H393" s="13"/>
      <c r="I393" s="14"/>
      <c r="J393" s="11"/>
    </row>
    <row r="394" spans="1:10" ht="16" x14ac:dyDescent="0.2">
      <c r="A394" s="11"/>
      <c r="B394" s="11"/>
      <c r="C394" s="11"/>
      <c r="D394" s="11"/>
      <c r="E394" s="11"/>
      <c r="F394" s="11"/>
      <c r="G394" s="12"/>
      <c r="H394" s="13"/>
      <c r="I394" s="14"/>
      <c r="J394" s="11"/>
    </row>
    <row r="395" spans="1:10" ht="16" x14ac:dyDescent="0.2">
      <c r="A395" s="11"/>
      <c r="B395" s="11"/>
      <c r="C395" s="11"/>
      <c r="D395" s="11"/>
      <c r="E395" s="11"/>
      <c r="F395" s="11"/>
      <c r="G395" s="12"/>
      <c r="H395" s="13"/>
      <c r="I395" s="14"/>
      <c r="J395" s="11"/>
    </row>
    <row r="396" spans="1:10" ht="16" x14ac:dyDescent="0.2">
      <c r="A396" s="11"/>
      <c r="B396" s="11"/>
      <c r="C396" s="11"/>
      <c r="D396" s="11"/>
      <c r="E396" s="11"/>
      <c r="F396" s="11"/>
      <c r="G396" s="12"/>
      <c r="H396" s="13"/>
      <c r="I396" s="14"/>
      <c r="J396" s="11"/>
    </row>
    <row r="397" spans="1:10" ht="16" x14ac:dyDescent="0.2">
      <c r="A397" s="11"/>
      <c r="B397" s="11"/>
      <c r="C397" s="11"/>
      <c r="D397" s="11"/>
      <c r="E397" s="11"/>
      <c r="F397" s="11"/>
      <c r="G397" s="12"/>
      <c r="H397" s="13"/>
      <c r="I397" s="14"/>
      <c r="J397" s="11"/>
    </row>
    <row r="398" spans="1:10" ht="16" x14ac:dyDescent="0.2">
      <c r="A398" s="11"/>
      <c r="B398" s="11"/>
      <c r="C398" s="11"/>
      <c r="D398" s="11"/>
      <c r="E398" s="11"/>
      <c r="F398" s="11"/>
      <c r="G398" s="12"/>
      <c r="H398" s="13"/>
      <c r="I398" s="14"/>
      <c r="J398" s="11"/>
    </row>
    <row r="399" spans="1:10" ht="16" x14ac:dyDescent="0.2">
      <c r="A399" s="11"/>
      <c r="B399" s="11"/>
      <c r="C399" s="11"/>
      <c r="D399" s="11"/>
      <c r="E399" s="11"/>
      <c r="F399" s="11"/>
      <c r="G399" s="12"/>
      <c r="H399" s="13"/>
      <c r="I399" s="14"/>
      <c r="J399" s="11"/>
    </row>
    <row r="400" spans="1:10" ht="16" x14ac:dyDescent="0.2">
      <c r="A400" s="11"/>
      <c r="B400" s="11"/>
      <c r="C400" s="11"/>
      <c r="D400" s="11"/>
      <c r="E400" s="11"/>
      <c r="F400" s="11"/>
      <c r="G400" s="12"/>
      <c r="H400" s="13"/>
      <c r="I400" s="14"/>
      <c r="J400" s="11"/>
    </row>
    <row r="401" spans="1:10" ht="16" x14ac:dyDescent="0.2">
      <c r="A401" s="11"/>
      <c r="B401" s="11"/>
      <c r="C401" s="11"/>
      <c r="D401" s="11"/>
      <c r="E401" s="11"/>
      <c r="F401" s="11"/>
      <c r="G401" s="12"/>
      <c r="H401" s="13"/>
      <c r="I401" s="14"/>
      <c r="J401" s="11"/>
    </row>
    <row r="402" spans="1:10" ht="16" x14ac:dyDescent="0.2">
      <c r="A402" s="11"/>
      <c r="B402" s="11"/>
      <c r="C402" s="11"/>
      <c r="D402" s="11"/>
      <c r="E402" s="11"/>
      <c r="F402" s="11"/>
      <c r="G402" s="12"/>
      <c r="H402" s="13"/>
      <c r="I402" s="14"/>
      <c r="J402" s="11"/>
    </row>
    <row r="403" spans="1:10" ht="16" x14ac:dyDescent="0.2">
      <c r="A403" s="11"/>
      <c r="B403" s="11"/>
      <c r="C403" s="11"/>
      <c r="D403" s="11"/>
      <c r="E403" s="11"/>
      <c r="F403" s="11"/>
      <c r="G403" s="12"/>
      <c r="H403" s="13"/>
      <c r="I403" s="14"/>
      <c r="J403" s="11"/>
    </row>
    <row r="404" spans="1:10" ht="16" x14ac:dyDescent="0.2">
      <c r="A404" s="11"/>
      <c r="B404" s="11"/>
      <c r="C404" s="11"/>
      <c r="D404" s="11"/>
      <c r="E404" s="11"/>
      <c r="F404" s="11"/>
      <c r="G404" s="12"/>
      <c r="H404" s="13"/>
      <c r="I404" s="14"/>
      <c r="J404" s="11"/>
    </row>
    <row r="405" spans="1:10" ht="16" x14ac:dyDescent="0.2">
      <c r="A405" s="11"/>
      <c r="B405" s="11"/>
      <c r="C405" s="11"/>
      <c r="D405" s="11"/>
      <c r="E405" s="11"/>
      <c r="F405" s="11"/>
      <c r="G405" s="12"/>
      <c r="H405" s="13"/>
      <c r="I405" s="14"/>
      <c r="J405" s="11"/>
    </row>
    <row r="406" spans="1:10" ht="16" x14ac:dyDescent="0.2">
      <c r="A406" s="11"/>
      <c r="B406" s="11"/>
      <c r="C406" s="11"/>
      <c r="D406" s="11"/>
      <c r="E406" s="11"/>
      <c r="F406" s="11"/>
      <c r="G406" s="12"/>
      <c r="H406" s="13"/>
      <c r="I406" s="14"/>
      <c r="J406" s="11"/>
    </row>
    <row r="407" spans="1:10" ht="16" x14ac:dyDescent="0.2">
      <c r="A407" s="11"/>
      <c r="B407" s="11"/>
      <c r="C407" s="11"/>
      <c r="D407" s="11"/>
      <c r="E407" s="11"/>
      <c r="F407" s="11"/>
      <c r="G407" s="12"/>
      <c r="H407" s="13"/>
      <c r="I407" s="14"/>
      <c r="J407" s="11"/>
    </row>
    <row r="408" spans="1:10" ht="16" x14ac:dyDescent="0.2">
      <c r="A408" s="11"/>
      <c r="B408" s="11"/>
      <c r="C408" s="11"/>
      <c r="D408" s="11"/>
      <c r="E408" s="11"/>
      <c r="F408" s="11"/>
      <c r="G408" s="12"/>
      <c r="H408" s="13"/>
      <c r="I408" s="14"/>
      <c r="J408" s="11"/>
    </row>
    <row r="409" spans="1:10" ht="16" x14ac:dyDescent="0.2">
      <c r="A409" s="11"/>
      <c r="B409" s="11"/>
      <c r="C409" s="11"/>
      <c r="D409" s="11"/>
      <c r="E409" s="11"/>
      <c r="F409" s="11"/>
      <c r="G409" s="12"/>
      <c r="H409" s="13"/>
      <c r="I409" s="14"/>
      <c r="J409" s="11"/>
    </row>
    <row r="410" spans="1:10" ht="16" x14ac:dyDescent="0.2">
      <c r="A410" s="11"/>
      <c r="B410" s="11"/>
      <c r="C410" s="11"/>
      <c r="D410" s="11"/>
      <c r="E410" s="11"/>
      <c r="F410" s="11"/>
      <c r="G410" s="12"/>
      <c r="H410" s="13"/>
      <c r="I410" s="14"/>
      <c r="J410" s="11"/>
    </row>
    <row r="411" spans="1:10" ht="16" x14ac:dyDescent="0.2">
      <c r="A411" s="11"/>
      <c r="B411" s="11"/>
      <c r="C411" s="11"/>
      <c r="D411" s="11"/>
      <c r="E411" s="11"/>
      <c r="F411" s="11"/>
      <c r="G411" s="12"/>
      <c r="H411" s="13"/>
      <c r="I411" s="14"/>
      <c r="J411" s="11"/>
    </row>
    <row r="412" spans="1:10" ht="16" x14ac:dyDescent="0.2">
      <c r="A412" s="11"/>
      <c r="B412" s="11"/>
      <c r="C412" s="11"/>
      <c r="D412" s="11"/>
      <c r="E412" s="11"/>
      <c r="F412" s="11"/>
      <c r="G412" s="12"/>
      <c r="H412" s="13"/>
      <c r="I412" s="14"/>
      <c r="J412" s="11"/>
    </row>
    <row r="413" spans="1:10" ht="16" x14ac:dyDescent="0.2">
      <c r="A413" s="11"/>
      <c r="B413" s="11"/>
      <c r="C413" s="11"/>
      <c r="D413" s="11"/>
      <c r="E413" s="11"/>
      <c r="F413" s="11"/>
      <c r="G413" s="12"/>
      <c r="H413" s="13"/>
      <c r="I413" s="14"/>
      <c r="J413" s="11"/>
    </row>
    <row r="414" spans="1:10" ht="16" x14ac:dyDescent="0.2">
      <c r="A414" s="11"/>
      <c r="B414" s="11"/>
      <c r="C414" s="11"/>
      <c r="D414" s="11"/>
      <c r="E414" s="11"/>
      <c r="F414" s="11"/>
      <c r="G414" s="12"/>
      <c r="H414" s="13"/>
      <c r="I414" s="14"/>
      <c r="J414" s="11"/>
    </row>
    <row r="415" spans="1:10" ht="16" x14ac:dyDescent="0.2">
      <c r="A415" s="11"/>
      <c r="B415" s="11"/>
      <c r="C415" s="11"/>
      <c r="D415" s="11"/>
      <c r="E415" s="11"/>
      <c r="F415" s="11"/>
      <c r="G415" s="12"/>
      <c r="H415" s="13"/>
      <c r="I415" s="14"/>
      <c r="J415" s="11"/>
    </row>
    <row r="416" spans="1:10" ht="16" x14ac:dyDescent="0.2">
      <c r="A416" s="11"/>
      <c r="B416" s="11"/>
      <c r="C416" s="11"/>
      <c r="D416" s="11"/>
      <c r="E416" s="11"/>
      <c r="F416" s="11"/>
      <c r="G416" s="12"/>
      <c r="H416" s="13"/>
      <c r="I416" s="14"/>
      <c r="J416" s="11"/>
    </row>
    <row r="417" spans="1:10" ht="16" x14ac:dyDescent="0.2">
      <c r="A417" s="11"/>
      <c r="B417" s="11"/>
      <c r="C417" s="11"/>
      <c r="D417" s="11"/>
      <c r="E417" s="11"/>
      <c r="F417" s="11"/>
      <c r="G417" s="12"/>
      <c r="H417" s="13"/>
      <c r="I417" s="14"/>
      <c r="J417" s="11"/>
    </row>
    <row r="418" spans="1:10" ht="16" x14ac:dyDescent="0.2">
      <c r="A418" s="11"/>
      <c r="B418" s="11"/>
      <c r="C418" s="11"/>
      <c r="D418" s="11"/>
      <c r="E418" s="11"/>
      <c r="F418" s="11"/>
      <c r="G418" s="12"/>
      <c r="H418" s="13"/>
      <c r="I418" s="14"/>
      <c r="J418" s="11"/>
    </row>
    <row r="419" spans="1:10" ht="16" x14ac:dyDescent="0.2">
      <c r="A419" s="11"/>
      <c r="B419" s="11"/>
      <c r="C419" s="11"/>
      <c r="D419" s="11"/>
      <c r="E419" s="11"/>
      <c r="F419" s="11"/>
      <c r="G419" s="12"/>
      <c r="H419" s="13"/>
      <c r="I419" s="14"/>
      <c r="J419" s="11"/>
    </row>
    <row r="420" spans="1:10" ht="16" x14ac:dyDescent="0.2">
      <c r="A420" s="11"/>
      <c r="B420" s="11"/>
      <c r="C420" s="11"/>
      <c r="D420" s="11"/>
      <c r="E420" s="11"/>
      <c r="F420" s="11"/>
      <c r="G420" s="12"/>
      <c r="H420" s="13"/>
      <c r="I420" s="14"/>
      <c r="J420" s="11"/>
    </row>
    <row r="421" spans="1:10" ht="16" x14ac:dyDescent="0.2">
      <c r="A421" s="11"/>
      <c r="B421" s="11"/>
      <c r="C421" s="11"/>
      <c r="D421" s="11"/>
      <c r="E421" s="11"/>
      <c r="F421" s="11"/>
      <c r="G421" s="12"/>
      <c r="H421" s="13"/>
      <c r="I421" s="14"/>
      <c r="J421" s="11"/>
    </row>
    <row r="422" spans="1:10" ht="16" x14ac:dyDescent="0.2">
      <c r="A422" s="11"/>
      <c r="B422" s="11"/>
      <c r="C422" s="11"/>
      <c r="D422" s="11"/>
      <c r="E422" s="11"/>
      <c r="F422" s="11"/>
      <c r="G422" s="12"/>
      <c r="H422" s="13"/>
      <c r="I422" s="14"/>
      <c r="J422" s="11"/>
    </row>
    <row r="423" spans="1:10" ht="16" x14ac:dyDescent="0.2">
      <c r="A423" s="11"/>
      <c r="B423" s="11"/>
      <c r="C423" s="11"/>
      <c r="D423" s="11"/>
      <c r="E423" s="11"/>
      <c r="F423" s="11"/>
      <c r="G423" s="12"/>
      <c r="H423" s="13"/>
      <c r="I423" s="14"/>
      <c r="J423" s="11"/>
    </row>
    <row r="424" spans="1:10" ht="16" x14ac:dyDescent="0.2">
      <c r="A424" s="11"/>
      <c r="B424" s="11"/>
      <c r="C424" s="11"/>
      <c r="D424" s="11"/>
      <c r="E424" s="11"/>
      <c r="F424" s="11"/>
      <c r="G424" s="12"/>
      <c r="H424" s="13"/>
      <c r="I424" s="14"/>
      <c r="J424" s="11"/>
    </row>
    <row r="425" spans="1:10" ht="16" x14ac:dyDescent="0.2">
      <c r="A425" s="11"/>
      <c r="B425" s="11"/>
      <c r="C425" s="11"/>
      <c r="D425" s="11"/>
      <c r="E425" s="11"/>
      <c r="F425" s="11"/>
      <c r="G425" s="12"/>
      <c r="H425" s="13"/>
      <c r="I425" s="14"/>
      <c r="J425" s="11"/>
    </row>
    <row r="426" spans="1:10" ht="16" x14ac:dyDescent="0.2">
      <c r="A426" s="11"/>
      <c r="B426" s="11"/>
      <c r="C426" s="11"/>
      <c r="D426" s="11"/>
      <c r="E426" s="11"/>
      <c r="F426" s="11"/>
      <c r="G426" s="12"/>
      <c r="H426" s="13"/>
      <c r="I426" s="14"/>
      <c r="J426" s="11"/>
    </row>
    <row r="427" spans="1:10" ht="16" x14ac:dyDescent="0.2">
      <c r="A427" s="11"/>
      <c r="B427" s="11"/>
      <c r="C427" s="11"/>
      <c r="D427" s="11"/>
      <c r="E427" s="11"/>
      <c r="F427" s="11"/>
      <c r="G427" s="12"/>
      <c r="H427" s="13"/>
      <c r="I427" s="14"/>
      <c r="J427" s="11"/>
    </row>
    <row r="428" spans="1:10" ht="16" x14ac:dyDescent="0.2">
      <c r="A428" s="11"/>
      <c r="B428" s="11"/>
      <c r="C428" s="11"/>
      <c r="D428" s="11"/>
      <c r="E428" s="11"/>
      <c r="F428" s="11"/>
      <c r="G428" s="12"/>
      <c r="H428" s="13"/>
      <c r="I428" s="14"/>
      <c r="J428" s="11"/>
    </row>
    <row r="429" spans="1:10" ht="16" x14ac:dyDescent="0.2">
      <c r="A429" s="11"/>
      <c r="B429" s="11"/>
      <c r="C429" s="11"/>
      <c r="D429" s="11"/>
      <c r="E429" s="11"/>
      <c r="F429" s="11"/>
      <c r="G429" s="12"/>
      <c r="H429" s="13"/>
      <c r="I429" s="14"/>
      <c r="J429" s="11"/>
    </row>
    <row r="430" spans="1:10" ht="16" x14ac:dyDescent="0.2">
      <c r="A430" s="11"/>
      <c r="B430" s="11"/>
      <c r="C430" s="11"/>
      <c r="D430" s="11"/>
      <c r="E430" s="11"/>
      <c r="F430" s="11"/>
      <c r="G430" s="12"/>
      <c r="H430" s="13"/>
      <c r="I430" s="14"/>
      <c r="J430" s="11"/>
    </row>
    <row r="431" spans="1:10" ht="16" x14ac:dyDescent="0.2">
      <c r="A431" s="11"/>
      <c r="B431" s="11"/>
      <c r="C431" s="11"/>
      <c r="D431" s="11"/>
      <c r="E431" s="11"/>
      <c r="F431" s="11"/>
      <c r="G431" s="12"/>
      <c r="H431" s="13"/>
      <c r="I431" s="14"/>
      <c r="J431" s="11"/>
    </row>
    <row r="432" spans="1:10" ht="16" x14ac:dyDescent="0.2">
      <c r="A432" s="11"/>
      <c r="B432" s="11"/>
      <c r="C432" s="11"/>
      <c r="D432" s="11"/>
      <c r="E432" s="11"/>
      <c r="F432" s="11"/>
      <c r="G432" s="12"/>
      <c r="H432" s="13"/>
      <c r="I432" s="14"/>
      <c r="J432" s="11"/>
    </row>
    <row r="433" spans="1:10" ht="16" x14ac:dyDescent="0.2">
      <c r="A433" s="11"/>
      <c r="B433" s="11"/>
      <c r="C433" s="11"/>
      <c r="D433" s="11"/>
      <c r="E433" s="11"/>
      <c r="F433" s="11"/>
      <c r="G433" s="12"/>
      <c r="H433" s="13"/>
      <c r="I433" s="14"/>
      <c r="J433" s="11"/>
    </row>
    <row r="434" spans="1:10" ht="16" x14ac:dyDescent="0.2">
      <c r="A434" s="11"/>
      <c r="B434" s="11"/>
      <c r="C434" s="11"/>
      <c r="D434" s="11"/>
      <c r="E434" s="11"/>
      <c r="F434" s="11"/>
      <c r="G434" s="12"/>
      <c r="H434" s="13"/>
      <c r="I434" s="14"/>
      <c r="J434" s="11"/>
    </row>
    <row r="435" spans="1:10" ht="16" x14ac:dyDescent="0.2">
      <c r="A435" s="11"/>
      <c r="B435" s="11"/>
      <c r="C435" s="11"/>
      <c r="D435" s="11"/>
      <c r="E435" s="11"/>
      <c r="F435" s="11"/>
      <c r="G435" s="12"/>
      <c r="H435" s="13"/>
      <c r="I435" s="14"/>
      <c r="J435" s="11"/>
    </row>
    <row r="436" spans="1:10" ht="16" x14ac:dyDescent="0.2">
      <c r="A436" s="11"/>
      <c r="B436" s="11"/>
      <c r="C436" s="11"/>
      <c r="D436" s="11"/>
      <c r="E436" s="11"/>
      <c r="F436" s="11"/>
      <c r="G436" s="12"/>
      <c r="H436" s="13"/>
      <c r="I436" s="14"/>
      <c r="J436" s="11"/>
    </row>
    <row r="437" spans="1:10" ht="16" x14ac:dyDescent="0.2">
      <c r="A437" s="11"/>
      <c r="B437" s="11"/>
      <c r="C437" s="11"/>
      <c r="D437" s="11"/>
      <c r="E437" s="11"/>
      <c r="F437" s="11"/>
      <c r="G437" s="12"/>
      <c r="H437" s="13"/>
      <c r="I437" s="14"/>
      <c r="J437" s="11"/>
    </row>
    <row r="438" spans="1:10" ht="16" x14ac:dyDescent="0.2">
      <c r="A438" s="11"/>
      <c r="B438" s="11"/>
      <c r="C438" s="11"/>
      <c r="D438" s="11"/>
      <c r="E438" s="11"/>
      <c r="F438" s="11"/>
      <c r="G438" s="12"/>
      <c r="H438" s="13"/>
      <c r="I438" s="14"/>
      <c r="J438" s="11"/>
    </row>
    <row r="439" spans="1:10" ht="16" x14ac:dyDescent="0.2">
      <c r="A439" s="11"/>
      <c r="B439" s="11"/>
      <c r="C439" s="11"/>
      <c r="D439" s="11"/>
      <c r="E439" s="11"/>
      <c r="F439" s="11"/>
      <c r="G439" s="12"/>
      <c r="H439" s="13"/>
      <c r="I439" s="14"/>
      <c r="J439" s="11"/>
    </row>
    <row r="440" spans="1:10" ht="16" x14ac:dyDescent="0.2">
      <c r="A440" s="11"/>
      <c r="B440" s="11"/>
      <c r="C440" s="11"/>
      <c r="D440" s="11"/>
      <c r="E440" s="11"/>
      <c r="F440" s="11"/>
      <c r="G440" s="12"/>
      <c r="H440" s="13"/>
      <c r="I440" s="14"/>
      <c r="J440" s="11"/>
    </row>
    <row r="441" spans="1:10" ht="16" x14ac:dyDescent="0.2">
      <c r="A441" s="11"/>
      <c r="B441" s="11"/>
      <c r="C441" s="11"/>
      <c r="D441" s="11"/>
      <c r="E441" s="11"/>
      <c r="F441" s="11"/>
      <c r="G441" s="12"/>
      <c r="H441" s="13"/>
      <c r="I441" s="14"/>
      <c r="J441" s="11"/>
    </row>
    <row r="442" spans="1:10" ht="16" x14ac:dyDescent="0.2">
      <c r="A442" s="11"/>
      <c r="B442" s="11"/>
      <c r="C442" s="11"/>
      <c r="D442" s="11"/>
      <c r="E442" s="11"/>
      <c r="F442" s="11"/>
      <c r="G442" s="12"/>
      <c r="H442" s="13"/>
      <c r="I442" s="14"/>
      <c r="J442" s="11"/>
    </row>
    <row r="443" spans="1:10" ht="16" x14ac:dyDescent="0.2">
      <c r="A443" s="11"/>
      <c r="B443" s="11"/>
      <c r="C443" s="11"/>
      <c r="D443" s="11"/>
      <c r="E443" s="11"/>
      <c r="F443" s="11"/>
      <c r="G443" s="12"/>
      <c r="H443" s="13"/>
      <c r="I443" s="14"/>
      <c r="J443" s="11"/>
    </row>
    <row r="444" spans="1:10" ht="16" x14ac:dyDescent="0.2">
      <c r="A444" s="11"/>
      <c r="B444" s="11"/>
      <c r="C444" s="11"/>
      <c r="D444" s="11"/>
      <c r="E444" s="11"/>
      <c r="F444" s="11"/>
      <c r="G444" s="12"/>
      <c r="H444" s="13"/>
      <c r="I444" s="14"/>
      <c r="J444" s="11"/>
    </row>
    <row r="445" spans="1:10" ht="16" x14ac:dyDescent="0.2">
      <c r="A445" s="11"/>
      <c r="B445" s="11"/>
      <c r="C445" s="11"/>
      <c r="D445" s="11"/>
      <c r="E445" s="11"/>
      <c r="F445" s="11"/>
      <c r="G445" s="12"/>
      <c r="H445" s="13"/>
      <c r="I445" s="14"/>
      <c r="J445" s="11"/>
    </row>
    <row r="446" spans="1:10" ht="16" x14ac:dyDescent="0.2">
      <c r="A446" s="11"/>
      <c r="B446" s="11"/>
      <c r="C446" s="11"/>
      <c r="D446" s="11"/>
      <c r="E446" s="11"/>
      <c r="F446" s="11"/>
      <c r="G446" s="12"/>
      <c r="H446" s="13"/>
      <c r="I446" s="14"/>
      <c r="J446" s="11"/>
    </row>
    <row r="447" spans="1:10" ht="16" x14ac:dyDescent="0.2">
      <c r="A447" s="11"/>
      <c r="B447" s="11"/>
      <c r="C447" s="11"/>
      <c r="D447" s="11"/>
      <c r="E447" s="11"/>
      <c r="F447" s="11"/>
      <c r="G447" s="12"/>
      <c r="H447" s="13"/>
      <c r="I447" s="14"/>
      <c r="J447" s="11"/>
    </row>
    <row r="448" spans="1:10" ht="16" x14ac:dyDescent="0.2">
      <c r="A448" s="11"/>
      <c r="B448" s="11"/>
      <c r="C448" s="11"/>
      <c r="D448" s="11"/>
      <c r="E448" s="11"/>
      <c r="F448" s="11"/>
      <c r="G448" s="12"/>
      <c r="H448" s="13"/>
      <c r="I448" s="14"/>
      <c r="J448" s="11"/>
    </row>
    <row r="449" spans="1:10" ht="16" x14ac:dyDescent="0.2">
      <c r="A449" s="11"/>
      <c r="B449" s="11"/>
      <c r="C449" s="11"/>
      <c r="D449" s="11"/>
      <c r="E449" s="11"/>
      <c r="F449" s="11"/>
      <c r="G449" s="12"/>
      <c r="H449" s="13"/>
      <c r="I449" s="14"/>
      <c r="J449" s="11"/>
    </row>
    <row r="450" spans="1:10" ht="16" x14ac:dyDescent="0.2">
      <c r="A450" s="11"/>
      <c r="B450" s="11"/>
      <c r="C450" s="11"/>
      <c r="D450" s="11"/>
      <c r="E450" s="11"/>
      <c r="F450" s="11"/>
      <c r="G450" s="12"/>
      <c r="H450" s="13"/>
      <c r="I450" s="14"/>
      <c r="J450" s="11"/>
    </row>
    <row r="451" spans="1:10" ht="16" x14ac:dyDescent="0.2">
      <c r="A451" s="11"/>
      <c r="B451" s="11"/>
      <c r="C451" s="11"/>
      <c r="D451" s="11"/>
      <c r="E451" s="11"/>
      <c r="F451" s="11"/>
      <c r="G451" s="12"/>
      <c r="H451" s="13"/>
      <c r="I451" s="14"/>
      <c r="J451" s="11"/>
    </row>
    <row r="452" spans="1:10" ht="16" x14ac:dyDescent="0.2">
      <c r="A452" s="11"/>
      <c r="B452" s="11"/>
      <c r="C452" s="11"/>
      <c r="D452" s="11"/>
      <c r="E452" s="11"/>
      <c r="F452" s="11"/>
      <c r="G452" s="12"/>
      <c r="H452" s="13"/>
      <c r="I452" s="14"/>
      <c r="J452" s="11"/>
    </row>
    <row r="453" spans="1:10" ht="16" x14ac:dyDescent="0.2">
      <c r="A453" s="11"/>
      <c r="B453" s="11"/>
      <c r="C453" s="11"/>
      <c r="D453" s="11"/>
      <c r="E453" s="11"/>
      <c r="F453" s="11"/>
      <c r="G453" s="12"/>
      <c r="H453" s="13"/>
      <c r="I453" s="14"/>
      <c r="J453" s="11"/>
    </row>
    <row r="454" spans="1:10" ht="16" x14ac:dyDescent="0.2">
      <c r="A454" s="11"/>
      <c r="B454" s="11"/>
      <c r="C454" s="11"/>
      <c r="D454" s="11"/>
      <c r="E454" s="11"/>
      <c r="F454" s="11"/>
      <c r="G454" s="12"/>
      <c r="H454" s="13"/>
      <c r="I454" s="14"/>
      <c r="J454" s="11"/>
    </row>
    <row r="455" spans="1:10" ht="16" x14ac:dyDescent="0.2">
      <c r="A455" s="11"/>
      <c r="B455" s="11"/>
      <c r="C455" s="11"/>
      <c r="D455" s="11"/>
      <c r="E455" s="11"/>
      <c r="F455" s="11"/>
      <c r="G455" s="12"/>
      <c r="H455" s="13"/>
      <c r="I455" s="14"/>
      <c r="J455" s="11"/>
    </row>
    <row r="456" spans="1:10" ht="16" x14ac:dyDescent="0.2">
      <c r="A456" s="11"/>
      <c r="B456" s="11"/>
      <c r="C456" s="11"/>
      <c r="D456" s="11"/>
      <c r="E456" s="11"/>
      <c r="F456" s="11"/>
      <c r="G456" s="12"/>
      <c r="H456" s="13"/>
      <c r="I456" s="14"/>
      <c r="J456" s="11"/>
    </row>
    <row r="457" spans="1:10" ht="16" x14ac:dyDescent="0.2">
      <c r="A457" s="11"/>
      <c r="B457" s="11"/>
      <c r="C457" s="11"/>
      <c r="D457" s="11"/>
      <c r="E457" s="11"/>
      <c r="F457" s="11"/>
      <c r="G457" s="12"/>
      <c r="H457" s="13"/>
      <c r="I457" s="14"/>
      <c r="J457" s="11"/>
    </row>
    <row r="458" spans="1:10" ht="16" x14ac:dyDescent="0.2">
      <c r="A458" s="11"/>
      <c r="B458" s="11"/>
      <c r="C458" s="11"/>
      <c r="D458" s="11"/>
      <c r="E458" s="11"/>
      <c r="F458" s="11"/>
      <c r="G458" s="12"/>
      <c r="H458" s="13"/>
      <c r="I458" s="14"/>
      <c r="J458" s="11"/>
    </row>
    <row r="459" spans="1:10" ht="16" x14ac:dyDescent="0.2">
      <c r="A459" s="11"/>
      <c r="B459" s="11"/>
      <c r="C459" s="11"/>
      <c r="D459" s="11"/>
      <c r="E459" s="11"/>
      <c r="F459" s="11"/>
      <c r="G459" s="12"/>
      <c r="H459" s="13"/>
      <c r="I459" s="14"/>
      <c r="J459" s="11"/>
    </row>
    <row r="460" spans="1:10" ht="16" x14ac:dyDescent="0.2">
      <c r="A460" s="11"/>
      <c r="B460" s="11"/>
      <c r="C460" s="11"/>
      <c r="D460" s="11"/>
      <c r="E460" s="11"/>
      <c r="F460" s="11"/>
      <c r="G460" s="12"/>
      <c r="H460" s="13"/>
      <c r="I460" s="14"/>
      <c r="J460" s="11"/>
    </row>
    <row r="461" spans="1:10" ht="16" x14ac:dyDescent="0.2">
      <c r="A461" s="11"/>
      <c r="B461" s="11"/>
      <c r="C461" s="11"/>
      <c r="D461" s="11"/>
      <c r="E461" s="11"/>
      <c r="F461" s="11"/>
      <c r="G461" s="12"/>
      <c r="H461" s="13"/>
      <c r="I461" s="14"/>
      <c r="J461" s="11"/>
    </row>
    <row r="462" spans="1:10" ht="16" x14ac:dyDescent="0.2">
      <c r="A462" s="11"/>
      <c r="B462" s="11"/>
      <c r="C462" s="11"/>
      <c r="D462" s="11"/>
      <c r="E462" s="11"/>
      <c r="F462" s="11"/>
      <c r="G462" s="12"/>
      <c r="H462" s="13"/>
      <c r="I462" s="14"/>
      <c r="J462" s="11"/>
    </row>
    <row r="463" spans="1:10" ht="16" x14ac:dyDescent="0.2">
      <c r="A463" s="11"/>
      <c r="B463" s="11"/>
      <c r="C463" s="11"/>
      <c r="D463" s="11"/>
      <c r="E463" s="11"/>
      <c r="F463" s="11"/>
      <c r="G463" s="12"/>
      <c r="H463" s="13"/>
      <c r="I463" s="14"/>
      <c r="J463" s="11"/>
    </row>
    <row r="464" spans="1:10" ht="16" x14ac:dyDescent="0.2">
      <c r="A464" s="11"/>
      <c r="B464" s="11"/>
      <c r="C464" s="11"/>
      <c r="D464" s="11"/>
      <c r="E464" s="11"/>
      <c r="F464" s="11"/>
      <c r="G464" s="12"/>
      <c r="H464" s="13"/>
      <c r="I464" s="14"/>
      <c r="J464" s="11"/>
    </row>
    <row r="465" spans="1:10" ht="16" x14ac:dyDescent="0.2">
      <c r="A465" s="11"/>
      <c r="B465" s="11"/>
      <c r="C465" s="11"/>
      <c r="D465" s="11"/>
      <c r="E465" s="11"/>
      <c r="F465" s="11"/>
      <c r="G465" s="12"/>
      <c r="H465" s="13"/>
      <c r="I465" s="14"/>
      <c r="J465" s="11"/>
    </row>
    <row r="466" spans="1:10" ht="16" x14ac:dyDescent="0.2">
      <c r="A466" s="11"/>
      <c r="B466" s="11"/>
      <c r="C466" s="11"/>
      <c r="D466" s="11"/>
      <c r="E466" s="11"/>
      <c r="F466" s="11"/>
      <c r="G466" s="12"/>
      <c r="H466" s="13"/>
      <c r="I466" s="14"/>
      <c r="J466" s="11"/>
    </row>
    <row r="467" spans="1:10" ht="16" x14ac:dyDescent="0.2">
      <c r="A467" s="11"/>
      <c r="B467" s="11"/>
      <c r="C467" s="11"/>
      <c r="D467" s="11"/>
      <c r="E467" s="11"/>
      <c r="F467" s="11"/>
      <c r="G467" s="12"/>
      <c r="H467" s="13"/>
      <c r="I467" s="14"/>
      <c r="J467" s="11"/>
    </row>
    <row r="468" spans="1:10" ht="16" x14ac:dyDescent="0.2">
      <c r="A468" s="11"/>
      <c r="B468" s="11"/>
      <c r="C468" s="11"/>
      <c r="D468" s="11"/>
      <c r="E468" s="11"/>
      <c r="F468" s="11"/>
      <c r="G468" s="12"/>
      <c r="H468" s="13"/>
      <c r="I468" s="14"/>
      <c r="J468" s="11"/>
    </row>
    <row r="469" spans="1:10" ht="16" x14ac:dyDescent="0.2">
      <c r="A469" s="11"/>
      <c r="B469" s="11"/>
      <c r="C469" s="11"/>
      <c r="D469" s="11"/>
      <c r="E469" s="11"/>
      <c r="F469" s="11"/>
      <c r="G469" s="12"/>
      <c r="H469" s="13"/>
      <c r="I469" s="14"/>
      <c r="J469" s="11"/>
    </row>
    <row r="470" spans="1:10" ht="16" x14ac:dyDescent="0.2">
      <c r="A470" s="11"/>
      <c r="B470" s="11"/>
      <c r="C470" s="11"/>
      <c r="D470" s="11"/>
      <c r="E470" s="11"/>
      <c r="F470" s="11"/>
      <c r="G470" s="12"/>
      <c r="H470" s="13"/>
      <c r="I470" s="14"/>
      <c r="J470" s="11"/>
    </row>
    <row r="471" spans="1:10" ht="16" x14ac:dyDescent="0.2">
      <c r="A471" s="11"/>
      <c r="B471" s="11"/>
      <c r="C471" s="11"/>
      <c r="D471" s="11"/>
      <c r="E471" s="11"/>
      <c r="F471" s="11"/>
      <c r="G471" s="12"/>
      <c r="H471" s="13"/>
      <c r="I471" s="14"/>
      <c r="J471" s="11"/>
    </row>
    <row r="472" spans="1:10" ht="16" x14ac:dyDescent="0.2">
      <c r="A472" s="11"/>
      <c r="B472" s="11"/>
      <c r="C472" s="11"/>
      <c r="D472" s="11"/>
      <c r="E472" s="11"/>
      <c r="F472" s="11"/>
      <c r="G472" s="12"/>
      <c r="H472" s="13"/>
      <c r="I472" s="14"/>
      <c r="J472" s="11"/>
    </row>
    <row r="473" spans="1:10" ht="16" x14ac:dyDescent="0.2">
      <c r="A473" s="11"/>
      <c r="B473" s="11"/>
      <c r="C473" s="11"/>
      <c r="D473" s="11"/>
      <c r="E473" s="11"/>
      <c r="F473" s="11"/>
      <c r="G473" s="12"/>
      <c r="H473" s="13"/>
      <c r="I473" s="14"/>
      <c r="J473" s="11"/>
    </row>
    <row r="474" spans="1:10" ht="16" x14ac:dyDescent="0.2">
      <c r="A474" s="11"/>
      <c r="B474" s="11"/>
      <c r="C474" s="11"/>
      <c r="D474" s="11"/>
      <c r="E474" s="11"/>
      <c r="F474" s="11"/>
      <c r="G474" s="12"/>
      <c r="H474" s="13"/>
      <c r="I474" s="14"/>
      <c r="J474" s="11"/>
    </row>
    <row r="475" spans="1:10" ht="16" x14ac:dyDescent="0.2">
      <c r="A475" s="11"/>
      <c r="B475" s="11"/>
      <c r="C475" s="11"/>
      <c r="D475" s="11"/>
      <c r="E475" s="11"/>
      <c r="F475" s="11"/>
      <c r="G475" s="12"/>
      <c r="H475" s="13"/>
      <c r="I475" s="14"/>
      <c r="J475" s="11"/>
    </row>
    <row r="476" spans="1:10" ht="16" x14ac:dyDescent="0.2">
      <c r="A476" s="11"/>
      <c r="B476" s="11"/>
      <c r="C476" s="11"/>
      <c r="D476" s="11"/>
      <c r="E476" s="11"/>
      <c r="F476" s="11"/>
      <c r="G476" s="12"/>
      <c r="H476" s="13"/>
      <c r="I476" s="14"/>
      <c r="J476" s="11"/>
    </row>
    <row r="477" spans="1:10" ht="16" x14ac:dyDescent="0.2">
      <c r="A477" s="11"/>
      <c r="B477" s="11"/>
      <c r="C477" s="11"/>
      <c r="D477" s="11"/>
      <c r="E477" s="11"/>
      <c r="F477" s="11"/>
      <c r="G477" s="12"/>
      <c r="H477" s="13"/>
      <c r="I477" s="14"/>
      <c r="J477" s="11"/>
    </row>
    <row r="478" spans="1:10" ht="16" x14ac:dyDescent="0.2">
      <c r="A478" s="11"/>
      <c r="B478" s="11"/>
      <c r="C478" s="11"/>
      <c r="D478" s="11"/>
      <c r="E478" s="11"/>
      <c r="F478" s="11"/>
      <c r="G478" s="12"/>
      <c r="H478" s="13"/>
      <c r="I478" s="14"/>
      <c r="J478" s="11"/>
    </row>
    <row r="479" spans="1:10" ht="16" x14ac:dyDescent="0.2">
      <c r="A479" s="11"/>
      <c r="B479" s="11"/>
      <c r="C479" s="11"/>
      <c r="D479" s="11"/>
      <c r="E479" s="11"/>
      <c r="F479" s="11"/>
      <c r="G479" s="12"/>
      <c r="H479" s="13"/>
      <c r="I479" s="14"/>
      <c r="J479" s="11"/>
    </row>
    <row r="480" spans="1:10" ht="16" x14ac:dyDescent="0.2">
      <c r="A480" s="11"/>
      <c r="B480" s="11"/>
      <c r="C480" s="11"/>
      <c r="D480" s="11"/>
      <c r="E480" s="11"/>
      <c r="F480" s="11"/>
      <c r="G480" s="12"/>
      <c r="H480" s="13"/>
      <c r="I480" s="14"/>
      <c r="J480" s="11"/>
    </row>
    <row r="481" spans="1:10" ht="16" x14ac:dyDescent="0.2">
      <c r="A481" s="11"/>
      <c r="B481" s="11"/>
      <c r="C481" s="11"/>
      <c r="D481" s="11"/>
      <c r="E481" s="11"/>
      <c r="F481" s="11"/>
      <c r="G481" s="12"/>
      <c r="H481" s="13"/>
      <c r="I481" s="14"/>
      <c r="J481" s="11"/>
    </row>
    <row r="482" spans="1:10" ht="16" x14ac:dyDescent="0.2">
      <c r="A482" s="11"/>
      <c r="B482" s="11"/>
      <c r="C482" s="11"/>
      <c r="D482" s="11"/>
      <c r="E482" s="11"/>
      <c r="F482" s="11"/>
      <c r="G482" s="12"/>
      <c r="H482" s="13"/>
      <c r="I482" s="14"/>
      <c r="J482" s="11"/>
    </row>
    <row r="483" spans="1:10" ht="16" x14ac:dyDescent="0.2">
      <c r="A483" s="11"/>
      <c r="B483" s="11"/>
      <c r="C483" s="11"/>
      <c r="D483" s="11"/>
      <c r="E483" s="11"/>
      <c r="F483" s="11"/>
      <c r="G483" s="12"/>
      <c r="H483" s="13"/>
      <c r="I483" s="14"/>
      <c r="J483" s="11"/>
    </row>
    <row r="484" spans="1:10" ht="16" x14ac:dyDescent="0.2">
      <c r="A484" s="11"/>
      <c r="B484" s="11"/>
      <c r="C484" s="11"/>
      <c r="D484" s="11"/>
      <c r="E484" s="11"/>
      <c r="F484" s="11"/>
      <c r="G484" s="12"/>
      <c r="H484" s="13"/>
      <c r="I484" s="14"/>
      <c r="J484" s="11"/>
    </row>
    <row r="485" spans="1:10" ht="16" x14ac:dyDescent="0.2">
      <c r="A485" s="11"/>
      <c r="B485" s="11"/>
      <c r="C485" s="11"/>
      <c r="D485" s="11"/>
      <c r="E485" s="11"/>
      <c r="F485" s="11"/>
      <c r="G485" s="12"/>
      <c r="H485" s="13"/>
      <c r="I485" s="14"/>
      <c r="J485" s="11"/>
    </row>
    <row r="486" spans="1:10" ht="16" x14ac:dyDescent="0.2">
      <c r="A486" s="11"/>
      <c r="B486" s="11"/>
      <c r="C486" s="11"/>
      <c r="D486" s="11"/>
      <c r="E486" s="11"/>
      <c r="F486" s="11"/>
      <c r="G486" s="12"/>
      <c r="H486" s="13"/>
      <c r="I486" s="14"/>
      <c r="J486" s="11"/>
    </row>
    <row r="487" spans="1:10" ht="16" x14ac:dyDescent="0.2">
      <c r="A487" s="11"/>
      <c r="B487" s="11"/>
      <c r="C487" s="11"/>
      <c r="D487" s="11"/>
      <c r="E487" s="11"/>
      <c r="F487" s="11"/>
      <c r="G487" s="12"/>
      <c r="H487" s="13"/>
      <c r="I487" s="14"/>
      <c r="J487" s="11"/>
    </row>
    <row r="488" spans="1:10" ht="16" x14ac:dyDescent="0.2">
      <c r="A488" s="11"/>
      <c r="B488" s="11"/>
      <c r="C488" s="11"/>
      <c r="D488" s="11"/>
      <c r="E488" s="11"/>
      <c r="F488" s="11"/>
      <c r="G488" s="12"/>
      <c r="H488" s="13"/>
      <c r="I488" s="14"/>
      <c r="J488" s="11"/>
    </row>
    <row r="489" spans="1:10" ht="16" x14ac:dyDescent="0.2">
      <c r="A489" s="11"/>
      <c r="B489" s="11"/>
      <c r="C489" s="11"/>
      <c r="D489" s="11"/>
      <c r="E489" s="11"/>
      <c r="F489" s="11"/>
      <c r="G489" s="12"/>
      <c r="H489" s="13"/>
      <c r="I489" s="14"/>
      <c r="J489" s="11"/>
    </row>
    <row r="490" spans="1:10" ht="16" x14ac:dyDescent="0.2">
      <c r="A490" s="11"/>
      <c r="B490" s="11"/>
      <c r="C490" s="11"/>
      <c r="D490" s="11"/>
      <c r="E490" s="11"/>
      <c r="F490" s="11"/>
      <c r="G490" s="12"/>
      <c r="H490" s="13"/>
      <c r="I490" s="14"/>
      <c r="J490" s="11"/>
    </row>
    <row r="491" spans="1:10" ht="16" x14ac:dyDescent="0.2">
      <c r="A491" s="11"/>
      <c r="B491" s="11"/>
      <c r="C491" s="11"/>
      <c r="D491" s="11"/>
      <c r="E491" s="11"/>
      <c r="F491" s="11"/>
      <c r="G491" s="12"/>
      <c r="H491" s="13"/>
      <c r="I491" s="14"/>
      <c r="J491" s="11"/>
    </row>
    <row r="492" spans="1:10" ht="16" x14ac:dyDescent="0.2">
      <c r="A492" s="11"/>
      <c r="B492" s="11"/>
      <c r="C492" s="11"/>
      <c r="D492" s="11"/>
      <c r="E492" s="11"/>
      <c r="F492" s="11"/>
      <c r="G492" s="12"/>
      <c r="H492" s="13"/>
      <c r="I492" s="14"/>
      <c r="J492" s="11"/>
    </row>
    <row r="493" spans="1:10" ht="16" x14ac:dyDescent="0.2">
      <c r="A493" s="11"/>
      <c r="B493" s="11"/>
      <c r="C493" s="11"/>
      <c r="D493" s="11"/>
      <c r="E493" s="11"/>
      <c r="F493" s="11"/>
      <c r="G493" s="12"/>
      <c r="H493" s="13"/>
      <c r="I493" s="14"/>
      <c r="J493" s="11"/>
    </row>
    <row r="494" spans="1:10" ht="16" x14ac:dyDescent="0.2">
      <c r="A494" s="11"/>
      <c r="B494" s="11"/>
      <c r="C494" s="11"/>
      <c r="D494" s="11"/>
      <c r="E494" s="11"/>
      <c r="F494" s="11"/>
      <c r="G494" s="12"/>
      <c r="H494" s="13"/>
      <c r="I494" s="14"/>
      <c r="J494" s="11"/>
    </row>
    <row r="495" spans="1:10" ht="16" x14ac:dyDescent="0.2">
      <c r="A495" s="11"/>
      <c r="B495" s="11"/>
      <c r="C495" s="11"/>
      <c r="D495" s="11"/>
      <c r="E495" s="11"/>
      <c r="F495" s="11"/>
      <c r="G495" s="12"/>
      <c r="H495" s="13"/>
      <c r="I495" s="14"/>
      <c r="J495" s="11"/>
    </row>
    <row r="496" spans="1:10" ht="16" x14ac:dyDescent="0.2">
      <c r="A496" s="11"/>
      <c r="B496" s="11"/>
      <c r="C496" s="11"/>
      <c r="D496" s="11"/>
      <c r="E496" s="11"/>
      <c r="F496" s="11"/>
      <c r="G496" s="12"/>
      <c r="H496" s="13"/>
      <c r="I496" s="14"/>
      <c r="J496" s="11"/>
    </row>
    <row r="497" spans="1:10" ht="16" x14ac:dyDescent="0.2">
      <c r="A497" s="11"/>
      <c r="B497" s="11"/>
      <c r="C497" s="11"/>
      <c r="D497" s="11"/>
      <c r="E497" s="11"/>
      <c r="F497" s="11"/>
      <c r="G497" s="12"/>
      <c r="H497" s="13"/>
      <c r="I497" s="14"/>
      <c r="J497" s="11"/>
    </row>
    <row r="498" spans="1:10" ht="16" x14ac:dyDescent="0.2">
      <c r="A498" s="11"/>
      <c r="B498" s="11"/>
      <c r="C498" s="11"/>
      <c r="D498" s="11"/>
      <c r="E498" s="11"/>
      <c r="F498" s="11"/>
      <c r="G498" s="12"/>
      <c r="H498" s="13"/>
      <c r="I498" s="14"/>
      <c r="J498" s="11"/>
    </row>
    <row r="499" spans="1:10" ht="16" x14ac:dyDescent="0.2">
      <c r="A499" s="11"/>
      <c r="B499" s="11"/>
      <c r="C499" s="11"/>
      <c r="D499" s="11"/>
      <c r="E499" s="11"/>
      <c r="F499" s="11"/>
      <c r="G499" s="12"/>
      <c r="H499" s="13"/>
      <c r="I499" s="14"/>
      <c r="J499" s="11"/>
    </row>
    <row r="500" spans="1:10" ht="16" x14ac:dyDescent="0.2">
      <c r="A500" s="11"/>
      <c r="B500" s="11"/>
      <c r="C500" s="11"/>
      <c r="D500" s="11"/>
      <c r="E500" s="11"/>
      <c r="F500" s="11"/>
      <c r="G500" s="12"/>
      <c r="H500" s="13"/>
      <c r="I500" s="14"/>
      <c r="J500" s="11"/>
    </row>
    <row r="501" spans="1:10" ht="16" x14ac:dyDescent="0.2">
      <c r="A501" s="11"/>
      <c r="B501" s="11"/>
      <c r="C501" s="11"/>
      <c r="D501" s="11"/>
      <c r="E501" s="11"/>
      <c r="F501" s="11"/>
      <c r="G501" s="12"/>
      <c r="H501" s="13"/>
      <c r="I501" s="14"/>
      <c r="J501" s="11"/>
    </row>
    <row r="502" spans="1:10" ht="16" x14ac:dyDescent="0.2">
      <c r="A502" s="11"/>
      <c r="B502" s="11"/>
      <c r="C502" s="11"/>
      <c r="D502" s="11"/>
      <c r="E502" s="11"/>
      <c r="F502" s="11"/>
      <c r="G502" s="12"/>
      <c r="H502" s="13"/>
      <c r="I502" s="14"/>
      <c r="J502" s="11"/>
    </row>
    <row r="503" spans="1:10" ht="16" x14ac:dyDescent="0.2">
      <c r="A503" s="11"/>
      <c r="B503" s="11"/>
      <c r="C503" s="11"/>
      <c r="D503" s="11"/>
      <c r="E503" s="11"/>
      <c r="F503" s="11"/>
      <c r="G503" s="12"/>
      <c r="H503" s="13"/>
      <c r="I503" s="14"/>
      <c r="J503" s="11"/>
    </row>
    <row r="504" spans="1:10" ht="16" x14ac:dyDescent="0.2">
      <c r="A504" s="11"/>
      <c r="B504" s="11"/>
      <c r="C504" s="11"/>
      <c r="D504" s="11"/>
      <c r="E504" s="11"/>
      <c r="F504" s="11"/>
      <c r="G504" s="12"/>
      <c r="H504" s="13"/>
      <c r="I504" s="14"/>
      <c r="J504" s="11"/>
    </row>
    <row r="505" spans="1:10" ht="16" x14ac:dyDescent="0.2">
      <c r="A505" s="11"/>
      <c r="B505" s="11"/>
      <c r="C505" s="11"/>
      <c r="D505" s="11"/>
      <c r="E505" s="11"/>
      <c r="F505" s="11"/>
      <c r="G505" s="12"/>
      <c r="H505" s="13"/>
      <c r="I505" s="14"/>
      <c r="J505" s="11"/>
    </row>
    <row r="506" spans="1:10" ht="16" x14ac:dyDescent="0.2">
      <c r="A506" s="11"/>
      <c r="B506" s="11"/>
      <c r="C506" s="11"/>
      <c r="D506" s="11"/>
      <c r="E506" s="11"/>
      <c r="F506" s="11"/>
      <c r="G506" s="12"/>
      <c r="H506" s="13"/>
      <c r="I506" s="14"/>
      <c r="J506" s="11"/>
    </row>
    <row r="507" spans="1:10" ht="16" x14ac:dyDescent="0.2">
      <c r="A507" s="11"/>
      <c r="B507" s="11"/>
      <c r="C507" s="11"/>
      <c r="D507" s="11"/>
      <c r="E507" s="11"/>
      <c r="F507" s="11"/>
      <c r="G507" s="12"/>
      <c r="H507" s="13"/>
      <c r="I507" s="14"/>
      <c r="J507" s="11"/>
    </row>
    <row r="508" spans="1:10" ht="16" x14ac:dyDescent="0.2">
      <c r="A508" s="11"/>
      <c r="B508" s="11"/>
      <c r="C508" s="11"/>
      <c r="D508" s="11"/>
      <c r="E508" s="11"/>
      <c r="F508" s="11"/>
      <c r="G508" s="12"/>
      <c r="H508" s="13"/>
      <c r="I508" s="14"/>
      <c r="J508" s="11"/>
    </row>
    <row r="509" spans="1:10" ht="16" x14ac:dyDescent="0.2">
      <c r="A509" s="11"/>
      <c r="B509" s="11"/>
      <c r="C509" s="11"/>
      <c r="D509" s="11"/>
      <c r="E509" s="11"/>
      <c r="F509" s="11"/>
      <c r="G509" s="12"/>
      <c r="H509" s="13"/>
      <c r="I509" s="14"/>
      <c r="J509" s="11"/>
    </row>
    <row r="510" spans="1:10" ht="16" x14ac:dyDescent="0.2">
      <c r="A510" s="11"/>
      <c r="B510" s="11"/>
      <c r="C510" s="11"/>
      <c r="D510" s="11"/>
      <c r="E510" s="11"/>
      <c r="F510" s="11"/>
      <c r="G510" s="12"/>
      <c r="H510" s="13"/>
      <c r="I510" s="14"/>
      <c r="J510" s="11"/>
    </row>
    <row r="511" spans="1:10" ht="16" x14ac:dyDescent="0.2">
      <c r="A511" s="11"/>
      <c r="B511" s="11"/>
      <c r="C511" s="11"/>
      <c r="D511" s="11"/>
      <c r="E511" s="11"/>
      <c r="F511" s="11"/>
      <c r="G511" s="12"/>
      <c r="H511" s="13"/>
      <c r="I511" s="14"/>
      <c r="J511" s="11"/>
    </row>
    <row r="512" spans="1:10" ht="16" x14ac:dyDescent="0.2">
      <c r="A512" s="11"/>
      <c r="B512" s="11"/>
      <c r="C512" s="11"/>
      <c r="D512" s="11"/>
      <c r="E512" s="11"/>
      <c r="F512" s="11"/>
      <c r="G512" s="12"/>
      <c r="H512" s="13"/>
      <c r="I512" s="14"/>
      <c r="J512" s="11"/>
    </row>
    <row r="513" spans="1:10" ht="16" x14ac:dyDescent="0.2">
      <c r="A513" s="11"/>
      <c r="B513" s="11"/>
      <c r="C513" s="11"/>
      <c r="D513" s="11"/>
      <c r="E513" s="11"/>
      <c r="F513" s="11"/>
      <c r="G513" s="12"/>
      <c r="H513" s="13"/>
      <c r="I513" s="14"/>
      <c r="J513" s="11"/>
    </row>
    <row r="514" spans="1:10" ht="16" x14ac:dyDescent="0.2">
      <c r="A514" s="11"/>
      <c r="B514" s="11"/>
      <c r="C514" s="11"/>
      <c r="D514" s="11"/>
      <c r="E514" s="11"/>
      <c r="F514" s="11"/>
      <c r="G514" s="12"/>
      <c r="H514" s="13"/>
      <c r="I514" s="14"/>
      <c r="J514" s="11"/>
    </row>
    <row r="515" spans="1:10" ht="16" x14ac:dyDescent="0.2">
      <c r="A515" s="11"/>
      <c r="B515" s="11"/>
      <c r="C515" s="11"/>
      <c r="D515" s="11"/>
      <c r="E515" s="11"/>
      <c r="F515" s="11"/>
      <c r="G515" s="12"/>
      <c r="H515" s="13"/>
      <c r="I515" s="14"/>
      <c r="J515" s="11"/>
    </row>
    <row r="516" spans="1:10" ht="16" x14ac:dyDescent="0.2">
      <c r="A516" s="11"/>
      <c r="B516" s="11"/>
      <c r="C516" s="11"/>
      <c r="D516" s="11"/>
      <c r="E516" s="11"/>
      <c r="F516" s="11"/>
      <c r="G516" s="12"/>
      <c r="H516" s="13"/>
      <c r="I516" s="14"/>
      <c r="J516" s="11"/>
    </row>
    <row r="517" spans="1:10" ht="16" x14ac:dyDescent="0.2">
      <c r="A517" s="11"/>
      <c r="B517" s="11"/>
      <c r="C517" s="11"/>
      <c r="D517" s="11"/>
      <c r="E517" s="11"/>
      <c r="F517" s="11"/>
      <c r="G517" s="12"/>
      <c r="H517" s="13"/>
      <c r="I517" s="14"/>
      <c r="J517" s="11"/>
    </row>
    <row r="518" spans="1:10" ht="16" x14ac:dyDescent="0.2">
      <c r="A518" s="11"/>
      <c r="B518" s="11"/>
      <c r="C518" s="11"/>
      <c r="D518" s="11"/>
      <c r="E518" s="11"/>
      <c r="F518" s="11"/>
      <c r="G518" s="12"/>
      <c r="H518" s="13"/>
      <c r="I518" s="14"/>
      <c r="J518" s="11"/>
    </row>
    <row r="519" spans="1:10" ht="16" x14ac:dyDescent="0.2">
      <c r="A519" s="11"/>
      <c r="B519" s="11"/>
      <c r="C519" s="11"/>
      <c r="D519" s="11"/>
      <c r="E519" s="11"/>
      <c r="F519" s="11"/>
      <c r="G519" s="12"/>
      <c r="H519" s="13"/>
      <c r="I519" s="14"/>
      <c r="J519" s="11"/>
    </row>
    <row r="520" spans="1:10" ht="16" x14ac:dyDescent="0.2">
      <c r="A520" s="11"/>
      <c r="B520" s="11"/>
      <c r="C520" s="11"/>
      <c r="D520" s="11"/>
      <c r="E520" s="11"/>
      <c r="F520" s="11"/>
      <c r="G520" s="12"/>
      <c r="H520" s="13"/>
      <c r="I520" s="14"/>
      <c r="J520" s="11"/>
    </row>
    <row r="521" spans="1:10" ht="16" x14ac:dyDescent="0.2">
      <c r="A521" s="11"/>
      <c r="B521" s="11"/>
      <c r="C521" s="11"/>
      <c r="D521" s="11"/>
      <c r="E521" s="11"/>
      <c r="F521" s="11"/>
      <c r="G521" s="12"/>
      <c r="H521" s="13"/>
      <c r="I521" s="14"/>
      <c r="J521" s="11"/>
    </row>
    <row r="522" spans="1:10" ht="16" x14ac:dyDescent="0.2">
      <c r="A522" s="11"/>
      <c r="B522" s="11"/>
      <c r="C522" s="11"/>
      <c r="D522" s="11"/>
      <c r="E522" s="11"/>
      <c r="F522" s="11"/>
      <c r="G522" s="12"/>
      <c r="H522" s="13"/>
      <c r="I522" s="14"/>
      <c r="J522" s="11"/>
    </row>
    <row r="523" spans="1:10" ht="16" x14ac:dyDescent="0.2">
      <c r="A523" s="11"/>
      <c r="B523" s="11"/>
      <c r="C523" s="11"/>
      <c r="D523" s="11"/>
      <c r="E523" s="11"/>
      <c r="F523" s="11"/>
      <c r="G523" s="12"/>
      <c r="H523" s="13"/>
      <c r="I523" s="14"/>
      <c r="J523" s="11"/>
    </row>
    <row r="524" spans="1:10" ht="16" x14ac:dyDescent="0.2">
      <c r="A524" s="11"/>
      <c r="B524" s="11"/>
      <c r="C524" s="11"/>
      <c r="D524" s="11"/>
      <c r="E524" s="11"/>
      <c r="F524" s="11"/>
      <c r="G524" s="12"/>
      <c r="H524" s="13"/>
      <c r="I524" s="14"/>
      <c r="J524" s="11"/>
    </row>
    <row r="525" spans="1:10" ht="16" x14ac:dyDescent="0.2">
      <c r="A525" s="11"/>
      <c r="B525" s="11"/>
      <c r="C525" s="11"/>
      <c r="D525" s="11"/>
      <c r="E525" s="11"/>
      <c r="F525" s="11"/>
      <c r="G525" s="12"/>
      <c r="H525" s="13"/>
      <c r="I525" s="14"/>
      <c r="J525" s="11"/>
    </row>
    <row r="526" spans="1:10" ht="16" x14ac:dyDescent="0.2">
      <c r="A526" s="11"/>
      <c r="B526" s="11"/>
      <c r="C526" s="11"/>
      <c r="D526" s="11"/>
      <c r="E526" s="11"/>
      <c r="F526" s="11"/>
      <c r="G526" s="12"/>
      <c r="H526" s="13"/>
      <c r="I526" s="14"/>
      <c r="J526" s="11"/>
    </row>
    <row r="527" spans="1:10" ht="16" x14ac:dyDescent="0.2">
      <c r="A527" s="11"/>
      <c r="B527" s="11"/>
      <c r="C527" s="11"/>
      <c r="D527" s="11"/>
      <c r="E527" s="11"/>
      <c r="F527" s="11"/>
      <c r="G527" s="12"/>
      <c r="H527" s="13"/>
      <c r="I527" s="14"/>
      <c r="J527" s="11"/>
    </row>
    <row r="528" spans="1:10" ht="16" x14ac:dyDescent="0.2">
      <c r="A528" s="11"/>
      <c r="B528" s="11"/>
      <c r="C528" s="11"/>
      <c r="D528" s="11"/>
      <c r="E528" s="11"/>
      <c r="F528" s="11"/>
      <c r="G528" s="12"/>
      <c r="H528" s="13"/>
      <c r="I528" s="14"/>
      <c r="J528" s="11"/>
    </row>
    <row r="529" spans="1:10" ht="16" x14ac:dyDescent="0.2">
      <c r="A529" s="11"/>
      <c r="B529" s="11"/>
      <c r="C529" s="11"/>
      <c r="D529" s="11"/>
      <c r="E529" s="11"/>
      <c r="F529" s="11"/>
      <c r="G529" s="12"/>
      <c r="H529" s="13"/>
      <c r="I529" s="14"/>
      <c r="J529" s="11"/>
    </row>
    <row r="530" spans="1:10" ht="16" x14ac:dyDescent="0.2">
      <c r="A530" s="11"/>
      <c r="B530" s="11"/>
      <c r="C530" s="11"/>
      <c r="D530" s="11"/>
      <c r="E530" s="11"/>
      <c r="F530" s="11"/>
      <c r="G530" s="12"/>
      <c r="H530" s="13"/>
      <c r="I530" s="14"/>
      <c r="J530" s="11"/>
    </row>
    <row r="531" spans="1:10" ht="16" x14ac:dyDescent="0.2">
      <c r="A531" s="11"/>
      <c r="B531" s="11"/>
      <c r="C531" s="11"/>
      <c r="D531" s="11"/>
      <c r="E531" s="11"/>
      <c r="F531" s="11"/>
      <c r="G531" s="12"/>
      <c r="H531" s="13"/>
      <c r="I531" s="14"/>
      <c r="J531" s="11"/>
    </row>
    <row r="532" spans="1:10" ht="16" x14ac:dyDescent="0.2">
      <c r="A532" s="11"/>
      <c r="B532" s="11"/>
      <c r="C532" s="11"/>
      <c r="D532" s="11"/>
      <c r="E532" s="11"/>
      <c r="F532" s="11"/>
      <c r="G532" s="12"/>
      <c r="H532" s="13"/>
      <c r="I532" s="14"/>
      <c r="J532" s="11"/>
    </row>
    <row r="533" spans="1:10" ht="16" x14ac:dyDescent="0.2">
      <c r="A533" s="11"/>
      <c r="B533" s="11"/>
      <c r="C533" s="11"/>
      <c r="D533" s="11"/>
      <c r="E533" s="11"/>
      <c r="F533" s="11"/>
      <c r="G533" s="12"/>
      <c r="H533" s="13"/>
      <c r="I533" s="14"/>
      <c r="J533" s="11"/>
    </row>
    <row r="534" spans="1:10" ht="16" x14ac:dyDescent="0.2">
      <c r="A534" s="11"/>
      <c r="B534" s="11"/>
      <c r="C534" s="11"/>
      <c r="D534" s="11"/>
      <c r="E534" s="11"/>
      <c r="F534" s="11"/>
      <c r="G534" s="12"/>
      <c r="H534" s="13"/>
      <c r="I534" s="14"/>
      <c r="J534" s="11"/>
    </row>
    <row r="535" spans="1:10" ht="16" x14ac:dyDescent="0.2">
      <c r="A535" s="11"/>
      <c r="B535" s="11"/>
      <c r="C535" s="11"/>
      <c r="D535" s="11"/>
      <c r="E535" s="11"/>
      <c r="F535" s="11"/>
      <c r="G535" s="12"/>
      <c r="H535" s="13"/>
      <c r="I535" s="14"/>
      <c r="J535" s="11"/>
    </row>
    <row r="536" spans="1:10" ht="16" x14ac:dyDescent="0.2">
      <c r="A536" s="11"/>
      <c r="B536" s="11"/>
      <c r="C536" s="11"/>
      <c r="D536" s="11"/>
      <c r="E536" s="11"/>
      <c r="F536" s="11"/>
      <c r="G536" s="12"/>
      <c r="H536" s="13"/>
      <c r="I536" s="14"/>
      <c r="J536" s="11"/>
    </row>
    <row r="537" spans="1:10" ht="16" x14ac:dyDescent="0.2">
      <c r="A537" s="11"/>
      <c r="B537" s="11"/>
      <c r="C537" s="11"/>
      <c r="D537" s="11"/>
      <c r="E537" s="11"/>
      <c r="F537" s="11"/>
      <c r="G537" s="12"/>
      <c r="H537" s="13"/>
      <c r="I537" s="14"/>
      <c r="J537" s="11"/>
    </row>
    <row r="538" spans="1:10" ht="16" x14ac:dyDescent="0.2">
      <c r="A538" s="11"/>
      <c r="B538" s="11"/>
      <c r="C538" s="11"/>
      <c r="D538" s="11"/>
      <c r="E538" s="11"/>
      <c r="F538" s="11"/>
      <c r="G538" s="12"/>
      <c r="H538" s="13"/>
      <c r="I538" s="14"/>
      <c r="J538" s="11"/>
    </row>
    <row r="539" spans="1:10" ht="16" x14ac:dyDescent="0.2">
      <c r="A539" s="11"/>
      <c r="B539" s="11"/>
      <c r="C539" s="11"/>
      <c r="D539" s="11"/>
      <c r="E539" s="11"/>
      <c r="F539" s="11"/>
      <c r="G539" s="12"/>
      <c r="H539" s="13"/>
      <c r="I539" s="14"/>
      <c r="J539" s="11"/>
    </row>
    <row r="540" spans="1:10" ht="16" x14ac:dyDescent="0.2">
      <c r="A540" s="11"/>
      <c r="B540" s="11"/>
      <c r="C540" s="11"/>
      <c r="D540" s="11"/>
      <c r="E540" s="11"/>
      <c r="F540" s="11"/>
      <c r="G540" s="12"/>
      <c r="H540" s="13"/>
      <c r="I540" s="14"/>
      <c r="J540" s="11"/>
    </row>
    <row r="541" spans="1:10" ht="16" x14ac:dyDescent="0.2">
      <c r="A541" s="11"/>
      <c r="B541" s="11"/>
      <c r="C541" s="11"/>
      <c r="D541" s="11"/>
      <c r="E541" s="11"/>
      <c r="F541" s="11"/>
      <c r="G541" s="12"/>
      <c r="H541" s="13"/>
      <c r="I541" s="14"/>
      <c r="J541" s="11"/>
    </row>
    <row r="542" spans="1:10" ht="16" x14ac:dyDescent="0.2">
      <c r="A542" s="11"/>
      <c r="B542" s="11"/>
      <c r="C542" s="11"/>
      <c r="D542" s="11"/>
      <c r="E542" s="11"/>
      <c r="F542" s="11"/>
      <c r="G542" s="12"/>
      <c r="H542" s="13"/>
      <c r="I542" s="14"/>
      <c r="J542" s="11"/>
    </row>
    <row r="543" spans="1:10" ht="16" x14ac:dyDescent="0.2">
      <c r="A543" s="11"/>
      <c r="B543" s="11"/>
      <c r="C543" s="11"/>
      <c r="D543" s="11"/>
      <c r="E543" s="11"/>
      <c r="F543" s="11"/>
      <c r="G543" s="12"/>
      <c r="H543" s="13"/>
      <c r="I543" s="14"/>
      <c r="J543" s="11"/>
    </row>
    <row r="544" spans="1:10" ht="16" x14ac:dyDescent="0.2">
      <c r="A544" s="11"/>
      <c r="B544" s="11"/>
      <c r="C544" s="11"/>
      <c r="D544" s="11"/>
      <c r="E544" s="11"/>
      <c r="F544" s="11"/>
      <c r="G544" s="12"/>
      <c r="H544" s="13"/>
      <c r="I544" s="14"/>
      <c r="J544" s="11"/>
    </row>
    <row r="545" spans="1:10" ht="16" x14ac:dyDescent="0.2">
      <c r="A545" s="11"/>
      <c r="B545" s="11"/>
      <c r="C545" s="11"/>
      <c r="D545" s="11"/>
      <c r="E545" s="11"/>
      <c r="F545" s="11"/>
      <c r="G545" s="12"/>
      <c r="H545" s="13"/>
      <c r="I545" s="14"/>
      <c r="J545" s="11"/>
    </row>
    <row r="546" spans="1:10" ht="16" x14ac:dyDescent="0.2">
      <c r="A546" s="11"/>
      <c r="B546" s="11"/>
      <c r="C546" s="11"/>
      <c r="D546" s="11"/>
      <c r="E546" s="11"/>
      <c r="F546" s="11"/>
      <c r="G546" s="12"/>
      <c r="H546" s="13"/>
      <c r="I546" s="14"/>
      <c r="J546" s="11"/>
    </row>
    <row r="547" spans="1:10" ht="16" x14ac:dyDescent="0.2">
      <c r="A547" s="11"/>
      <c r="B547" s="11"/>
      <c r="C547" s="11"/>
      <c r="D547" s="11"/>
      <c r="E547" s="11"/>
      <c r="F547" s="11"/>
      <c r="G547" s="12"/>
      <c r="H547" s="13"/>
      <c r="I547" s="14"/>
      <c r="J547" s="11"/>
    </row>
    <row r="548" spans="1:10" ht="16" x14ac:dyDescent="0.2">
      <c r="A548" s="11"/>
      <c r="B548" s="11"/>
      <c r="C548" s="11"/>
      <c r="D548" s="11"/>
      <c r="E548" s="11"/>
      <c r="F548" s="11"/>
      <c r="G548" s="12"/>
      <c r="H548" s="13"/>
      <c r="I548" s="14"/>
      <c r="J548" s="11"/>
    </row>
    <row r="549" spans="1:10" ht="16" x14ac:dyDescent="0.2">
      <c r="A549" s="11"/>
      <c r="B549" s="11"/>
      <c r="C549" s="11"/>
      <c r="D549" s="11"/>
      <c r="E549" s="11"/>
      <c r="F549" s="11"/>
      <c r="G549" s="12"/>
      <c r="H549" s="13"/>
      <c r="I549" s="14"/>
      <c r="J549" s="11"/>
    </row>
    <row r="550" spans="1:10" ht="16" x14ac:dyDescent="0.2">
      <c r="A550" s="11"/>
      <c r="B550" s="11"/>
      <c r="C550" s="11"/>
      <c r="D550" s="11"/>
      <c r="E550" s="11"/>
      <c r="F550" s="11"/>
      <c r="G550" s="12"/>
      <c r="H550" s="13"/>
      <c r="I550" s="14"/>
      <c r="J550" s="11"/>
    </row>
    <row r="551" spans="1:10" ht="16" x14ac:dyDescent="0.2">
      <c r="A551" s="11"/>
      <c r="B551" s="11"/>
      <c r="C551" s="11"/>
      <c r="D551" s="11"/>
      <c r="E551" s="11"/>
      <c r="F551" s="11"/>
      <c r="G551" s="12"/>
      <c r="H551" s="13"/>
      <c r="I551" s="14"/>
      <c r="J551" s="11"/>
    </row>
    <row r="552" spans="1:10" ht="16" x14ac:dyDescent="0.2">
      <c r="A552" s="11"/>
      <c r="B552" s="11"/>
      <c r="C552" s="11"/>
      <c r="D552" s="11"/>
      <c r="E552" s="11"/>
      <c r="F552" s="11"/>
      <c r="G552" s="12"/>
      <c r="H552" s="13"/>
      <c r="I552" s="14"/>
      <c r="J552" s="11"/>
    </row>
    <row r="553" spans="1:10" ht="16" x14ac:dyDescent="0.2">
      <c r="A553" s="11"/>
      <c r="B553" s="11"/>
      <c r="C553" s="11"/>
      <c r="D553" s="11"/>
      <c r="E553" s="11"/>
      <c r="F553" s="11"/>
      <c r="G553" s="12"/>
      <c r="H553" s="13"/>
      <c r="I553" s="14"/>
      <c r="J553" s="11"/>
    </row>
    <row r="554" spans="1:10" ht="16" x14ac:dyDescent="0.2">
      <c r="A554" s="11"/>
      <c r="B554" s="11"/>
      <c r="C554" s="11"/>
      <c r="D554" s="11"/>
      <c r="E554" s="11"/>
      <c r="F554" s="11"/>
      <c r="G554" s="12"/>
      <c r="H554" s="13"/>
      <c r="I554" s="14"/>
      <c r="J554" s="11"/>
    </row>
    <row r="555" spans="1:10" ht="16" x14ac:dyDescent="0.2">
      <c r="A555" s="11"/>
      <c r="B555" s="11"/>
      <c r="C555" s="11"/>
      <c r="D555" s="11"/>
      <c r="E555" s="11"/>
      <c r="F555" s="11"/>
      <c r="G555" s="12"/>
      <c r="H555" s="13"/>
      <c r="I555" s="14"/>
      <c r="J555" s="11"/>
    </row>
    <row r="556" spans="1:10" ht="16" x14ac:dyDescent="0.2">
      <c r="A556" s="11"/>
      <c r="B556" s="11"/>
      <c r="C556" s="11"/>
      <c r="D556" s="11"/>
      <c r="E556" s="11"/>
      <c r="F556" s="11"/>
      <c r="G556" s="12"/>
      <c r="H556" s="13"/>
      <c r="I556" s="14"/>
      <c r="J556" s="11"/>
    </row>
    <row r="557" spans="1:10" ht="16" x14ac:dyDescent="0.2">
      <c r="A557" s="11"/>
      <c r="B557" s="11"/>
      <c r="C557" s="11"/>
      <c r="D557" s="11"/>
      <c r="E557" s="11"/>
      <c r="F557" s="11"/>
      <c r="G557" s="12"/>
      <c r="H557" s="13"/>
      <c r="I557" s="14"/>
      <c r="J557" s="11"/>
    </row>
    <row r="558" spans="1:10" ht="16" x14ac:dyDescent="0.2">
      <c r="A558" s="11"/>
      <c r="B558" s="11"/>
      <c r="C558" s="11"/>
      <c r="D558" s="11"/>
      <c r="E558" s="11"/>
      <c r="F558" s="11"/>
      <c r="G558" s="12"/>
      <c r="H558" s="13"/>
      <c r="I558" s="14"/>
      <c r="J558" s="11"/>
    </row>
    <row r="559" spans="1:10" ht="16" x14ac:dyDescent="0.2">
      <c r="A559" s="11"/>
      <c r="B559" s="11"/>
      <c r="C559" s="11"/>
      <c r="D559" s="11"/>
      <c r="E559" s="11"/>
      <c r="F559" s="11"/>
      <c r="G559" s="12"/>
      <c r="H559" s="13"/>
      <c r="I559" s="14"/>
      <c r="J559" s="11"/>
    </row>
    <row r="560" spans="1:10" ht="16" x14ac:dyDescent="0.2">
      <c r="A560" s="11"/>
      <c r="B560" s="11"/>
      <c r="C560" s="11"/>
      <c r="D560" s="11"/>
      <c r="E560" s="11"/>
      <c r="F560" s="11"/>
      <c r="G560" s="12"/>
      <c r="H560" s="13"/>
      <c r="I560" s="14"/>
      <c r="J560" s="11"/>
    </row>
    <row r="561" spans="1:10" ht="16" x14ac:dyDescent="0.2">
      <c r="A561" s="11"/>
      <c r="B561" s="11"/>
      <c r="C561" s="11"/>
      <c r="D561" s="11"/>
      <c r="E561" s="11"/>
      <c r="F561" s="11"/>
      <c r="G561" s="12"/>
      <c r="H561" s="13"/>
      <c r="I561" s="14"/>
      <c r="J561" s="11"/>
    </row>
    <row r="562" spans="1:10" ht="16" x14ac:dyDescent="0.2">
      <c r="A562" s="11"/>
      <c r="B562" s="11"/>
      <c r="C562" s="11"/>
      <c r="D562" s="11"/>
      <c r="E562" s="11"/>
      <c r="F562" s="11"/>
      <c r="G562" s="12"/>
      <c r="H562" s="13"/>
      <c r="I562" s="14"/>
      <c r="J562" s="11"/>
    </row>
    <row r="563" spans="1:10" ht="16" x14ac:dyDescent="0.2">
      <c r="A563" s="11"/>
      <c r="B563" s="11"/>
      <c r="C563" s="11"/>
      <c r="D563" s="11"/>
      <c r="E563" s="11"/>
      <c r="F563" s="11"/>
      <c r="G563" s="12"/>
      <c r="H563" s="13"/>
      <c r="I563" s="14"/>
      <c r="J563" s="11"/>
    </row>
    <row r="564" spans="1:10" ht="16" x14ac:dyDescent="0.2">
      <c r="A564" s="11"/>
      <c r="B564" s="11"/>
      <c r="C564" s="11"/>
      <c r="D564" s="11"/>
      <c r="E564" s="11"/>
      <c r="F564" s="11"/>
      <c r="G564" s="12"/>
      <c r="H564" s="13"/>
      <c r="I564" s="14"/>
      <c r="J564" s="11"/>
    </row>
    <row r="565" spans="1:10" ht="16" x14ac:dyDescent="0.2">
      <c r="A565" s="11"/>
      <c r="B565" s="11"/>
      <c r="C565" s="11"/>
      <c r="D565" s="11"/>
      <c r="E565" s="11"/>
      <c r="F565" s="11"/>
      <c r="G565" s="12"/>
      <c r="H565" s="13"/>
      <c r="I565" s="14"/>
      <c r="J565" s="11"/>
    </row>
    <row r="566" spans="1:10" ht="16" x14ac:dyDescent="0.2">
      <c r="A566" s="11"/>
      <c r="B566" s="11"/>
      <c r="C566" s="11"/>
      <c r="D566" s="11"/>
      <c r="E566" s="11"/>
      <c r="F566" s="11"/>
      <c r="G566" s="12"/>
      <c r="H566" s="13"/>
      <c r="I566" s="14"/>
      <c r="J566" s="11"/>
    </row>
    <row r="567" spans="1:10" ht="16" x14ac:dyDescent="0.2">
      <c r="A567" s="11"/>
      <c r="B567" s="11"/>
      <c r="C567" s="11"/>
      <c r="D567" s="11"/>
      <c r="E567" s="11"/>
      <c r="F567" s="11"/>
      <c r="G567" s="12"/>
      <c r="H567" s="13"/>
      <c r="I567" s="14"/>
      <c r="J567" s="11"/>
    </row>
    <row r="568" spans="1:10" ht="16" x14ac:dyDescent="0.2">
      <c r="A568" s="11"/>
      <c r="B568" s="11"/>
      <c r="C568" s="11"/>
      <c r="D568" s="11"/>
      <c r="E568" s="11"/>
      <c r="F568" s="11"/>
      <c r="G568" s="12"/>
      <c r="H568" s="13"/>
      <c r="I568" s="14"/>
      <c r="J568" s="11"/>
    </row>
    <row r="569" spans="1:10" ht="16" x14ac:dyDescent="0.2">
      <c r="A569" s="11"/>
      <c r="B569" s="11"/>
      <c r="C569" s="11"/>
      <c r="D569" s="11"/>
      <c r="E569" s="11"/>
      <c r="F569" s="11"/>
      <c r="G569" s="12"/>
      <c r="H569" s="13"/>
      <c r="I569" s="14"/>
      <c r="J569" s="11"/>
    </row>
    <row r="570" spans="1:10" ht="16" x14ac:dyDescent="0.2">
      <c r="A570" s="11"/>
      <c r="B570" s="11"/>
      <c r="C570" s="11"/>
      <c r="D570" s="11"/>
      <c r="E570" s="11"/>
      <c r="F570" s="11"/>
      <c r="G570" s="12"/>
      <c r="H570" s="13"/>
      <c r="I570" s="14"/>
      <c r="J570" s="11"/>
    </row>
    <row r="571" spans="1:10" ht="16" x14ac:dyDescent="0.2">
      <c r="A571" s="11"/>
      <c r="B571" s="11"/>
      <c r="C571" s="11"/>
      <c r="D571" s="11"/>
      <c r="E571" s="11"/>
      <c r="F571" s="11"/>
      <c r="G571" s="12"/>
      <c r="H571" s="13"/>
      <c r="I571" s="14"/>
      <c r="J571" s="11"/>
    </row>
    <row r="572" spans="1:10" ht="16" x14ac:dyDescent="0.2">
      <c r="A572" s="11"/>
      <c r="B572" s="11"/>
      <c r="C572" s="11"/>
      <c r="D572" s="11"/>
      <c r="E572" s="11"/>
      <c r="F572" s="11"/>
      <c r="G572" s="12"/>
      <c r="H572" s="13"/>
      <c r="I572" s="14"/>
      <c r="J572" s="11"/>
    </row>
    <row r="573" spans="1:10" ht="16" x14ac:dyDescent="0.2">
      <c r="A573" s="11"/>
      <c r="B573" s="11"/>
      <c r="C573" s="11"/>
      <c r="D573" s="11"/>
      <c r="E573" s="11"/>
      <c r="F573" s="11"/>
      <c r="G573" s="12"/>
      <c r="H573" s="13"/>
      <c r="I573" s="14"/>
      <c r="J573" s="11"/>
    </row>
    <row r="574" spans="1:10" ht="16" x14ac:dyDescent="0.2">
      <c r="A574" s="11"/>
      <c r="B574" s="11"/>
      <c r="C574" s="11"/>
      <c r="D574" s="11"/>
      <c r="E574" s="11"/>
      <c r="F574" s="11"/>
      <c r="G574" s="12"/>
      <c r="H574" s="13"/>
      <c r="I574" s="14"/>
      <c r="J574" s="11"/>
    </row>
    <row r="575" spans="1:10" ht="16" x14ac:dyDescent="0.2">
      <c r="A575" s="11"/>
      <c r="B575" s="11"/>
      <c r="C575" s="11"/>
      <c r="D575" s="11"/>
      <c r="E575" s="11"/>
      <c r="F575" s="11"/>
      <c r="G575" s="12"/>
      <c r="H575" s="13"/>
      <c r="I575" s="14"/>
      <c r="J575" s="11"/>
    </row>
    <row r="576" spans="1:10" ht="16" x14ac:dyDescent="0.2">
      <c r="A576" s="11"/>
      <c r="B576" s="11"/>
      <c r="C576" s="11"/>
      <c r="D576" s="11"/>
      <c r="E576" s="11"/>
      <c r="F576" s="11"/>
      <c r="G576" s="12"/>
      <c r="H576" s="13"/>
      <c r="I576" s="14"/>
      <c r="J576" s="11"/>
    </row>
    <row r="577" spans="1:10" ht="16" x14ac:dyDescent="0.2">
      <c r="A577" s="11"/>
      <c r="B577" s="11"/>
      <c r="C577" s="11"/>
      <c r="D577" s="11"/>
      <c r="E577" s="11"/>
      <c r="F577" s="11"/>
      <c r="G577" s="12"/>
      <c r="H577" s="13"/>
      <c r="I577" s="14"/>
      <c r="J577" s="11"/>
    </row>
    <row r="578" spans="1:10" ht="16" x14ac:dyDescent="0.2">
      <c r="A578" s="11"/>
      <c r="B578" s="11"/>
      <c r="C578" s="11"/>
      <c r="D578" s="11"/>
      <c r="E578" s="11"/>
      <c r="F578" s="11"/>
      <c r="G578" s="12"/>
      <c r="H578" s="13"/>
      <c r="I578" s="14"/>
      <c r="J578" s="11"/>
    </row>
    <row r="579" spans="1:10" ht="16" x14ac:dyDescent="0.2">
      <c r="A579" s="11"/>
      <c r="B579" s="11"/>
      <c r="C579" s="11"/>
      <c r="D579" s="11"/>
      <c r="E579" s="11"/>
      <c r="F579" s="11"/>
      <c r="G579" s="12"/>
      <c r="H579" s="13"/>
      <c r="I579" s="14"/>
      <c r="J579" s="11"/>
    </row>
    <row r="580" spans="1:10" ht="16" x14ac:dyDescent="0.2">
      <c r="A580" s="11"/>
      <c r="B580" s="11"/>
      <c r="C580" s="11"/>
      <c r="D580" s="11"/>
      <c r="E580" s="11"/>
      <c r="F580" s="11"/>
      <c r="G580" s="12"/>
      <c r="H580" s="13"/>
      <c r="I580" s="14"/>
      <c r="J580" s="11"/>
    </row>
    <row r="581" spans="1:10" ht="16" x14ac:dyDescent="0.2">
      <c r="A581" s="11"/>
      <c r="B581" s="11"/>
      <c r="C581" s="11"/>
      <c r="D581" s="11"/>
      <c r="E581" s="11"/>
      <c r="F581" s="11"/>
      <c r="G581" s="12"/>
      <c r="H581" s="13"/>
      <c r="I581" s="14"/>
      <c r="J581" s="11"/>
    </row>
    <row r="582" spans="1:10" ht="16" x14ac:dyDescent="0.2">
      <c r="A582" s="11"/>
      <c r="B582" s="11"/>
      <c r="C582" s="11"/>
      <c r="D582" s="11"/>
      <c r="E582" s="11"/>
      <c r="F582" s="11"/>
      <c r="G582" s="12"/>
      <c r="H582" s="13"/>
      <c r="I582" s="14"/>
      <c r="J582" s="11"/>
    </row>
    <row r="583" spans="1:10" ht="16" x14ac:dyDescent="0.2">
      <c r="A583" s="11"/>
      <c r="B583" s="11"/>
      <c r="C583" s="11"/>
      <c r="D583" s="11"/>
      <c r="E583" s="11"/>
      <c r="F583" s="11"/>
      <c r="G583" s="12"/>
      <c r="H583" s="13"/>
      <c r="I583" s="14"/>
      <c r="J583" s="11"/>
    </row>
    <row r="584" spans="1:10" ht="16" x14ac:dyDescent="0.2">
      <c r="A584" s="11"/>
      <c r="B584" s="11"/>
      <c r="C584" s="11"/>
      <c r="D584" s="11"/>
      <c r="E584" s="11"/>
      <c r="F584" s="11"/>
      <c r="G584" s="12"/>
      <c r="H584" s="13"/>
      <c r="I584" s="14"/>
      <c r="J584" s="11"/>
    </row>
    <row r="585" spans="1:10" ht="16" x14ac:dyDescent="0.2">
      <c r="A585" s="11"/>
      <c r="B585" s="11"/>
      <c r="C585" s="11"/>
      <c r="D585" s="11"/>
      <c r="E585" s="11"/>
      <c r="F585" s="11"/>
      <c r="G585" s="12"/>
      <c r="H585" s="13"/>
      <c r="I585" s="14"/>
      <c r="J585" s="11"/>
    </row>
    <row r="586" spans="1:10" ht="16" x14ac:dyDescent="0.2">
      <c r="A586" s="11"/>
      <c r="B586" s="11"/>
      <c r="C586" s="11"/>
      <c r="D586" s="11"/>
      <c r="E586" s="11"/>
      <c r="F586" s="11"/>
      <c r="G586" s="12"/>
      <c r="H586" s="13"/>
      <c r="I586" s="14"/>
      <c r="J586" s="11"/>
    </row>
    <row r="587" spans="1:10" ht="16" x14ac:dyDescent="0.2">
      <c r="A587" s="11"/>
      <c r="B587" s="11"/>
      <c r="C587" s="11"/>
      <c r="D587" s="11"/>
      <c r="E587" s="11"/>
      <c r="F587" s="11"/>
      <c r="G587" s="12"/>
      <c r="H587" s="13"/>
      <c r="I587" s="14"/>
      <c r="J587" s="11"/>
    </row>
    <row r="588" spans="1:10" ht="16" x14ac:dyDescent="0.2">
      <c r="A588" s="11"/>
      <c r="B588" s="11"/>
      <c r="C588" s="11"/>
      <c r="D588" s="11"/>
      <c r="E588" s="11"/>
      <c r="F588" s="11"/>
      <c r="G588" s="12"/>
      <c r="H588" s="13"/>
      <c r="I588" s="14"/>
      <c r="J588" s="11"/>
    </row>
    <row r="589" spans="1:10" ht="16" x14ac:dyDescent="0.2">
      <c r="A589" s="11"/>
      <c r="B589" s="11"/>
      <c r="C589" s="11"/>
      <c r="D589" s="11"/>
      <c r="E589" s="11"/>
      <c r="F589" s="11"/>
      <c r="G589" s="12"/>
      <c r="H589" s="13"/>
      <c r="I589" s="14"/>
      <c r="J589" s="11"/>
    </row>
    <row r="590" spans="1:10" ht="16" x14ac:dyDescent="0.2">
      <c r="A590" s="11"/>
      <c r="B590" s="11"/>
      <c r="C590" s="11"/>
      <c r="D590" s="11"/>
      <c r="E590" s="11"/>
      <c r="F590" s="11"/>
      <c r="G590" s="12"/>
      <c r="H590" s="13"/>
      <c r="I590" s="14"/>
      <c r="J590" s="11"/>
    </row>
    <row r="591" spans="1:10" ht="16" x14ac:dyDescent="0.2">
      <c r="A591" s="11"/>
      <c r="B591" s="11"/>
      <c r="C591" s="11"/>
      <c r="D591" s="11"/>
      <c r="E591" s="11"/>
      <c r="F591" s="11"/>
      <c r="G591" s="12"/>
      <c r="H591" s="13"/>
      <c r="I591" s="14"/>
      <c r="J591" s="11"/>
    </row>
    <row r="592" spans="1:10" ht="16" x14ac:dyDescent="0.2">
      <c r="A592" s="11"/>
      <c r="B592" s="11"/>
      <c r="C592" s="11"/>
      <c r="D592" s="11"/>
      <c r="E592" s="11"/>
      <c r="F592" s="11"/>
      <c r="G592" s="12"/>
      <c r="H592" s="13"/>
      <c r="I592" s="14"/>
      <c r="J592" s="11"/>
    </row>
    <row r="593" spans="1:10" ht="16" x14ac:dyDescent="0.2">
      <c r="A593" s="11"/>
      <c r="B593" s="11"/>
      <c r="C593" s="11"/>
      <c r="D593" s="11"/>
      <c r="E593" s="11"/>
      <c r="F593" s="11"/>
      <c r="G593" s="12"/>
      <c r="H593" s="13"/>
      <c r="I593" s="14"/>
      <c r="J593" s="11"/>
    </row>
    <row r="594" spans="1:10" ht="16" x14ac:dyDescent="0.2">
      <c r="A594" s="11"/>
      <c r="B594" s="11"/>
      <c r="C594" s="11"/>
      <c r="D594" s="11"/>
      <c r="E594" s="11"/>
      <c r="F594" s="11"/>
      <c r="G594" s="12"/>
      <c r="H594" s="13"/>
      <c r="I594" s="14"/>
      <c r="J594" s="11"/>
    </row>
    <row r="595" spans="1:10" ht="16" x14ac:dyDescent="0.2">
      <c r="A595" s="11"/>
      <c r="B595" s="11"/>
      <c r="C595" s="11"/>
      <c r="D595" s="11"/>
      <c r="E595" s="11"/>
      <c r="F595" s="11"/>
      <c r="G595" s="12"/>
      <c r="H595" s="13"/>
      <c r="I595" s="14"/>
      <c r="J595" s="11"/>
    </row>
    <row r="596" spans="1:10" ht="16" x14ac:dyDescent="0.2">
      <c r="A596" s="11"/>
      <c r="B596" s="11"/>
      <c r="C596" s="11"/>
      <c r="D596" s="11"/>
      <c r="E596" s="11"/>
      <c r="F596" s="11"/>
      <c r="G596" s="12"/>
      <c r="H596" s="13"/>
      <c r="I596" s="14"/>
      <c r="J596" s="11"/>
    </row>
    <row r="597" spans="1:10" ht="16" x14ac:dyDescent="0.2">
      <c r="A597" s="11"/>
      <c r="B597" s="11"/>
      <c r="C597" s="11"/>
      <c r="D597" s="11"/>
      <c r="E597" s="11"/>
      <c r="F597" s="11"/>
      <c r="G597" s="12"/>
      <c r="H597" s="13"/>
      <c r="I597" s="14"/>
      <c r="J597" s="11"/>
    </row>
    <row r="598" spans="1:10" ht="16" x14ac:dyDescent="0.2">
      <c r="A598" s="11"/>
      <c r="B598" s="11"/>
      <c r="C598" s="11"/>
      <c r="D598" s="11"/>
      <c r="E598" s="11"/>
      <c r="F598" s="11"/>
      <c r="G598" s="12"/>
      <c r="H598" s="13"/>
      <c r="I598" s="14"/>
      <c r="J598" s="11"/>
    </row>
    <row r="599" spans="1:10" ht="16" x14ac:dyDescent="0.2">
      <c r="A599" s="11"/>
      <c r="B599" s="11"/>
      <c r="C599" s="11"/>
      <c r="D599" s="11"/>
      <c r="E599" s="11"/>
      <c r="F599" s="11"/>
      <c r="G599" s="12"/>
      <c r="H599" s="13"/>
      <c r="I599" s="14"/>
      <c r="J599" s="11"/>
    </row>
    <row r="600" spans="1:10" ht="16" x14ac:dyDescent="0.2">
      <c r="A600" s="11"/>
      <c r="B600" s="11"/>
      <c r="C600" s="11"/>
      <c r="D600" s="11"/>
      <c r="E600" s="11"/>
      <c r="F600" s="11"/>
      <c r="G600" s="12"/>
      <c r="H600" s="13"/>
      <c r="I600" s="14"/>
      <c r="J600" s="11"/>
    </row>
    <row r="601" spans="1:10" ht="16" x14ac:dyDescent="0.2">
      <c r="A601" s="11"/>
      <c r="B601" s="11"/>
      <c r="C601" s="11"/>
      <c r="D601" s="11"/>
      <c r="E601" s="11"/>
      <c r="F601" s="11"/>
      <c r="G601" s="12"/>
      <c r="H601" s="13"/>
      <c r="I601" s="14"/>
      <c r="J601" s="11"/>
    </row>
    <row r="602" spans="1:10" ht="16" x14ac:dyDescent="0.2">
      <c r="A602" s="11"/>
      <c r="B602" s="11"/>
      <c r="C602" s="11"/>
      <c r="D602" s="11"/>
      <c r="E602" s="11"/>
      <c r="F602" s="11"/>
      <c r="G602" s="12"/>
      <c r="H602" s="13"/>
      <c r="I602" s="14"/>
      <c r="J602" s="11"/>
    </row>
    <row r="603" spans="1:10" ht="16" x14ac:dyDescent="0.2">
      <c r="A603" s="11"/>
      <c r="B603" s="11"/>
      <c r="C603" s="11"/>
      <c r="D603" s="11"/>
      <c r="E603" s="11"/>
      <c r="F603" s="11"/>
      <c r="G603" s="12"/>
      <c r="H603" s="13"/>
      <c r="I603" s="14"/>
      <c r="J603" s="11"/>
    </row>
    <row r="604" spans="1:10" ht="16" x14ac:dyDescent="0.2">
      <c r="A604" s="11"/>
      <c r="B604" s="11"/>
      <c r="C604" s="11"/>
      <c r="D604" s="11"/>
      <c r="E604" s="11"/>
      <c r="F604" s="11"/>
      <c r="G604" s="12"/>
      <c r="H604" s="13"/>
      <c r="I604" s="14"/>
      <c r="J604" s="11"/>
    </row>
    <row r="605" spans="1:10" ht="16" x14ac:dyDescent="0.2">
      <c r="A605" s="11"/>
      <c r="B605" s="11"/>
      <c r="C605" s="11"/>
      <c r="D605" s="11"/>
      <c r="E605" s="11"/>
      <c r="F605" s="11"/>
      <c r="G605" s="12"/>
      <c r="H605" s="13"/>
      <c r="I605" s="14"/>
      <c r="J605" s="11"/>
    </row>
    <row r="606" spans="1:10" ht="16" x14ac:dyDescent="0.2">
      <c r="A606" s="11"/>
      <c r="B606" s="11"/>
      <c r="C606" s="11"/>
      <c r="D606" s="11"/>
      <c r="E606" s="11"/>
      <c r="F606" s="11"/>
      <c r="G606" s="12"/>
      <c r="H606" s="13"/>
      <c r="I606" s="14"/>
      <c r="J606" s="11"/>
    </row>
    <row r="607" spans="1:10" ht="16" x14ac:dyDescent="0.2">
      <c r="A607" s="11"/>
      <c r="B607" s="11"/>
      <c r="C607" s="11"/>
      <c r="D607" s="11"/>
      <c r="E607" s="11"/>
      <c r="F607" s="11"/>
      <c r="G607" s="12"/>
      <c r="H607" s="13"/>
      <c r="I607" s="14"/>
      <c r="J607" s="11"/>
    </row>
    <row r="608" spans="1:10" ht="16" x14ac:dyDescent="0.2">
      <c r="A608" s="11"/>
      <c r="B608" s="11"/>
      <c r="C608" s="11"/>
      <c r="D608" s="11"/>
      <c r="E608" s="11"/>
      <c r="F608" s="11"/>
      <c r="G608" s="12"/>
      <c r="H608" s="13"/>
      <c r="I608" s="14"/>
      <c r="J608" s="11"/>
    </row>
    <row r="609" spans="1:10" ht="16" x14ac:dyDescent="0.2">
      <c r="A609" s="11"/>
      <c r="B609" s="11"/>
      <c r="C609" s="11"/>
      <c r="D609" s="11"/>
      <c r="E609" s="11"/>
      <c r="F609" s="11"/>
      <c r="G609" s="12"/>
      <c r="H609" s="13"/>
      <c r="I609" s="14"/>
      <c r="J609" s="11"/>
    </row>
    <row r="610" spans="1:10" ht="16" x14ac:dyDescent="0.2">
      <c r="A610" s="11"/>
      <c r="B610" s="11"/>
      <c r="C610" s="11"/>
      <c r="D610" s="11"/>
      <c r="E610" s="11"/>
      <c r="F610" s="11"/>
      <c r="G610" s="12"/>
      <c r="H610" s="13"/>
      <c r="I610" s="14"/>
      <c r="J610" s="11"/>
    </row>
    <row r="611" spans="1:10" ht="16" x14ac:dyDescent="0.2">
      <c r="A611" s="11"/>
      <c r="B611" s="11"/>
      <c r="C611" s="11"/>
      <c r="D611" s="11"/>
      <c r="E611" s="11"/>
      <c r="F611" s="11"/>
      <c r="G611" s="12"/>
      <c r="H611" s="13"/>
      <c r="I611" s="14"/>
      <c r="J611" s="11"/>
    </row>
    <row r="612" spans="1:10" ht="16" x14ac:dyDescent="0.2">
      <c r="A612" s="11"/>
      <c r="B612" s="11"/>
      <c r="C612" s="11"/>
      <c r="D612" s="11"/>
      <c r="E612" s="11"/>
      <c r="F612" s="11"/>
      <c r="G612" s="12"/>
      <c r="H612" s="13"/>
      <c r="I612" s="14"/>
      <c r="J612" s="11"/>
    </row>
    <row r="613" spans="1:10" ht="16" x14ac:dyDescent="0.2">
      <c r="A613" s="11"/>
      <c r="B613" s="11"/>
      <c r="C613" s="11"/>
      <c r="D613" s="11"/>
      <c r="E613" s="11"/>
      <c r="F613" s="11"/>
      <c r="G613" s="12"/>
      <c r="H613" s="13"/>
      <c r="I613" s="14"/>
      <c r="J613" s="11"/>
    </row>
    <row r="614" spans="1:10" ht="16" x14ac:dyDescent="0.2">
      <c r="A614" s="11"/>
      <c r="B614" s="11"/>
      <c r="C614" s="11"/>
      <c r="D614" s="11"/>
      <c r="E614" s="11"/>
      <c r="F614" s="11"/>
      <c r="G614" s="12"/>
      <c r="H614" s="13"/>
      <c r="I614" s="14"/>
      <c r="J614" s="11"/>
    </row>
    <row r="615" spans="1:10" ht="16" x14ac:dyDescent="0.2">
      <c r="A615" s="11"/>
      <c r="B615" s="11"/>
      <c r="C615" s="11"/>
      <c r="D615" s="11"/>
      <c r="E615" s="11"/>
      <c r="F615" s="11"/>
      <c r="G615" s="12"/>
      <c r="H615" s="13"/>
      <c r="I615" s="14"/>
      <c r="J615" s="11"/>
    </row>
    <row r="616" spans="1:10" ht="16" x14ac:dyDescent="0.2">
      <c r="A616" s="11"/>
      <c r="B616" s="11"/>
      <c r="C616" s="11"/>
      <c r="D616" s="11"/>
      <c r="E616" s="11"/>
      <c r="F616" s="11"/>
      <c r="G616" s="12"/>
      <c r="H616" s="13"/>
      <c r="I616" s="14"/>
      <c r="J616" s="11"/>
    </row>
    <row r="617" spans="1:10" ht="16" x14ac:dyDescent="0.2">
      <c r="A617" s="11"/>
      <c r="B617" s="11"/>
      <c r="C617" s="11"/>
      <c r="D617" s="11"/>
      <c r="E617" s="11"/>
      <c r="F617" s="11"/>
      <c r="G617" s="12"/>
      <c r="H617" s="13"/>
      <c r="I617" s="14"/>
      <c r="J617" s="11"/>
    </row>
    <row r="618" spans="1:10" ht="16" x14ac:dyDescent="0.2">
      <c r="A618" s="11"/>
      <c r="B618" s="11"/>
      <c r="C618" s="11"/>
      <c r="D618" s="11"/>
      <c r="E618" s="11"/>
      <c r="F618" s="11"/>
      <c r="G618" s="12"/>
      <c r="H618" s="13"/>
      <c r="I618" s="14"/>
      <c r="J618" s="11"/>
    </row>
    <row r="619" spans="1:10" ht="16" x14ac:dyDescent="0.2">
      <c r="A619" s="11"/>
      <c r="B619" s="11"/>
      <c r="C619" s="11"/>
      <c r="D619" s="11"/>
      <c r="E619" s="11"/>
      <c r="F619" s="11"/>
      <c r="G619" s="12"/>
      <c r="H619" s="13"/>
      <c r="I619" s="14"/>
      <c r="J619" s="11"/>
    </row>
    <row r="620" spans="1:10" ht="16" x14ac:dyDescent="0.2">
      <c r="A620" s="11"/>
      <c r="B620" s="11"/>
      <c r="C620" s="11"/>
      <c r="D620" s="11"/>
      <c r="E620" s="11"/>
      <c r="F620" s="11"/>
      <c r="G620" s="12"/>
      <c r="H620" s="13"/>
      <c r="I620" s="14"/>
      <c r="J620" s="11"/>
    </row>
    <row r="621" spans="1:10" ht="16" x14ac:dyDescent="0.2">
      <c r="A621" s="11"/>
      <c r="B621" s="11"/>
      <c r="C621" s="11"/>
      <c r="D621" s="11"/>
      <c r="E621" s="11"/>
      <c r="F621" s="11"/>
      <c r="G621" s="12"/>
      <c r="H621" s="13"/>
      <c r="I621" s="14"/>
      <c r="J621" s="11"/>
    </row>
    <row r="622" spans="1:10" ht="16" x14ac:dyDescent="0.2">
      <c r="A622" s="11"/>
      <c r="B622" s="11"/>
      <c r="C622" s="11"/>
      <c r="D622" s="11"/>
      <c r="E622" s="11"/>
      <c r="F622" s="11"/>
      <c r="G622" s="12"/>
      <c r="H622" s="13"/>
      <c r="I622" s="14"/>
      <c r="J622" s="11"/>
    </row>
    <row r="623" spans="1:10" ht="16" x14ac:dyDescent="0.2">
      <c r="A623" s="11"/>
      <c r="B623" s="11"/>
      <c r="C623" s="11"/>
      <c r="D623" s="11"/>
      <c r="E623" s="11"/>
      <c r="F623" s="11"/>
      <c r="G623" s="12"/>
      <c r="H623" s="13"/>
      <c r="I623" s="14"/>
      <c r="J623" s="11"/>
    </row>
    <row r="624" spans="1:10" ht="16" x14ac:dyDescent="0.2">
      <c r="A624" s="11"/>
      <c r="B624" s="11"/>
      <c r="C624" s="11"/>
      <c r="D624" s="11"/>
      <c r="E624" s="11"/>
      <c r="F624" s="11"/>
      <c r="G624" s="12"/>
      <c r="H624" s="13"/>
      <c r="I624" s="14"/>
      <c r="J624" s="11"/>
    </row>
    <row r="625" spans="1:10" ht="16" x14ac:dyDescent="0.2">
      <c r="A625" s="11"/>
      <c r="B625" s="11"/>
      <c r="C625" s="11"/>
      <c r="D625" s="11"/>
      <c r="E625" s="11"/>
      <c r="F625" s="11"/>
      <c r="G625" s="12"/>
      <c r="H625" s="13"/>
      <c r="I625" s="14"/>
      <c r="J625" s="11"/>
    </row>
    <row r="626" spans="1:10" ht="16" x14ac:dyDescent="0.2">
      <c r="A626" s="11"/>
      <c r="B626" s="11"/>
      <c r="C626" s="11"/>
      <c r="D626" s="11"/>
      <c r="E626" s="11"/>
      <c r="F626" s="11"/>
      <c r="G626" s="12"/>
      <c r="H626" s="13"/>
      <c r="I626" s="14"/>
      <c r="J626" s="11"/>
    </row>
    <row r="627" spans="1:10" ht="16" x14ac:dyDescent="0.2">
      <c r="A627" s="11"/>
      <c r="B627" s="11"/>
      <c r="C627" s="11"/>
      <c r="D627" s="11"/>
      <c r="E627" s="11"/>
      <c r="F627" s="11"/>
      <c r="G627" s="12"/>
      <c r="H627" s="13"/>
      <c r="I627" s="14"/>
      <c r="J627" s="11"/>
    </row>
    <row r="628" spans="1:10" ht="16" x14ac:dyDescent="0.2">
      <c r="A628" s="11"/>
      <c r="B628" s="11"/>
      <c r="C628" s="11"/>
      <c r="D628" s="11"/>
      <c r="E628" s="11"/>
      <c r="F628" s="11"/>
      <c r="G628" s="12"/>
      <c r="H628" s="13"/>
      <c r="I628" s="14"/>
      <c r="J628" s="11"/>
    </row>
    <row r="629" spans="1:10" ht="16" x14ac:dyDescent="0.2">
      <c r="A629" s="11"/>
      <c r="B629" s="11"/>
      <c r="C629" s="11"/>
      <c r="D629" s="11"/>
      <c r="E629" s="11"/>
      <c r="F629" s="11"/>
      <c r="G629" s="12"/>
      <c r="H629" s="13"/>
      <c r="I629" s="14"/>
      <c r="J629" s="11"/>
    </row>
    <row r="630" spans="1:10" ht="16" x14ac:dyDescent="0.2">
      <c r="A630" s="11"/>
      <c r="B630" s="11"/>
      <c r="C630" s="11"/>
      <c r="D630" s="11"/>
      <c r="E630" s="11"/>
      <c r="F630" s="11"/>
      <c r="G630" s="12"/>
      <c r="H630" s="13"/>
      <c r="I630" s="14"/>
      <c r="J630" s="11"/>
    </row>
    <row r="631" spans="1:10" ht="16" x14ac:dyDescent="0.2">
      <c r="A631" s="11"/>
      <c r="B631" s="11"/>
      <c r="C631" s="11"/>
      <c r="D631" s="11"/>
      <c r="E631" s="11"/>
      <c r="F631" s="11"/>
      <c r="G631" s="12"/>
      <c r="H631" s="13"/>
      <c r="I631" s="14"/>
      <c r="J631" s="11"/>
    </row>
    <row r="632" spans="1:10" ht="16" x14ac:dyDescent="0.2">
      <c r="A632" s="11"/>
      <c r="B632" s="11"/>
      <c r="C632" s="11"/>
      <c r="D632" s="11"/>
      <c r="E632" s="11"/>
      <c r="F632" s="11"/>
      <c r="G632" s="12"/>
      <c r="H632" s="13"/>
      <c r="I632" s="14"/>
      <c r="J632" s="11"/>
    </row>
    <row r="633" spans="1:10" ht="16" x14ac:dyDescent="0.2">
      <c r="A633" s="11"/>
      <c r="B633" s="11"/>
      <c r="C633" s="11"/>
      <c r="D633" s="11"/>
      <c r="E633" s="11"/>
      <c r="F633" s="11"/>
      <c r="G633" s="12"/>
      <c r="H633" s="13"/>
      <c r="I633" s="14"/>
      <c r="J633" s="11"/>
    </row>
    <row r="634" spans="1:10" ht="16" x14ac:dyDescent="0.2">
      <c r="A634" s="11"/>
      <c r="B634" s="11"/>
      <c r="C634" s="11"/>
      <c r="D634" s="11"/>
      <c r="E634" s="11"/>
      <c r="F634" s="11"/>
      <c r="G634" s="12"/>
      <c r="H634" s="13"/>
      <c r="I634" s="14"/>
      <c r="J634" s="11"/>
    </row>
    <row r="635" spans="1:10" ht="16" x14ac:dyDescent="0.2">
      <c r="A635" s="11"/>
      <c r="B635" s="11"/>
      <c r="C635" s="11"/>
      <c r="D635" s="11"/>
      <c r="E635" s="11"/>
      <c r="F635" s="11"/>
      <c r="G635" s="12"/>
      <c r="H635" s="13"/>
      <c r="I635" s="14"/>
      <c r="J635" s="11"/>
    </row>
    <row r="636" spans="1:10" ht="16" x14ac:dyDescent="0.2">
      <c r="A636" s="11"/>
      <c r="B636" s="11"/>
      <c r="C636" s="11"/>
      <c r="D636" s="11"/>
      <c r="E636" s="11"/>
      <c r="F636" s="11"/>
      <c r="G636" s="12"/>
      <c r="H636" s="13"/>
      <c r="I636" s="14"/>
      <c r="J636" s="11"/>
    </row>
    <row r="637" spans="1:10" ht="16" x14ac:dyDescent="0.2">
      <c r="A637" s="11"/>
      <c r="B637" s="11"/>
      <c r="C637" s="11"/>
      <c r="D637" s="11"/>
      <c r="E637" s="11"/>
      <c r="F637" s="11"/>
      <c r="G637" s="12"/>
      <c r="H637" s="13"/>
      <c r="I637" s="14"/>
      <c r="J637" s="11"/>
    </row>
    <row r="638" spans="1:10" ht="16" x14ac:dyDescent="0.2">
      <c r="A638" s="11"/>
      <c r="B638" s="11"/>
      <c r="C638" s="11"/>
      <c r="D638" s="11"/>
      <c r="E638" s="11"/>
      <c r="F638" s="11"/>
      <c r="G638" s="12"/>
      <c r="H638" s="13"/>
      <c r="I638" s="14"/>
      <c r="J638" s="11"/>
    </row>
    <row r="639" spans="1:10" ht="16" x14ac:dyDescent="0.2">
      <c r="A639" s="11"/>
      <c r="B639" s="11"/>
      <c r="C639" s="11"/>
      <c r="D639" s="11"/>
      <c r="E639" s="11"/>
      <c r="F639" s="11"/>
      <c r="G639" s="12"/>
      <c r="H639" s="13"/>
      <c r="I639" s="14"/>
      <c r="J639" s="11"/>
    </row>
    <row r="640" spans="1:10" ht="16" x14ac:dyDescent="0.2">
      <c r="A640" s="11"/>
      <c r="B640" s="11"/>
      <c r="C640" s="11"/>
      <c r="D640" s="11"/>
      <c r="E640" s="11"/>
      <c r="F640" s="11"/>
      <c r="G640" s="12"/>
      <c r="H640" s="13"/>
      <c r="I640" s="14"/>
      <c r="J640" s="11"/>
    </row>
    <row r="641" spans="1:10" ht="16" x14ac:dyDescent="0.2">
      <c r="A641" s="11"/>
      <c r="B641" s="11"/>
      <c r="C641" s="11"/>
      <c r="D641" s="11"/>
      <c r="E641" s="11"/>
      <c r="F641" s="11"/>
      <c r="G641" s="12"/>
      <c r="H641" s="13"/>
      <c r="I641" s="14"/>
      <c r="J641" s="11"/>
    </row>
    <row r="642" spans="1:10" ht="16" x14ac:dyDescent="0.2">
      <c r="A642" s="11"/>
      <c r="B642" s="11"/>
      <c r="C642" s="11"/>
      <c r="D642" s="11"/>
      <c r="E642" s="11"/>
      <c r="F642" s="11"/>
      <c r="G642" s="12"/>
      <c r="H642" s="13"/>
      <c r="I642" s="14"/>
      <c r="J642" s="11"/>
    </row>
    <row r="643" spans="1:10" ht="16" x14ac:dyDescent="0.2">
      <c r="A643" s="11"/>
      <c r="B643" s="11"/>
      <c r="C643" s="11"/>
      <c r="D643" s="11"/>
      <c r="E643" s="11"/>
      <c r="F643" s="11"/>
      <c r="G643" s="12"/>
      <c r="H643" s="13"/>
      <c r="I643" s="14"/>
      <c r="J643" s="11"/>
    </row>
    <row r="644" spans="1:10" ht="16" x14ac:dyDescent="0.2">
      <c r="A644" s="11"/>
      <c r="B644" s="11"/>
      <c r="C644" s="11"/>
      <c r="D644" s="11"/>
      <c r="E644" s="11"/>
      <c r="F644" s="11"/>
      <c r="G644" s="12"/>
      <c r="H644" s="13"/>
      <c r="I644" s="14"/>
      <c r="J644" s="11"/>
    </row>
    <row r="645" spans="1:10" ht="16" x14ac:dyDescent="0.2">
      <c r="A645" s="11"/>
      <c r="B645" s="11"/>
      <c r="C645" s="11"/>
      <c r="D645" s="11"/>
      <c r="E645" s="11"/>
      <c r="F645" s="11"/>
      <c r="G645" s="12"/>
      <c r="H645" s="13"/>
      <c r="I645" s="14"/>
      <c r="J645" s="11"/>
    </row>
    <row r="646" spans="1:10" ht="16" x14ac:dyDescent="0.2">
      <c r="A646" s="11"/>
      <c r="B646" s="11"/>
      <c r="C646" s="11"/>
      <c r="D646" s="11"/>
      <c r="E646" s="11"/>
      <c r="F646" s="11"/>
      <c r="G646" s="12"/>
      <c r="H646" s="13"/>
      <c r="I646" s="14"/>
      <c r="J646" s="11"/>
    </row>
    <row r="647" spans="1:10" ht="16" x14ac:dyDescent="0.2">
      <c r="A647" s="11"/>
      <c r="B647" s="11"/>
      <c r="C647" s="11"/>
      <c r="D647" s="11"/>
      <c r="E647" s="11"/>
      <c r="F647" s="11"/>
      <c r="G647" s="12"/>
      <c r="H647" s="13"/>
      <c r="I647" s="14"/>
      <c r="J647" s="11"/>
    </row>
    <row r="648" spans="1:10" ht="16" x14ac:dyDescent="0.2">
      <c r="A648" s="11"/>
      <c r="B648" s="11"/>
      <c r="C648" s="11"/>
      <c r="D648" s="11"/>
      <c r="E648" s="11"/>
      <c r="F648" s="11"/>
      <c r="G648" s="12"/>
      <c r="H648" s="13"/>
      <c r="I648" s="14"/>
      <c r="J648" s="11"/>
    </row>
    <row r="649" spans="1:10" ht="16" x14ac:dyDescent="0.2">
      <c r="A649" s="11"/>
      <c r="B649" s="11"/>
      <c r="C649" s="11"/>
      <c r="D649" s="11"/>
      <c r="E649" s="11"/>
      <c r="F649" s="11"/>
      <c r="G649" s="12"/>
      <c r="H649" s="13"/>
      <c r="I649" s="14"/>
      <c r="J649" s="11"/>
    </row>
    <row r="650" spans="1:10" ht="16" x14ac:dyDescent="0.2">
      <c r="A650" s="11"/>
      <c r="B650" s="11"/>
      <c r="C650" s="11"/>
      <c r="D650" s="11"/>
      <c r="E650" s="11"/>
      <c r="F650" s="11"/>
      <c r="G650" s="12"/>
      <c r="H650" s="13"/>
      <c r="I650" s="14"/>
      <c r="J650" s="11"/>
    </row>
    <row r="651" spans="1:10" ht="16" x14ac:dyDescent="0.2">
      <c r="A651" s="11"/>
      <c r="B651" s="11"/>
      <c r="C651" s="11"/>
      <c r="D651" s="11"/>
      <c r="E651" s="11"/>
      <c r="F651" s="11"/>
      <c r="G651" s="12"/>
      <c r="H651" s="13"/>
      <c r="I651" s="14"/>
      <c r="J651" s="11"/>
    </row>
    <row r="652" spans="1:10" ht="16" x14ac:dyDescent="0.2">
      <c r="A652" s="11"/>
      <c r="B652" s="11"/>
      <c r="C652" s="11"/>
      <c r="D652" s="11"/>
      <c r="E652" s="11"/>
      <c r="F652" s="11"/>
      <c r="G652" s="12"/>
      <c r="H652" s="13"/>
      <c r="I652" s="14"/>
      <c r="J652" s="11"/>
    </row>
    <row r="653" spans="1:10" ht="16" x14ac:dyDescent="0.2">
      <c r="A653" s="11"/>
      <c r="B653" s="11"/>
      <c r="C653" s="11"/>
      <c r="D653" s="11"/>
      <c r="E653" s="11"/>
      <c r="F653" s="11"/>
      <c r="G653" s="12"/>
      <c r="H653" s="13"/>
      <c r="I653" s="14"/>
      <c r="J653" s="11"/>
    </row>
    <row r="654" spans="1:10" ht="16" x14ac:dyDescent="0.2">
      <c r="A654" s="11"/>
      <c r="B654" s="11"/>
      <c r="C654" s="11"/>
      <c r="D654" s="11"/>
      <c r="E654" s="11"/>
      <c r="F654" s="11"/>
      <c r="G654" s="12"/>
      <c r="H654" s="13"/>
      <c r="I654" s="14"/>
      <c r="J654" s="11"/>
    </row>
    <row r="655" spans="1:10" ht="16" x14ac:dyDescent="0.2">
      <c r="A655" s="11"/>
      <c r="B655" s="11"/>
      <c r="C655" s="11"/>
      <c r="D655" s="11"/>
      <c r="E655" s="11"/>
      <c r="F655" s="11"/>
      <c r="G655" s="12"/>
      <c r="H655" s="13"/>
      <c r="I655" s="14"/>
      <c r="J655" s="11"/>
    </row>
    <row r="656" spans="1:10" ht="16" x14ac:dyDescent="0.2">
      <c r="A656" s="11"/>
      <c r="B656" s="11"/>
      <c r="C656" s="11"/>
      <c r="D656" s="11"/>
      <c r="E656" s="11"/>
      <c r="F656" s="11"/>
      <c r="G656" s="12"/>
      <c r="H656" s="13"/>
      <c r="I656" s="14"/>
      <c r="J656" s="11"/>
    </row>
    <row r="657" spans="1:10" ht="16" x14ac:dyDescent="0.2">
      <c r="A657" s="11"/>
      <c r="B657" s="11"/>
      <c r="C657" s="11"/>
      <c r="D657" s="11"/>
      <c r="E657" s="11"/>
      <c r="F657" s="11"/>
      <c r="G657" s="12"/>
      <c r="H657" s="13"/>
      <c r="I657" s="14"/>
      <c r="J657" s="11"/>
    </row>
    <row r="658" spans="1:10" ht="16" x14ac:dyDescent="0.2">
      <c r="A658" s="11"/>
      <c r="B658" s="11"/>
      <c r="C658" s="11"/>
      <c r="D658" s="11"/>
      <c r="E658" s="11"/>
      <c r="F658" s="11"/>
      <c r="G658" s="12"/>
      <c r="H658" s="13"/>
      <c r="I658" s="14"/>
      <c r="J658" s="11"/>
    </row>
    <row r="659" spans="1:10" ht="16" x14ac:dyDescent="0.2">
      <c r="A659" s="11"/>
      <c r="B659" s="11"/>
      <c r="C659" s="11"/>
      <c r="D659" s="11"/>
      <c r="E659" s="11"/>
      <c r="F659" s="11"/>
      <c r="G659" s="12"/>
      <c r="H659" s="13"/>
      <c r="I659" s="14"/>
      <c r="J659" s="11"/>
    </row>
    <row r="660" spans="1:10" ht="16" x14ac:dyDescent="0.2">
      <c r="A660" s="11"/>
      <c r="B660" s="11"/>
      <c r="C660" s="11"/>
      <c r="D660" s="11"/>
      <c r="E660" s="11"/>
      <c r="F660" s="11"/>
      <c r="G660" s="12"/>
      <c r="H660" s="13"/>
      <c r="I660" s="14"/>
      <c r="J660" s="11"/>
    </row>
    <row r="661" spans="1:10" ht="16" x14ac:dyDescent="0.2">
      <c r="A661" s="11"/>
      <c r="B661" s="11"/>
      <c r="C661" s="11"/>
      <c r="D661" s="11"/>
      <c r="E661" s="11"/>
      <c r="F661" s="11"/>
      <c r="G661" s="12"/>
      <c r="H661" s="13"/>
      <c r="I661" s="14"/>
      <c r="J661" s="11"/>
    </row>
    <row r="662" spans="1:10" ht="16" x14ac:dyDescent="0.2">
      <c r="A662" s="11"/>
      <c r="B662" s="11"/>
      <c r="C662" s="11"/>
      <c r="D662" s="11"/>
      <c r="E662" s="11"/>
      <c r="F662" s="11"/>
      <c r="G662" s="12"/>
      <c r="H662" s="13"/>
      <c r="I662" s="14"/>
      <c r="J662" s="11"/>
    </row>
    <row r="663" spans="1:10" ht="16" x14ac:dyDescent="0.2">
      <c r="A663" s="11"/>
      <c r="B663" s="11"/>
      <c r="C663" s="11"/>
      <c r="D663" s="11"/>
      <c r="E663" s="11"/>
      <c r="F663" s="11"/>
      <c r="G663" s="12"/>
      <c r="H663" s="13"/>
      <c r="I663" s="14"/>
      <c r="J663" s="11"/>
    </row>
    <row r="664" spans="1:10" ht="16" x14ac:dyDescent="0.2">
      <c r="A664" s="11"/>
      <c r="B664" s="11"/>
      <c r="C664" s="11"/>
      <c r="D664" s="11"/>
      <c r="E664" s="11"/>
      <c r="F664" s="11"/>
      <c r="G664" s="12"/>
      <c r="H664" s="13"/>
      <c r="I664" s="14"/>
      <c r="J664" s="11"/>
    </row>
    <row r="665" spans="1:10" ht="16" x14ac:dyDescent="0.2">
      <c r="A665" s="11"/>
      <c r="B665" s="11"/>
      <c r="C665" s="11"/>
      <c r="D665" s="11"/>
      <c r="E665" s="11"/>
      <c r="F665" s="11"/>
      <c r="G665" s="12"/>
      <c r="H665" s="13"/>
      <c r="I665" s="14"/>
      <c r="J665" s="11"/>
    </row>
    <row r="666" spans="1:10" ht="16" x14ac:dyDescent="0.2">
      <c r="A666" s="11"/>
      <c r="B666" s="11"/>
      <c r="C666" s="11"/>
      <c r="D666" s="11"/>
      <c r="E666" s="11"/>
      <c r="F666" s="11"/>
      <c r="G666" s="12"/>
      <c r="H666" s="13"/>
      <c r="I666" s="14"/>
      <c r="J666" s="11"/>
    </row>
    <row r="667" spans="1:10" ht="16" x14ac:dyDescent="0.2">
      <c r="A667" s="11"/>
      <c r="B667" s="11"/>
      <c r="C667" s="11"/>
      <c r="D667" s="11"/>
      <c r="E667" s="11"/>
      <c r="F667" s="11"/>
      <c r="G667" s="12"/>
      <c r="H667" s="13"/>
      <c r="I667" s="14"/>
      <c r="J667" s="11"/>
    </row>
    <row r="668" spans="1:10" ht="16" x14ac:dyDescent="0.2">
      <c r="A668" s="11"/>
      <c r="B668" s="11"/>
      <c r="C668" s="11"/>
      <c r="D668" s="11"/>
      <c r="E668" s="11"/>
      <c r="F668" s="11"/>
      <c r="G668" s="12"/>
      <c r="H668" s="13"/>
      <c r="I668" s="14"/>
      <c r="J668" s="11"/>
    </row>
    <row r="669" spans="1:10" ht="16" x14ac:dyDescent="0.2">
      <c r="A669" s="11"/>
      <c r="B669" s="11"/>
      <c r="C669" s="11"/>
      <c r="D669" s="11"/>
      <c r="E669" s="11"/>
      <c r="F669" s="11"/>
      <c r="G669" s="12"/>
      <c r="H669" s="13"/>
      <c r="I669" s="14"/>
      <c r="J669" s="11"/>
    </row>
    <row r="670" spans="1:10" ht="16" x14ac:dyDescent="0.2">
      <c r="A670" s="11"/>
      <c r="B670" s="11"/>
      <c r="C670" s="11"/>
      <c r="D670" s="11"/>
      <c r="E670" s="11"/>
      <c r="F670" s="11"/>
      <c r="G670" s="12"/>
      <c r="H670" s="13"/>
      <c r="I670" s="14"/>
      <c r="J670" s="11"/>
    </row>
    <row r="671" spans="1:10" ht="16" x14ac:dyDescent="0.2">
      <c r="A671" s="11"/>
      <c r="B671" s="11"/>
      <c r="C671" s="11"/>
      <c r="D671" s="11"/>
      <c r="E671" s="11"/>
      <c r="F671" s="11"/>
      <c r="G671" s="12"/>
      <c r="H671" s="13"/>
      <c r="I671" s="14"/>
      <c r="J671" s="11"/>
    </row>
    <row r="672" spans="1:10" ht="16" x14ac:dyDescent="0.2">
      <c r="A672" s="11"/>
      <c r="B672" s="11"/>
      <c r="C672" s="11"/>
      <c r="D672" s="11"/>
      <c r="E672" s="11"/>
      <c r="F672" s="11"/>
      <c r="G672" s="12"/>
      <c r="H672" s="13"/>
      <c r="I672" s="14"/>
      <c r="J672" s="11"/>
    </row>
    <row r="673" spans="1:10" ht="16" x14ac:dyDescent="0.2">
      <c r="A673" s="11"/>
      <c r="B673" s="11"/>
      <c r="C673" s="11"/>
      <c r="D673" s="11"/>
      <c r="E673" s="11"/>
      <c r="F673" s="11"/>
      <c r="G673" s="12"/>
      <c r="H673" s="13"/>
      <c r="I673" s="14"/>
      <c r="J673" s="11"/>
    </row>
    <row r="674" spans="1:10" ht="16" x14ac:dyDescent="0.2">
      <c r="A674" s="11"/>
      <c r="B674" s="11"/>
      <c r="C674" s="11"/>
      <c r="D674" s="11"/>
      <c r="E674" s="11"/>
      <c r="F674" s="11"/>
      <c r="G674" s="12"/>
      <c r="H674" s="13"/>
      <c r="I674" s="14"/>
      <c r="J674" s="11"/>
    </row>
    <row r="675" spans="1:10" ht="16" x14ac:dyDescent="0.2">
      <c r="A675" s="11"/>
      <c r="B675" s="11"/>
      <c r="C675" s="11"/>
      <c r="D675" s="11"/>
      <c r="E675" s="11"/>
      <c r="F675" s="11"/>
      <c r="G675" s="12"/>
      <c r="H675" s="13"/>
      <c r="I675" s="14"/>
      <c r="J675" s="11"/>
    </row>
    <row r="676" spans="1:10" ht="16" x14ac:dyDescent="0.2">
      <c r="A676" s="11"/>
      <c r="B676" s="11"/>
      <c r="C676" s="11"/>
      <c r="D676" s="11"/>
      <c r="E676" s="11"/>
      <c r="F676" s="11"/>
      <c r="G676" s="12"/>
      <c r="H676" s="13"/>
      <c r="I676" s="14"/>
      <c r="J676" s="11"/>
    </row>
    <row r="677" spans="1:10" ht="16" x14ac:dyDescent="0.2">
      <c r="A677" s="11"/>
      <c r="B677" s="11"/>
      <c r="C677" s="11"/>
      <c r="D677" s="11"/>
      <c r="E677" s="11"/>
      <c r="F677" s="11"/>
      <c r="G677" s="12"/>
      <c r="H677" s="13"/>
      <c r="I677" s="14"/>
      <c r="J677" s="11"/>
    </row>
    <row r="678" spans="1:10" ht="16" x14ac:dyDescent="0.2">
      <c r="A678" s="11"/>
      <c r="B678" s="11"/>
      <c r="C678" s="11"/>
      <c r="D678" s="11"/>
      <c r="E678" s="11"/>
      <c r="F678" s="11"/>
      <c r="G678" s="12"/>
      <c r="H678" s="13"/>
      <c r="I678" s="14"/>
      <c r="J678" s="11"/>
    </row>
    <row r="679" spans="1:10" ht="16" x14ac:dyDescent="0.2">
      <c r="A679" s="11"/>
      <c r="B679" s="11"/>
      <c r="C679" s="11"/>
      <c r="D679" s="11"/>
      <c r="E679" s="11"/>
      <c r="F679" s="11"/>
      <c r="G679" s="12"/>
      <c r="H679" s="13"/>
      <c r="I679" s="14"/>
      <c r="J679" s="11"/>
    </row>
    <row r="680" spans="1:10" ht="16" x14ac:dyDescent="0.2">
      <c r="A680" s="11"/>
      <c r="B680" s="11"/>
      <c r="C680" s="11"/>
      <c r="D680" s="11"/>
      <c r="E680" s="11"/>
      <c r="F680" s="11"/>
      <c r="G680" s="12"/>
      <c r="H680" s="13"/>
      <c r="I680" s="14"/>
      <c r="J680" s="11"/>
    </row>
    <row r="681" spans="1:10" ht="16" x14ac:dyDescent="0.2">
      <c r="A681" s="11"/>
      <c r="B681" s="11"/>
      <c r="C681" s="11"/>
      <c r="D681" s="11"/>
      <c r="E681" s="11"/>
      <c r="F681" s="11"/>
      <c r="G681" s="12"/>
      <c r="H681" s="13"/>
      <c r="I681" s="14"/>
      <c r="J681" s="11"/>
    </row>
    <row r="682" spans="1:10" ht="16" x14ac:dyDescent="0.2">
      <c r="A682" s="11"/>
      <c r="B682" s="11"/>
      <c r="C682" s="11"/>
      <c r="D682" s="11"/>
      <c r="E682" s="11"/>
      <c r="F682" s="11"/>
      <c r="G682" s="12"/>
      <c r="H682" s="13"/>
      <c r="I682" s="14"/>
      <c r="J682" s="11"/>
    </row>
    <row r="683" spans="1:10" ht="16" x14ac:dyDescent="0.2">
      <c r="A683" s="11"/>
      <c r="B683" s="11"/>
      <c r="C683" s="11"/>
      <c r="D683" s="11"/>
      <c r="E683" s="11"/>
      <c r="F683" s="11"/>
      <c r="G683" s="12"/>
      <c r="H683" s="13"/>
      <c r="I683" s="14"/>
      <c r="J683" s="11"/>
    </row>
    <row r="684" spans="1:10" ht="16" x14ac:dyDescent="0.2">
      <c r="A684" s="11"/>
      <c r="B684" s="11"/>
      <c r="C684" s="11"/>
      <c r="D684" s="11"/>
      <c r="E684" s="11"/>
      <c r="F684" s="11"/>
      <c r="G684" s="12"/>
      <c r="H684" s="13"/>
      <c r="I684" s="14"/>
      <c r="J684" s="11"/>
    </row>
    <row r="685" spans="1:10" ht="16" x14ac:dyDescent="0.2">
      <c r="A685" s="11"/>
      <c r="B685" s="11"/>
      <c r="C685" s="11"/>
      <c r="D685" s="11"/>
      <c r="E685" s="11"/>
      <c r="F685" s="11"/>
      <c r="G685" s="12"/>
      <c r="H685" s="13"/>
      <c r="I685" s="14"/>
      <c r="J685" s="11"/>
    </row>
    <row r="686" spans="1:10" ht="16" x14ac:dyDescent="0.2">
      <c r="A686" s="11"/>
      <c r="B686" s="11"/>
      <c r="C686" s="11"/>
      <c r="D686" s="11"/>
      <c r="E686" s="11"/>
      <c r="F686" s="11"/>
      <c r="G686" s="12"/>
      <c r="H686" s="13"/>
      <c r="I686" s="14"/>
      <c r="J686" s="11"/>
    </row>
    <row r="687" spans="1:10" ht="16" x14ac:dyDescent="0.2">
      <c r="A687" s="11"/>
      <c r="B687" s="11"/>
      <c r="C687" s="11"/>
      <c r="D687" s="11"/>
      <c r="E687" s="11"/>
      <c r="F687" s="11"/>
      <c r="G687" s="12"/>
      <c r="H687" s="13"/>
      <c r="I687" s="14"/>
      <c r="J687" s="11"/>
    </row>
    <row r="688" spans="1:10" ht="16" x14ac:dyDescent="0.2">
      <c r="A688" s="11"/>
      <c r="B688" s="11"/>
      <c r="C688" s="11"/>
      <c r="D688" s="11"/>
      <c r="E688" s="11"/>
      <c r="F688" s="11"/>
      <c r="G688" s="12"/>
      <c r="H688" s="13"/>
      <c r="I688" s="14"/>
      <c r="J688" s="11"/>
    </row>
    <row r="689" spans="1:10" ht="16" x14ac:dyDescent="0.2">
      <c r="A689" s="11"/>
      <c r="B689" s="11"/>
      <c r="C689" s="11"/>
      <c r="D689" s="11"/>
      <c r="E689" s="11"/>
      <c r="F689" s="11"/>
      <c r="G689" s="12"/>
      <c r="H689" s="13"/>
      <c r="I689" s="14"/>
      <c r="J689" s="11"/>
    </row>
    <row r="690" spans="1:10" ht="16" x14ac:dyDescent="0.2">
      <c r="A690" s="11"/>
      <c r="B690" s="11"/>
      <c r="C690" s="11"/>
      <c r="D690" s="11"/>
      <c r="E690" s="11"/>
      <c r="F690" s="11"/>
      <c r="G690" s="12"/>
      <c r="H690" s="13"/>
      <c r="I690" s="14"/>
      <c r="J690" s="11"/>
    </row>
    <row r="691" spans="1:10" ht="16" x14ac:dyDescent="0.2">
      <c r="A691" s="11"/>
      <c r="B691" s="11"/>
      <c r="C691" s="11"/>
      <c r="D691" s="11"/>
      <c r="E691" s="11"/>
      <c r="F691" s="11"/>
      <c r="G691" s="12"/>
      <c r="H691" s="13"/>
      <c r="I691" s="14"/>
      <c r="J691" s="11"/>
    </row>
    <row r="692" spans="1:10" ht="16" x14ac:dyDescent="0.2">
      <c r="A692" s="11"/>
      <c r="B692" s="11"/>
      <c r="C692" s="11"/>
      <c r="D692" s="11"/>
      <c r="E692" s="11"/>
      <c r="F692" s="11"/>
      <c r="G692" s="12"/>
      <c r="H692" s="13"/>
      <c r="I692" s="14"/>
      <c r="J692" s="11"/>
    </row>
    <row r="693" spans="1:10" ht="16" x14ac:dyDescent="0.2">
      <c r="A693" s="11"/>
      <c r="B693" s="11"/>
      <c r="C693" s="11"/>
      <c r="D693" s="11"/>
      <c r="E693" s="11"/>
      <c r="F693" s="11"/>
      <c r="G693" s="12"/>
      <c r="H693" s="13"/>
      <c r="I693" s="14"/>
      <c r="J693" s="11"/>
    </row>
    <row r="694" spans="1:10" ht="16" x14ac:dyDescent="0.2">
      <c r="A694" s="11"/>
      <c r="B694" s="11"/>
      <c r="C694" s="11"/>
      <c r="D694" s="11"/>
      <c r="E694" s="11"/>
      <c r="F694" s="11"/>
      <c r="G694" s="12"/>
      <c r="H694" s="13"/>
      <c r="I694" s="14"/>
      <c r="J694" s="11"/>
    </row>
    <row r="695" spans="1:10" ht="16" x14ac:dyDescent="0.2">
      <c r="A695" s="11"/>
      <c r="B695" s="11"/>
      <c r="C695" s="11"/>
      <c r="D695" s="11"/>
      <c r="E695" s="11"/>
      <c r="F695" s="11"/>
      <c r="G695" s="12"/>
      <c r="H695" s="13"/>
      <c r="I695" s="14"/>
      <c r="J695" s="11"/>
    </row>
    <row r="696" spans="1:10" ht="16" x14ac:dyDescent="0.2">
      <c r="A696" s="11"/>
      <c r="B696" s="11"/>
      <c r="C696" s="11"/>
      <c r="D696" s="11"/>
      <c r="E696" s="11"/>
      <c r="F696" s="11"/>
      <c r="G696" s="12"/>
      <c r="H696" s="13"/>
      <c r="I696" s="14"/>
      <c r="J696" s="11"/>
    </row>
    <row r="697" spans="1:10" ht="16" x14ac:dyDescent="0.2">
      <c r="A697" s="11"/>
      <c r="B697" s="11"/>
      <c r="C697" s="11"/>
      <c r="D697" s="11"/>
      <c r="E697" s="11"/>
      <c r="F697" s="11"/>
      <c r="G697" s="12"/>
      <c r="H697" s="13"/>
      <c r="I697" s="14"/>
      <c r="J697" s="11"/>
    </row>
    <row r="698" spans="1:10" ht="16" x14ac:dyDescent="0.2">
      <c r="A698" s="11"/>
      <c r="B698" s="11"/>
      <c r="C698" s="11"/>
      <c r="D698" s="11"/>
      <c r="E698" s="11"/>
      <c r="F698" s="11"/>
      <c r="G698" s="12"/>
      <c r="H698" s="13"/>
      <c r="I698" s="14"/>
      <c r="J698" s="11"/>
    </row>
    <row r="699" spans="1:10" ht="16" x14ac:dyDescent="0.2">
      <c r="A699" s="11"/>
      <c r="B699" s="11"/>
      <c r="C699" s="11"/>
      <c r="D699" s="11"/>
      <c r="E699" s="11"/>
      <c r="F699" s="11"/>
      <c r="G699" s="12"/>
      <c r="H699" s="13"/>
      <c r="I699" s="14"/>
      <c r="J699" s="11"/>
    </row>
    <row r="700" spans="1:10" ht="16" x14ac:dyDescent="0.2">
      <c r="A700" s="11"/>
      <c r="B700" s="11"/>
      <c r="C700" s="11"/>
      <c r="D700" s="11"/>
      <c r="E700" s="11"/>
      <c r="F700" s="11"/>
      <c r="G700" s="12"/>
      <c r="H700" s="13"/>
      <c r="I700" s="14"/>
      <c r="J700" s="11"/>
    </row>
    <row r="701" spans="1:10" ht="16" x14ac:dyDescent="0.2">
      <c r="A701" s="11"/>
      <c r="B701" s="11"/>
      <c r="C701" s="11"/>
      <c r="D701" s="11"/>
      <c r="E701" s="11"/>
      <c r="F701" s="11"/>
      <c r="G701" s="12"/>
      <c r="H701" s="13"/>
      <c r="I701" s="14"/>
      <c r="J701" s="11"/>
    </row>
    <row r="702" spans="1:10" ht="16" x14ac:dyDescent="0.2">
      <c r="A702" s="11"/>
      <c r="B702" s="11"/>
      <c r="C702" s="11"/>
      <c r="D702" s="11"/>
      <c r="E702" s="11"/>
      <c r="F702" s="11"/>
      <c r="G702" s="12"/>
      <c r="H702" s="13"/>
      <c r="I702" s="14"/>
      <c r="J702" s="11"/>
    </row>
    <row r="703" spans="1:10" ht="16" x14ac:dyDescent="0.2">
      <c r="A703" s="11"/>
      <c r="B703" s="11"/>
      <c r="C703" s="11"/>
      <c r="D703" s="11"/>
      <c r="E703" s="11"/>
      <c r="F703" s="11"/>
      <c r="G703" s="12"/>
      <c r="H703" s="13"/>
      <c r="I703" s="14"/>
      <c r="J703" s="11"/>
    </row>
    <row r="704" spans="1:10" ht="16" x14ac:dyDescent="0.2">
      <c r="A704" s="11"/>
      <c r="B704" s="11"/>
      <c r="C704" s="11"/>
      <c r="D704" s="11"/>
      <c r="E704" s="11"/>
      <c r="F704" s="11"/>
      <c r="G704" s="12"/>
      <c r="H704" s="13"/>
      <c r="I704" s="14"/>
      <c r="J704" s="11"/>
    </row>
    <row r="705" spans="1:10" ht="16" x14ac:dyDescent="0.2">
      <c r="A705" s="11"/>
      <c r="B705" s="11"/>
      <c r="C705" s="11"/>
      <c r="D705" s="11"/>
      <c r="E705" s="11"/>
      <c r="F705" s="11"/>
      <c r="G705" s="12"/>
      <c r="H705" s="13"/>
      <c r="I705" s="14"/>
      <c r="J705" s="11"/>
    </row>
    <row r="706" spans="1:10" ht="16" x14ac:dyDescent="0.2">
      <c r="A706" s="11"/>
      <c r="B706" s="11"/>
      <c r="C706" s="11"/>
      <c r="D706" s="11"/>
      <c r="E706" s="11"/>
      <c r="F706" s="11"/>
      <c r="G706" s="12"/>
      <c r="H706" s="13"/>
      <c r="I706" s="14"/>
      <c r="J706" s="11"/>
    </row>
    <row r="707" spans="1:10" ht="16" x14ac:dyDescent="0.2">
      <c r="A707" s="11"/>
      <c r="B707" s="11"/>
      <c r="C707" s="11"/>
      <c r="D707" s="11"/>
      <c r="E707" s="11"/>
      <c r="F707" s="11"/>
      <c r="G707" s="12"/>
      <c r="H707" s="13"/>
      <c r="I707" s="14"/>
      <c r="J707" s="11"/>
    </row>
    <row r="708" spans="1:10" ht="16" x14ac:dyDescent="0.2">
      <c r="A708" s="11"/>
      <c r="B708" s="11"/>
      <c r="C708" s="11"/>
      <c r="D708" s="11"/>
      <c r="E708" s="11"/>
      <c r="F708" s="11"/>
      <c r="G708" s="12"/>
      <c r="H708" s="13"/>
      <c r="I708" s="14"/>
      <c r="J708" s="11"/>
    </row>
    <row r="709" spans="1:10" ht="16" x14ac:dyDescent="0.2">
      <c r="A709" s="11"/>
      <c r="B709" s="11"/>
      <c r="C709" s="11"/>
      <c r="D709" s="11"/>
      <c r="E709" s="11"/>
      <c r="F709" s="11"/>
      <c r="G709" s="12"/>
      <c r="H709" s="13"/>
      <c r="I709" s="14"/>
      <c r="J709" s="11"/>
    </row>
    <row r="710" spans="1:10" ht="16" x14ac:dyDescent="0.2">
      <c r="A710" s="11"/>
      <c r="B710" s="11"/>
      <c r="C710" s="11"/>
      <c r="D710" s="11"/>
      <c r="E710" s="11"/>
      <c r="F710" s="11"/>
      <c r="G710" s="12"/>
      <c r="H710" s="13"/>
      <c r="I710" s="14"/>
      <c r="J710" s="11"/>
    </row>
    <row r="711" spans="1:10" ht="16" x14ac:dyDescent="0.2">
      <c r="A711" s="11"/>
      <c r="B711" s="11"/>
      <c r="C711" s="11"/>
      <c r="D711" s="11"/>
      <c r="E711" s="11"/>
      <c r="F711" s="11"/>
      <c r="G711" s="12"/>
      <c r="H711" s="13"/>
      <c r="I711" s="14"/>
      <c r="J711" s="11"/>
    </row>
    <row r="712" spans="1:10" ht="16" x14ac:dyDescent="0.2">
      <c r="A712" s="11"/>
      <c r="B712" s="11"/>
      <c r="C712" s="11"/>
      <c r="D712" s="11"/>
      <c r="E712" s="11"/>
      <c r="F712" s="11"/>
      <c r="G712" s="12"/>
      <c r="H712" s="13"/>
      <c r="I712" s="14"/>
      <c r="J712" s="11"/>
    </row>
    <row r="713" spans="1:10" ht="16" x14ac:dyDescent="0.2">
      <c r="A713" s="11"/>
      <c r="B713" s="11"/>
      <c r="C713" s="11"/>
      <c r="D713" s="11"/>
      <c r="E713" s="11"/>
      <c r="F713" s="11"/>
      <c r="G713" s="12"/>
      <c r="H713" s="13"/>
      <c r="I713" s="14"/>
      <c r="J713" s="11"/>
    </row>
    <row r="714" spans="1:10" ht="16" x14ac:dyDescent="0.2">
      <c r="A714" s="11"/>
      <c r="B714" s="11"/>
      <c r="C714" s="11"/>
      <c r="D714" s="11"/>
      <c r="E714" s="11"/>
      <c r="F714" s="11"/>
      <c r="G714" s="12"/>
      <c r="H714" s="13"/>
      <c r="I714" s="14"/>
      <c r="J714" s="11"/>
    </row>
    <row r="715" spans="1:10" ht="16" x14ac:dyDescent="0.2">
      <c r="A715" s="11"/>
      <c r="B715" s="11"/>
      <c r="C715" s="11"/>
      <c r="D715" s="11"/>
      <c r="E715" s="11"/>
      <c r="F715" s="11"/>
      <c r="G715" s="12"/>
      <c r="H715" s="13"/>
      <c r="I715" s="14"/>
      <c r="J715" s="11"/>
    </row>
    <row r="716" spans="1:10" ht="16" x14ac:dyDescent="0.2">
      <c r="A716" s="11"/>
      <c r="B716" s="11"/>
      <c r="C716" s="11"/>
      <c r="D716" s="11"/>
      <c r="E716" s="11"/>
      <c r="F716" s="11"/>
      <c r="G716" s="12"/>
      <c r="H716" s="13"/>
      <c r="I716" s="14"/>
      <c r="J716" s="11"/>
    </row>
    <row r="717" spans="1:10" ht="16" x14ac:dyDescent="0.2">
      <c r="A717" s="11"/>
      <c r="B717" s="11"/>
      <c r="C717" s="11"/>
      <c r="D717" s="11"/>
      <c r="E717" s="11"/>
      <c r="F717" s="11"/>
      <c r="G717" s="12"/>
      <c r="H717" s="13"/>
      <c r="I717" s="14"/>
      <c r="J717" s="11"/>
    </row>
    <row r="718" spans="1:10" ht="16" x14ac:dyDescent="0.2">
      <c r="A718" s="11"/>
      <c r="B718" s="11"/>
      <c r="C718" s="11"/>
      <c r="D718" s="11"/>
      <c r="E718" s="11"/>
      <c r="F718" s="11"/>
      <c r="G718" s="12"/>
      <c r="H718" s="13"/>
      <c r="I718" s="14"/>
      <c r="J718" s="11"/>
    </row>
    <row r="719" spans="1:10" ht="16" x14ac:dyDescent="0.2">
      <c r="A719" s="11"/>
      <c r="B719" s="11"/>
      <c r="C719" s="11"/>
      <c r="D719" s="11"/>
      <c r="E719" s="11"/>
      <c r="F719" s="11"/>
      <c r="G719" s="12"/>
      <c r="H719" s="13"/>
      <c r="I719" s="14"/>
      <c r="J719" s="11"/>
    </row>
    <row r="720" spans="1:10" ht="16" x14ac:dyDescent="0.2">
      <c r="A720" s="11"/>
      <c r="B720" s="11"/>
      <c r="C720" s="11"/>
      <c r="D720" s="11"/>
      <c r="E720" s="11"/>
      <c r="F720" s="11"/>
      <c r="G720" s="12"/>
      <c r="H720" s="13"/>
      <c r="I720" s="14"/>
      <c r="J720" s="11"/>
    </row>
    <row r="721" spans="1:10" ht="16" x14ac:dyDescent="0.2">
      <c r="A721" s="11"/>
      <c r="B721" s="11"/>
      <c r="C721" s="11"/>
      <c r="D721" s="11"/>
      <c r="E721" s="11"/>
      <c r="F721" s="11"/>
      <c r="G721" s="12"/>
      <c r="H721" s="13"/>
      <c r="I721" s="14"/>
      <c r="J721" s="11"/>
    </row>
    <row r="722" spans="1:10" ht="16" x14ac:dyDescent="0.2">
      <c r="A722" s="11"/>
      <c r="B722" s="11"/>
      <c r="C722" s="11"/>
      <c r="D722" s="11"/>
      <c r="E722" s="11"/>
      <c r="F722" s="11"/>
      <c r="G722" s="12"/>
      <c r="H722" s="13"/>
      <c r="I722" s="14"/>
      <c r="J722" s="11"/>
    </row>
    <row r="723" spans="1:10" ht="16" x14ac:dyDescent="0.2">
      <c r="A723" s="11"/>
      <c r="B723" s="11"/>
      <c r="C723" s="11"/>
      <c r="D723" s="11"/>
      <c r="E723" s="11"/>
      <c r="F723" s="11"/>
      <c r="G723" s="12"/>
      <c r="H723" s="13"/>
      <c r="I723" s="14"/>
      <c r="J723" s="11"/>
    </row>
    <row r="724" spans="1:10" ht="16" x14ac:dyDescent="0.2">
      <c r="A724" s="11"/>
      <c r="B724" s="11"/>
      <c r="C724" s="11"/>
      <c r="D724" s="11"/>
      <c r="E724" s="11"/>
      <c r="F724" s="11"/>
      <c r="G724" s="12"/>
      <c r="H724" s="13"/>
      <c r="I724" s="14"/>
      <c r="J724" s="11"/>
    </row>
    <row r="725" spans="1:10" ht="16" x14ac:dyDescent="0.2">
      <c r="A725" s="11"/>
      <c r="B725" s="11"/>
      <c r="C725" s="11"/>
      <c r="D725" s="11"/>
      <c r="E725" s="11"/>
      <c r="F725" s="11"/>
      <c r="G725" s="12"/>
      <c r="H725" s="13"/>
      <c r="I725" s="14"/>
      <c r="J725" s="11"/>
    </row>
    <row r="726" spans="1:10" ht="16" x14ac:dyDescent="0.2">
      <c r="A726" s="11"/>
      <c r="B726" s="11"/>
      <c r="C726" s="11"/>
      <c r="D726" s="11"/>
      <c r="E726" s="11"/>
      <c r="F726" s="11"/>
      <c r="G726" s="12"/>
      <c r="H726" s="13"/>
      <c r="I726" s="14"/>
      <c r="J726" s="11"/>
    </row>
    <row r="727" spans="1:10" ht="16" x14ac:dyDescent="0.2">
      <c r="A727" s="11"/>
      <c r="B727" s="11"/>
      <c r="C727" s="11"/>
      <c r="D727" s="11"/>
      <c r="E727" s="11"/>
      <c r="F727" s="11"/>
      <c r="G727" s="12"/>
      <c r="H727" s="13"/>
      <c r="I727" s="14"/>
      <c r="J727" s="11"/>
    </row>
    <row r="728" spans="1:10" ht="16" x14ac:dyDescent="0.2">
      <c r="A728" s="11"/>
      <c r="B728" s="11"/>
      <c r="C728" s="11"/>
      <c r="D728" s="11"/>
      <c r="E728" s="11"/>
      <c r="F728" s="11"/>
      <c r="G728" s="12"/>
      <c r="H728" s="13"/>
      <c r="I728" s="14"/>
      <c r="J728" s="11"/>
    </row>
    <row r="729" spans="1:10" ht="16" x14ac:dyDescent="0.2">
      <c r="A729" s="11"/>
      <c r="B729" s="11"/>
      <c r="C729" s="11"/>
      <c r="D729" s="11"/>
      <c r="E729" s="11"/>
      <c r="F729" s="11"/>
      <c r="G729" s="12"/>
      <c r="H729" s="13"/>
      <c r="I729" s="14"/>
      <c r="J729" s="11"/>
    </row>
    <row r="730" spans="1:10" ht="16" x14ac:dyDescent="0.2">
      <c r="A730" s="11"/>
      <c r="B730" s="11"/>
      <c r="C730" s="11"/>
      <c r="D730" s="11"/>
      <c r="E730" s="11"/>
      <c r="F730" s="11"/>
      <c r="G730" s="12"/>
      <c r="H730" s="13"/>
      <c r="I730" s="14"/>
      <c r="J730" s="11"/>
    </row>
    <row r="731" spans="1:10" ht="16" x14ac:dyDescent="0.2">
      <c r="A731" s="11"/>
      <c r="B731" s="11"/>
      <c r="C731" s="11"/>
      <c r="D731" s="11"/>
      <c r="E731" s="11"/>
      <c r="F731" s="11"/>
      <c r="G731" s="12"/>
      <c r="H731" s="13"/>
      <c r="I731" s="14"/>
      <c r="J731" s="11"/>
    </row>
    <row r="732" spans="1:10" ht="16" x14ac:dyDescent="0.2">
      <c r="A732" s="11"/>
      <c r="B732" s="11"/>
      <c r="C732" s="11"/>
      <c r="D732" s="11"/>
      <c r="E732" s="11"/>
      <c r="F732" s="11"/>
      <c r="G732" s="12"/>
      <c r="H732" s="13"/>
      <c r="I732" s="14"/>
      <c r="J732" s="11"/>
    </row>
    <row r="733" spans="1:10" ht="16" x14ac:dyDescent="0.2">
      <c r="A733" s="11"/>
      <c r="B733" s="11"/>
      <c r="C733" s="11"/>
      <c r="D733" s="11"/>
      <c r="E733" s="11"/>
      <c r="F733" s="11"/>
      <c r="G733" s="12"/>
      <c r="H733" s="13"/>
      <c r="I733" s="14"/>
      <c r="J733" s="11"/>
    </row>
    <row r="734" spans="1:10" ht="16" x14ac:dyDescent="0.2">
      <c r="A734" s="11"/>
      <c r="B734" s="11"/>
      <c r="C734" s="11"/>
      <c r="D734" s="11"/>
      <c r="E734" s="11"/>
      <c r="F734" s="11"/>
      <c r="G734" s="12"/>
      <c r="H734" s="13"/>
      <c r="I734" s="14"/>
      <c r="J734" s="11"/>
    </row>
    <row r="735" spans="1:10" ht="16" x14ac:dyDescent="0.2">
      <c r="A735" s="11"/>
      <c r="B735" s="11"/>
      <c r="C735" s="11"/>
      <c r="D735" s="11"/>
      <c r="E735" s="11"/>
      <c r="F735" s="11"/>
      <c r="G735" s="12"/>
      <c r="H735" s="13"/>
      <c r="I735" s="14"/>
      <c r="J735" s="11"/>
    </row>
    <row r="736" spans="1:10" ht="16" x14ac:dyDescent="0.2">
      <c r="A736" s="11"/>
      <c r="B736" s="11"/>
      <c r="C736" s="11"/>
      <c r="D736" s="11"/>
      <c r="E736" s="11"/>
      <c r="F736" s="11"/>
      <c r="G736" s="12"/>
      <c r="H736" s="13"/>
      <c r="I736" s="14"/>
      <c r="J736" s="11"/>
    </row>
    <row r="737" spans="1:10" ht="16" x14ac:dyDescent="0.2">
      <c r="A737" s="11"/>
      <c r="B737" s="11"/>
      <c r="C737" s="11"/>
      <c r="D737" s="11"/>
      <c r="E737" s="11"/>
      <c r="F737" s="11"/>
      <c r="G737" s="12"/>
      <c r="H737" s="13"/>
      <c r="I737" s="14"/>
      <c r="J737" s="11"/>
    </row>
    <row r="738" spans="1:10" ht="16" x14ac:dyDescent="0.2">
      <c r="A738" s="11"/>
      <c r="B738" s="11"/>
      <c r="C738" s="11"/>
      <c r="D738" s="11"/>
      <c r="E738" s="11"/>
      <c r="F738" s="11"/>
      <c r="G738" s="12"/>
      <c r="H738" s="13"/>
      <c r="I738" s="14"/>
      <c r="J738" s="11"/>
    </row>
    <row r="739" spans="1:10" ht="16" x14ac:dyDescent="0.2">
      <c r="A739" s="11"/>
      <c r="B739" s="11"/>
      <c r="C739" s="11"/>
      <c r="D739" s="11"/>
      <c r="E739" s="11"/>
      <c r="F739" s="11"/>
      <c r="G739" s="12"/>
      <c r="H739" s="13"/>
      <c r="I739" s="14"/>
      <c r="J739" s="11"/>
    </row>
    <row r="740" spans="1:10" ht="16" x14ac:dyDescent="0.2">
      <c r="A740" s="11"/>
      <c r="B740" s="11"/>
      <c r="C740" s="11"/>
      <c r="D740" s="11"/>
      <c r="E740" s="11"/>
      <c r="F740" s="11"/>
      <c r="G740" s="12"/>
      <c r="H740" s="13"/>
      <c r="I740" s="14"/>
      <c r="J740" s="11"/>
    </row>
    <row r="741" spans="1:10" ht="16" x14ac:dyDescent="0.2">
      <c r="A741" s="11"/>
      <c r="B741" s="11"/>
      <c r="C741" s="11"/>
      <c r="D741" s="11"/>
      <c r="E741" s="11"/>
      <c r="F741" s="11"/>
      <c r="G741" s="12"/>
      <c r="H741" s="13"/>
      <c r="I741" s="14"/>
      <c r="J741" s="11"/>
    </row>
    <row r="742" spans="1:10" ht="16" x14ac:dyDescent="0.2">
      <c r="A742" s="11"/>
      <c r="B742" s="11"/>
      <c r="C742" s="11"/>
      <c r="D742" s="11"/>
      <c r="E742" s="11"/>
      <c r="F742" s="11"/>
      <c r="G742" s="12"/>
      <c r="H742" s="13"/>
      <c r="I742" s="14"/>
      <c r="J742" s="11"/>
    </row>
    <row r="743" spans="1:10" ht="16" x14ac:dyDescent="0.2">
      <c r="A743" s="11"/>
      <c r="B743" s="11"/>
      <c r="C743" s="11"/>
      <c r="D743" s="11"/>
      <c r="E743" s="11"/>
      <c r="F743" s="11"/>
      <c r="G743" s="12"/>
      <c r="H743" s="13"/>
      <c r="I743" s="14"/>
      <c r="J743" s="11"/>
    </row>
    <row r="744" spans="1:10" ht="16" x14ac:dyDescent="0.2">
      <c r="A744" s="11"/>
      <c r="B744" s="11"/>
      <c r="C744" s="11"/>
      <c r="D744" s="11"/>
      <c r="E744" s="11"/>
      <c r="F744" s="11"/>
      <c r="G744" s="12"/>
      <c r="H744" s="13"/>
      <c r="I744" s="14"/>
      <c r="J744" s="11"/>
    </row>
    <row r="745" spans="1:10" ht="16" x14ac:dyDescent="0.2">
      <c r="A745" s="11"/>
      <c r="B745" s="11"/>
      <c r="C745" s="11"/>
      <c r="D745" s="11"/>
      <c r="E745" s="11"/>
      <c r="F745" s="11"/>
      <c r="G745" s="12"/>
      <c r="H745" s="13"/>
      <c r="I745" s="14"/>
      <c r="J745" s="11"/>
    </row>
    <row r="746" spans="1:10" ht="16" x14ac:dyDescent="0.2">
      <c r="A746" s="11"/>
      <c r="B746" s="11"/>
      <c r="C746" s="11"/>
      <c r="D746" s="11"/>
      <c r="E746" s="11"/>
      <c r="F746" s="11"/>
      <c r="G746" s="12"/>
      <c r="H746" s="13"/>
      <c r="I746" s="14"/>
      <c r="J746" s="11"/>
    </row>
    <row r="747" spans="1:10" ht="16" x14ac:dyDescent="0.2">
      <c r="A747" s="11"/>
      <c r="B747" s="11"/>
      <c r="C747" s="11"/>
      <c r="D747" s="11"/>
      <c r="E747" s="11"/>
      <c r="F747" s="11"/>
      <c r="G747" s="12"/>
      <c r="H747" s="13"/>
      <c r="I747" s="14"/>
      <c r="J747" s="11"/>
    </row>
    <row r="748" spans="1:10" ht="16" x14ac:dyDescent="0.2">
      <c r="A748" s="11"/>
      <c r="B748" s="11"/>
      <c r="C748" s="11"/>
      <c r="D748" s="11"/>
      <c r="E748" s="11"/>
      <c r="F748" s="11"/>
      <c r="G748" s="12"/>
      <c r="H748" s="13"/>
      <c r="I748" s="14"/>
      <c r="J748" s="11"/>
    </row>
    <row r="749" spans="1:10" ht="16" x14ac:dyDescent="0.2">
      <c r="A749" s="11"/>
      <c r="B749" s="11"/>
      <c r="C749" s="11"/>
      <c r="D749" s="11"/>
      <c r="E749" s="11"/>
      <c r="F749" s="11"/>
      <c r="G749" s="12"/>
      <c r="H749" s="13"/>
      <c r="I749" s="14"/>
      <c r="J749" s="11"/>
    </row>
    <row r="750" spans="1:10" ht="16" x14ac:dyDescent="0.2">
      <c r="A750" s="11"/>
      <c r="B750" s="11"/>
      <c r="C750" s="11"/>
      <c r="D750" s="11"/>
      <c r="E750" s="11"/>
      <c r="F750" s="11"/>
      <c r="G750" s="12"/>
      <c r="H750" s="13"/>
      <c r="I750" s="14"/>
      <c r="J750" s="11"/>
    </row>
    <row r="751" spans="1:10" ht="16" x14ac:dyDescent="0.2">
      <c r="A751" s="11"/>
      <c r="B751" s="11"/>
      <c r="C751" s="11"/>
      <c r="D751" s="11"/>
      <c r="E751" s="11"/>
      <c r="F751" s="11"/>
      <c r="G751" s="12"/>
      <c r="H751" s="13"/>
      <c r="I751" s="14"/>
      <c r="J751" s="11"/>
    </row>
    <row r="752" spans="1:10" ht="16" x14ac:dyDescent="0.2">
      <c r="A752" s="11"/>
      <c r="B752" s="11"/>
      <c r="C752" s="11"/>
      <c r="D752" s="11"/>
      <c r="E752" s="11"/>
      <c r="F752" s="11"/>
      <c r="G752" s="12"/>
      <c r="H752" s="13"/>
      <c r="I752" s="14"/>
      <c r="J752" s="11"/>
    </row>
    <row r="753" spans="1:10" ht="16" x14ac:dyDescent="0.2">
      <c r="A753" s="11"/>
      <c r="B753" s="11"/>
      <c r="C753" s="11"/>
      <c r="D753" s="11"/>
      <c r="E753" s="11"/>
      <c r="F753" s="11"/>
      <c r="G753" s="12"/>
      <c r="H753" s="13"/>
      <c r="I753" s="14"/>
      <c r="J753" s="11"/>
    </row>
    <row r="754" spans="1:10" ht="16" x14ac:dyDescent="0.2">
      <c r="A754" s="11"/>
      <c r="B754" s="11"/>
      <c r="C754" s="11"/>
      <c r="D754" s="11"/>
      <c r="E754" s="11"/>
      <c r="F754" s="11"/>
      <c r="G754" s="12"/>
      <c r="H754" s="13"/>
      <c r="I754" s="14"/>
      <c r="J754" s="11"/>
    </row>
    <row r="755" spans="1:10" ht="16" x14ac:dyDescent="0.2">
      <c r="A755" s="11"/>
      <c r="B755" s="11"/>
      <c r="C755" s="11"/>
      <c r="D755" s="11"/>
      <c r="E755" s="11"/>
      <c r="F755" s="11"/>
      <c r="G755" s="12"/>
      <c r="H755" s="13"/>
      <c r="I755" s="14"/>
      <c r="J755" s="11"/>
    </row>
    <row r="756" spans="1:10" ht="16" x14ac:dyDescent="0.2">
      <c r="A756" s="11"/>
      <c r="B756" s="11"/>
      <c r="C756" s="11"/>
      <c r="D756" s="11"/>
      <c r="E756" s="11"/>
      <c r="F756" s="11"/>
      <c r="G756" s="12"/>
      <c r="H756" s="13"/>
      <c r="I756" s="14"/>
      <c r="J756" s="11"/>
    </row>
    <row r="757" spans="1:10" ht="16" x14ac:dyDescent="0.2">
      <c r="A757" s="11"/>
      <c r="B757" s="11"/>
      <c r="C757" s="11"/>
      <c r="D757" s="11"/>
      <c r="E757" s="11"/>
      <c r="F757" s="11"/>
      <c r="G757" s="12"/>
      <c r="H757" s="13"/>
      <c r="I757" s="14"/>
      <c r="J757" s="11"/>
    </row>
    <row r="758" spans="1:10" ht="16" x14ac:dyDescent="0.2">
      <c r="A758" s="11"/>
      <c r="B758" s="11"/>
      <c r="C758" s="11"/>
      <c r="D758" s="11"/>
      <c r="E758" s="11"/>
      <c r="F758" s="11"/>
      <c r="G758" s="12"/>
      <c r="H758" s="13"/>
      <c r="I758" s="14"/>
      <c r="J758" s="11"/>
    </row>
    <row r="759" spans="1:10" ht="16" x14ac:dyDescent="0.2">
      <c r="A759" s="11"/>
      <c r="B759" s="11"/>
      <c r="C759" s="11"/>
      <c r="D759" s="11"/>
      <c r="E759" s="11"/>
      <c r="F759" s="11"/>
      <c r="G759" s="12"/>
      <c r="H759" s="13"/>
      <c r="I759" s="14"/>
      <c r="J759" s="11"/>
    </row>
    <row r="760" spans="1:10" ht="16" x14ac:dyDescent="0.2">
      <c r="A760" s="11"/>
      <c r="B760" s="11"/>
      <c r="C760" s="11"/>
      <c r="D760" s="11"/>
      <c r="E760" s="11"/>
      <c r="F760" s="11"/>
      <c r="G760" s="12"/>
      <c r="H760" s="13"/>
      <c r="I760" s="14"/>
      <c r="J760" s="11"/>
    </row>
    <row r="761" spans="1:10" ht="16" x14ac:dyDescent="0.2">
      <c r="A761" s="11"/>
      <c r="B761" s="11"/>
      <c r="C761" s="11"/>
      <c r="D761" s="11"/>
      <c r="E761" s="11"/>
      <c r="F761" s="11"/>
      <c r="G761" s="12"/>
      <c r="H761" s="13"/>
      <c r="I761" s="14"/>
      <c r="J761" s="11"/>
    </row>
    <row r="762" spans="1:10" ht="16" x14ac:dyDescent="0.2">
      <c r="A762" s="11"/>
      <c r="B762" s="11"/>
      <c r="C762" s="11"/>
      <c r="D762" s="11"/>
      <c r="E762" s="11"/>
      <c r="F762" s="11"/>
      <c r="G762" s="12"/>
      <c r="H762" s="13"/>
      <c r="I762" s="14"/>
      <c r="J762" s="11"/>
    </row>
    <row r="763" spans="1:10" ht="16" x14ac:dyDescent="0.2">
      <c r="A763" s="11"/>
      <c r="B763" s="11"/>
      <c r="C763" s="11"/>
      <c r="D763" s="11"/>
      <c r="E763" s="11"/>
      <c r="F763" s="11"/>
      <c r="G763" s="12"/>
      <c r="H763" s="13"/>
      <c r="I763" s="14"/>
      <c r="J763" s="11"/>
    </row>
    <row r="764" spans="1:10" ht="16" x14ac:dyDescent="0.2">
      <c r="A764" s="11"/>
      <c r="B764" s="11"/>
      <c r="C764" s="11"/>
      <c r="D764" s="11"/>
      <c r="E764" s="11"/>
      <c r="F764" s="11"/>
      <c r="G764" s="12"/>
      <c r="H764" s="13"/>
      <c r="I764" s="14"/>
      <c r="J764" s="11"/>
    </row>
    <row r="765" spans="1:10" ht="16" x14ac:dyDescent="0.2">
      <c r="A765" s="11"/>
      <c r="B765" s="11"/>
      <c r="C765" s="11"/>
      <c r="D765" s="11"/>
      <c r="E765" s="11"/>
      <c r="F765" s="11"/>
      <c r="G765" s="12"/>
      <c r="H765" s="13"/>
      <c r="I765" s="14"/>
      <c r="J765" s="11"/>
    </row>
    <row r="766" spans="1:10" ht="16" x14ac:dyDescent="0.2">
      <c r="A766" s="11"/>
      <c r="B766" s="11"/>
      <c r="C766" s="11"/>
      <c r="D766" s="11"/>
      <c r="E766" s="11"/>
      <c r="F766" s="11"/>
      <c r="G766" s="12"/>
      <c r="H766" s="13"/>
      <c r="I766" s="14"/>
      <c r="J766" s="11"/>
    </row>
    <row r="767" spans="1:10" ht="16" x14ac:dyDescent="0.2">
      <c r="A767" s="11"/>
      <c r="B767" s="11"/>
      <c r="C767" s="11"/>
      <c r="D767" s="11"/>
      <c r="E767" s="11"/>
      <c r="F767" s="11"/>
      <c r="G767" s="12"/>
      <c r="H767" s="13"/>
      <c r="I767" s="14"/>
      <c r="J767" s="11"/>
    </row>
    <row r="768" spans="1:10" ht="16" x14ac:dyDescent="0.2">
      <c r="A768" s="11"/>
      <c r="B768" s="11"/>
      <c r="C768" s="11"/>
      <c r="D768" s="11"/>
      <c r="E768" s="11"/>
      <c r="F768" s="11"/>
      <c r="G768" s="12"/>
      <c r="H768" s="13"/>
      <c r="I768" s="14"/>
      <c r="J768" s="11"/>
    </row>
    <row r="769" spans="1:10" ht="16" x14ac:dyDescent="0.2">
      <c r="A769" s="11"/>
      <c r="B769" s="11"/>
      <c r="C769" s="11"/>
      <c r="D769" s="11"/>
      <c r="E769" s="11"/>
      <c r="F769" s="11"/>
      <c r="G769" s="12"/>
      <c r="H769" s="13"/>
      <c r="I769" s="14"/>
      <c r="J769" s="11"/>
    </row>
    <row r="770" spans="1:10" ht="16" x14ac:dyDescent="0.2">
      <c r="A770" s="11"/>
      <c r="B770" s="11"/>
      <c r="C770" s="11"/>
      <c r="D770" s="11"/>
      <c r="E770" s="11"/>
      <c r="F770" s="11"/>
      <c r="G770" s="12"/>
      <c r="H770" s="13"/>
      <c r="I770" s="14"/>
      <c r="J770" s="11"/>
    </row>
    <row r="771" spans="1:10" ht="16" x14ac:dyDescent="0.2">
      <c r="A771" s="11"/>
      <c r="B771" s="11"/>
      <c r="C771" s="11"/>
      <c r="D771" s="11"/>
      <c r="E771" s="11"/>
      <c r="F771" s="11"/>
      <c r="G771" s="12"/>
      <c r="H771" s="13"/>
      <c r="I771" s="14"/>
      <c r="J771" s="11"/>
    </row>
    <row r="772" spans="1:10" ht="16" x14ac:dyDescent="0.2">
      <c r="A772" s="11"/>
      <c r="B772" s="11"/>
      <c r="C772" s="11"/>
      <c r="D772" s="11"/>
      <c r="E772" s="11"/>
      <c r="F772" s="11"/>
      <c r="G772" s="12"/>
      <c r="H772" s="13"/>
      <c r="I772" s="14"/>
      <c r="J772" s="11"/>
    </row>
    <row r="773" spans="1:10" ht="16" x14ac:dyDescent="0.2">
      <c r="A773" s="11"/>
      <c r="B773" s="11"/>
      <c r="C773" s="11"/>
      <c r="D773" s="11"/>
      <c r="E773" s="11"/>
      <c r="F773" s="11"/>
      <c r="G773" s="12"/>
      <c r="H773" s="13"/>
      <c r="I773" s="14"/>
      <c r="J773" s="11"/>
    </row>
    <row r="774" spans="1:10" ht="16" x14ac:dyDescent="0.2">
      <c r="A774" s="11"/>
      <c r="B774" s="11"/>
      <c r="C774" s="11"/>
      <c r="D774" s="11"/>
      <c r="E774" s="11"/>
      <c r="F774" s="11"/>
      <c r="G774" s="12"/>
      <c r="H774" s="13"/>
      <c r="I774" s="14"/>
      <c r="J774" s="11"/>
    </row>
    <row r="775" spans="1:10" ht="16" x14ac:dyDescent="0.2">
      <c r="A775" s="11"/>
      <c r="B775" s="11"/>
      <c r="C775" s="11"/>
      <c r="D775" s="11"/>
      <c r="E775" s="11"/>
      <c r="F775" s="11"/>
      <c r="G775" s="12"/>
      <c r="H775" s="13"/>
      <c r="I775" s="14"/>
      <c r="J775" s="11"/>
    </row>
    <row r="776" spans="1:10" ht="16" x14ac:dyDescent="0.2">
      <c r="A776" s="11"/>
      <c r="B776" s="11"/>
      <c r="C776" s="11"/>
      <c r="D776" s="11"/>
      <c r="E776" s="11"/>
      <c r="F776" s="11"/>
      <c r="G776" s="12"/>
      <c r="H776" s="13"/>
      <c r="I776" s="14"/>
      <c r="J776" s="11"/>
    </row>
    <row r="777" spans="1:10" ht="16" x14ac:dyDescent="0.2">
      <c r="A777" s="11"/>
      <c r="B777" s="11"/>
      <c r="C777" s="11"/>
      <c r="D777" s="11"/>
      <c r="E777" s="11"/>
      <c r="F777" s="11"/>
      <c r="G777" s="12"/>
      <c r="H777" s="13"/>
      <c r="I777" s="14"/>
      <c r="J777" s="11"/>
    </row>
    <row r="778" spans="1:10" ht="16" x14ac:dyDescent="0.2">
      <c r="A778" s="11"/>
      <c r="B778" s="11"/>
      <c r="C778" s="11"/>
      <c r="D778" s="11"/>
      <c r="E778" s="11"/>
      <c r="F778" s="11"/>
      <c r="G778" s="12"/>
      <c r="H778" s="13"/>
      <c r="I778" s="14"/>
      <c r="J778" s="11"/>
    </row>
    <row r="779" spans="1:10" ht="16" x14ac:dyDescent="0.2">
      <c r="A779" s="11"/>
      <c r="B779" s="11"/>
      <c r="C779" s="11"/>
      <c r="D779" s="11"/>
      <c r="E779" s="11"/>
      <c r="F779" s="11"/>
      <c r="G779" s="12"/>
      <c r="H779" s="13"/>
      <c r="I779" s="14"/>
      <c r="J779" s="11"/>
    </row>
    <row r="780" spans="1:10" ht="16" x14ac:dyDescent="0.2">
      <c r="A780" s="11"/>
      <c r="B780" s="11"/>
      <c r="C780" s="11"/>
      <c r="D780" s="11"/>
      <c r="E780" s="11"/>
      <c r="F780" s="11"/>
      <c r="G780" s="12"/>
      <c r="H780" s="13"/>
      <c r="I780" s="14"/>
      <c r="J780" s="11"/>
    </row>
    <row r="781" spans="1:10" ht="16" x14ac:dyDescent="0.2">
      <c r="A781" s="11"/>
      <c r="B781" s="11"/>
      <c r="C781" s="11"/>
      <c r="D781" s="11"/>
      <c r="E781" s="11"/>
      <c r="F781" s="11"/>
      <c r="G781" s="12"/>
      <c r="H781" s="13"/>
      <c r="I781" s="14"/>
      <c r="J781" s="11"/>
    </row>
    <row r="782" spans="1:10" ht="16" x14ac:dyDescent="0.2">
      <c r="A782" s="11"/>
      <c r="B782" s="11"/>
      <c r="C782" s="11"/>
      <c r="D782" s="11"/>
      <c r="E782" s="11"/>
      <c r="F782" s="11"/>
      <c r="G782" s="12"/>
      <c r="H782" s="13"/>
      <c r="I782" s="14"/>
      <c r="J782" s="11"/>
    </row>
    <row r="783" spans="1:10" ht="16" x14ac:dyDescent="0.2">
      <c r="A783" s="11"/>
      <c r="B783" s="11"/>
      <c r="C783" s="11"/>
      <c r="D783" s="11"/>
      <c r="E783" s="11"/>
      <c r="F783" s="11"/>
      <c r="G783" s="12"/>
      <c r="H783" s="13"/>
      <c r="I783" s="14"/>
      <c r="J783" s="11"/>
    </row>
    <row r="784" spans="1:10" ht="16" x14ac:dyDescent="0.2">
      <c r="A784" s="11"/>
      <c r="B784" s="11"/>
      <c r="C784" s="11"/>
      <c r="D784" s="11"/>
      <c r="E784" s="11"/>
      <c r="F784" s="11"/>
      <c r="G784" s="12"/>
      <c r="H784" s="13"/>
      <c r="I784" s="14"/>
      <c r="J784" s="11"/>
    </row>
    <row r="785" spans="1:10" ht="16" x14ac:dyDescent="0.2">
      <c r="A785" s="11"/>
      <c r="B785" s="11"/>
      <c r="C785" s="11"/>
      <c r="D785" s="11"/>
      <c r="E785" s="11"/>
      <c r="F785" s="11"/>
      <c r="G785" s="12"/>
      <c r="H785" s="13"/>
      <c r="I785" s="14"/>
      <c r="J785" s="11"/>
    </row>
    <row r="786" spans="1:10" ht="16" x14ac:dyDescent="0.2">
      <c r="A786" s="11"/>
      <c r="B786" s="11"/>
      <c r="C786" s="11"/>
      <c r="D786" s="11"/>
      <c r="E786" s="11"/>
      <c r="F786" s="11"/>
      <c r="G786" s="12"/>
      <c r="H786" s="13"/>
      <c r="I786" s="14"/>
      <c r="J786" s="11"/>
    </row>
    <row r="787" spans="1:10" ht="16" x14ac:dyDescent="0.2">
      <c r="A787" s="11"/>
      <c r="B787" s="11"/>
      <c r="C787" s="11"/>
      <c r="D787" s="11"/>
      <c r="E787" s="11"/>
      <c r="F787" s="11"/>
      <c r="G787" s="12"/>
      <c r="H787" s="13"/>
      <c r="I787" s="14"/>
      <c r="J787" s="11"/>
    </row>
    <row r="788" spans="1:10" ht="16" x14ac:dyDescent="0.2">
      <c r="A788" s="11"/>
      <c r="B788" s="11"/>
      <c r="C788" s="11"/>
      <c r="D788" s="11"/>
      <c r="E788" s="11"/>
      <c r="F788" s="11"/>
      <c r="G788" s="12"/>
      <c r="H788" s="13"/>
      <c r="I788" s="14"/>
      <c r="J788" s="11"/>
    </row>
    <row r="789" spans="1:10" ht="16" x14ac:dyDescent="0.2">
      <c r="A789" s="11"/>
      <c r="B789" s="11"/>
      <c r="C789" s="11"/>
      <c r="D789" s="11"/>
      <c r="E789" s="11"/>
      <c r="F789" s="11"/>
      <c r="G789" s="12"/>
      <c r="H789" s="13"/>
      <c r="I789" s="14"/>
      <c r="J789" s="11"/>
    </row>
    <row r="790" spans="1:10" ht="16" x14ac:dyDescent="0.2">
      <c r="A790" s="11"/>
      <c r="B790" s="11"/>
      <c r="C790" s="11"/>
      <c r="D790" s="11"/>
      <c r="E790" s="11"/>
      <c r="F790" s="11"/>
      <c r="G790" s="12"/>
      <c r="H790" s="13"/>
      <c r="I790" s="14"/>
      <c r="J790" s="11"/>
    </row>
    <row r="791" spans="1:10" ht="16" x14ac:dyDescent="0.2">
      <c r="A791" s="11"/>
      <c r="B791" s="11"/>
      <c r="C791" s="11"/>
      <c r="D791" s="11"/>
      <c r="E791" s="11"/>
      <c r="F791" s="11"/>
      <c r="G791" s="12"/>
      <c r="H791" s="13"/>
      <c r="I791" s="14"/>
      <c r="J791" s="11"/>
    </row>
    <row r="792" spans="1:10" ht="16" x14ac:dyDescent="0.2">
      <c r="A792" s="11"/>
      <c r="B792" s="11"/>
      <c r="C792" s="11"/>
      <c r="D792" s="11"/>
      <c r="E792" s="11"/>
      <c r="F792" s="11"/>
      <c r="G792" s="12"/>
      <c r="H792" s="13"/>
      <c r="I792" s="14"/>
      <c r="J792" s="11"/>
    </row>
    <row r="793" spans="1:10" ht="16" x14ac:dyDescent="0.2">
      <c r="A793" s="11"/>
      <c r="B793" s="11"/>
      <c r="C793" s="11"/>
      <c r="D793" s="11"/>
      <c r="E793" s="11"/>
      <c r="F793" s="11"/>
      <c r="G793" s="12"/>
      <c r="H793" s="13"/>
      <c r="I793" s="14"/>
      <c r="J793" s="11"/>
    </row>
    <row r="794" spans="1:10" ht="16" x14ac:dyDescent="0.2">
      <c r="A794" s="11"/>
      <c r="B794" s="11"/>
      <c r="C794" s="11"/>
      <c r="D794" s="11"/>
      <c r="E794" s="11"/>
      <c r="F794" s="11"/>
      <c r="G794" s="12"/>
      <c r="H794" s="13"/>
      <c r="I794" s="14"/>
      <c r="J794" s="11"/>
    </row>
    <row r="795" spans="1:10" ht="16" x14ac:dyDescent="0.2">
      <c r="A795" s="11"/>
      <c r="B795" s="11"/>
      <c r="C795" s="11"/>
      <c r="D795" s="11"/>
      <c r="E795" s="11"/>
      <c r="F795" s="11"/>
      <c r="G795" s="12"/>
      <c r="H795" s="13"/>
      <c r="I795" s="14"/>
      <c r="J795" s="11"/>
    </row>
    <row r="796" spans="1:10" ht="16" x14ac:dyDescent="0.2">
      <c r="A796" s="11"/>
      <c r="B796" s="11"/>
      <c r="C796" s="11"/>
      <c r="D796" s="11"/>
      <c r="E796" s="11"/>
      <c r="F796" s="11"/>
      <c r="G796" s="12"/>
      <c r="H796" s="13"/>
      <c r="I796" s="14"/>
      <c r="J796" s="11"/>
    </row>
    <row r="797" spans="1:10" ht="16" x14ac:dyDescent="0.2">
      <c r="A797" s="11"/>
      <c r="B797" s="11"/>
      <c r="C797" s="11"/>
      <c r="D797" s="11"/>
      <c r="E797" s="11"/>
      <c r="F797" s="11"/>
      <c r="G797" s="12"/>
      <c r="H797" s="13"/>
      <c r="I797" s="14"/>
      <c r="J797" s="11"/>
    </row>
    <row r="798" spans="1:10" ht="16" x14ac:dyDescent="0.2">
      <c r="A798" s="11"/>
      <c r="B798" s="11"/>
      <c r="C798" s="11"/>
      <c r="D798" s="11"/>
      <c r="E798" s="11"/>
      <c r="F798" s="11"/>
      <c r="G798" s="12"/>
      <c r="H798" s="13"/>
      <c r="I798" s="14"/>
      <c r="J798" s="11"/>
    </row>
    <row r="799" spans="1:10" ht="16" x14ac:dyDescent="0.2">
      <c r="A799" s="11"/>
      <c r="B799" s="11"/>
      <c r="C799" s="11"/>
      <c r="D799" s="11"/>
      <c r="E799" s="11"/>
      <c r="F799" s="11"/>
      <c r="G799" s="12"/>
      <c r="H799" s="13"/>
      <c r="I799" s="14"/>
      <c r="J799" s="11"/>
    </row>
    <row r="800" spans="1:10" ht="16" x14ac:dyDescent="0.2">
      <c r="A800" s="11"/>
      <c r="B800" s="11"/>
      <c r="C800" s="11"/>
      <c r="D800" s="11"/>
      <c r="E800" s="11"/>
      <c r="F800" s="11"/>
      <c r="G800" s="12"/>
      <c r="H800" s="13"/>
      <c r="I800" s="14"/>
      <c r="J800" s="11"/>
    </row>
    <row r="801" spans="1:10" ht="16" x14ac:dyDescent="0.2">
      <c r="A801" s="11"/>
      <c r="B801" s="11"/>
      <c r="C801" s="11"/>
      <c r="D801" s="11"/>
      <c r="E801" s="11"/>
      <c r="F801" s="11"/>
      <c r="G801" s="12"/>
      <c r="H801" s="13"/>
      <c r="I801" s="14"/>
      <c r="J801" s="11"/>
    </row>
    <row r="802" spans="1:10" ht="16" x14ac:dyDescent="0.2">
      <c r="A802" s="11"/>
      <c r="B802" s="11"/>
      <c r="C802" s="11"/>
      <c r="D802" s="11"/>
      <c r="E802" s="11"/>
      <c r="F802" s="11"/>
      <c r="G802" s="12"/>
      <c r="H802" s="13"/>
      <c r="I802" s="14"/>
      <c r="J802" s="11"/>
    </row>
    <row r="803" spans="1:10" ht="16" x14ac:dyDescent="0.2">
      <c r="A803" s="11"/>
      <c r="B803" s="11"/>
      <c r="C803" s="11"/>
      <c r="D803" s="11"/>
      <c r="E803" s="11"/>
      <c r="F803" s="11"/>
      <c r="G803" s="12"/>
      <c r="H803" s="13"/>
      <c r="I803" s="14"/>
      <c r="J803" s="11"/>
    </row>
    <row r="804" spans="1:10" ht="16" x14ac:dyDescent="0.2">
      <c r="A804" s="11"/>
      <c r="B804" s="11"/>
      <c r="C804" s="11"/>
      <c r="D804" s="11"/>
      <c r="E804" s="11"/>
      <c r="F804" s="11"/>
      <c r="G804" s="12"/>
      <c r="H804" s="13"/>
      <c r="I804" s="14"/>
      <c r="J804" s="11"/>
    </row>
    <row r="805" spans="1:10" ht="16" x14ac:dyDescent="0.2">
      <c r="A805" s="11"/>
      <c r="B805" s="11"/>
      <c r="C805" s="11"/>
      <c r="D805" s="11"/>
      <c r="E805" s="11"/>
      <c r="F805" s="11"/>
      <c r="G805" s="12"/>
      <c r="H805" s="13"/>
      <c r="I805" s="14"/>
      <c r="J805" s="11"/>
    </row>
    <row r="806" spans="1:10" ht="16" x14ac:dyDescent="0.2">
      <c r="A806" s="11"/>
      <c r="B806" s="11"/>
      <c r="C806" s="11"/>
      <c r="D806" s="11"/>
      <c r="E806" s="11"/>
      <c r="F806" s="11"/>
      <c r="G806" s="12"/>
      <c r="H806" s="13"/>
      <c r="I806" s="14"/>
      <c r="J806" s="11"/>
    </row>
    <row r="807" spans="1:10" ht="16" x14ac:dyDescent="0.2">
      <c r="A807" s="11"/>
      <c r="B807" s="11"/>
      <c r="C807" s="11"/>
      <c r="D807" s="11"/>
      <c r="E807" s="11"/>
      <c r="F807" s="11"/>
      <c r="G807" s="12"/>
      <c r="H807" s="13"/>
      <c r="I807" s="14"/>
      <c r="J807" s="11"/>
    </row>
    <row r="808" spans="1:10" ht="16" x14ac:dyDescent="0.2">
      <c r="A808" s="11"/>
      <c r="B808" s="11"/>
      <c r="C808" s="11"/>
      <c r="D808" s="11"/>
      <c r="E808" s="11"/>
      <c r="F808" s="11"/>
      <c r="G808" s="12"/>
      <c r="H808" s="13"/>
      <c r="I808" s="14"/>
      <c r="J808" s="11"/>
    </row>
    <row r="809" spans="1:10" ht="16" x14ac:dyDescent="0.2">
      <c r="A809" s="11"/>
      <c r="B809" s="11"/>
      <c r="C809" s="11"/>
      <c r="D809" s="11"/>
      <c r="E809" s="11"/>
      <c r="F809" s="11"/>
      <c r="G809" s="12"/>
      <c r="H809" s="13"/>
      <c r="I809" s="14"/>
      <c r="J809" s="11"/>
    </row>
    <row r="810" spans="1:10" ht="16" x14ac:dyDescent="0.2">
      <c r="A810" s="11"/>
      <c r="B810" s="11"/>
      <c r="C810" s="11"/>
      <c r="D810" s="11"/>
      <c r="E810" s="11"/>
      <c r="F810" s="11"/>
      <c r="G810" s="12"/>
      <c r="H810" s="13"/>
      <c r="I810" s="14"/>
      <c r="J810" s="11"/>
    </row>
    <row r="811" spans="1:10" ht="16" x14ac:dyDescent="0.2">
      <c r="A811" s="11"/>
      <c r="B811" s="11"/>
      <c r="C811" s="11"/>
      <c r="D811" s="11"/>
      <c r="E811" s="11"/>
      <c r="F811" s="11"/>
      <c r="G811" s="12"/>
      <c r="H811" s="13"/>
      <c r="I811" s="14"/>
      <c r="J811" s="11"/>
    </row>
    <row r="812" spans="1:10" ht="16" x14ac:dyDescent="0.2">
      <c r="A812" s="11"/>
      <c r="B812" s="11"/>
      <c r="C812" s="11"/>
      <c r="D812" s="11"/>
      <c r="E812" s="11"/>
      <c r="F812" s="11"/>
      <c r="G812" s="12"/>
      <c r="H812" s="13"/>
      <c r="I812" s="14"/>
      <c r="J812" s="11"/>
    </row>
    <row r="813" spans="1:10" ht="16" x14ac:dyDescent="0.2">
      <c r="A813" s="11"/>
      <c r="B813" s="11"/>
      <c r="C813" s="11"/>
      <c r="D813" s="11"/>
      <c r="E813" s="11"/>
      <c r="F813" s="11"/>
      <c r="G813" s="12"/>
      <c r="H813" s="13"/>
      <c r="I813" s="14"/>
      <c r="J813" s="11"/>
    </row>
    <row r="814" spans="1:10" ht="16" x14ac:dyDescent="0.2">
      <c r="A814" s="11"/>
      <c r="B814" s="11"/>
      <c r="C814" s="11"/>
      <c r="D814" s="11"/>
      <c r="E814" s="11"/>
      <c r="F814" s="11"/>
      <c r="G814" s="12"/>
      <c r="H814" s="13"/>
      <c r="I814" s="14"/>
      <c r="J814" s="11"/>
    </row>
    <row r="815" spans="1:10" ht="16" x14ac:dyDescent="0.2">
      <c r="A815" s="11"/>
      <c r="B815" s="11"/>
      <c r="C815" s="11"/>
      <c r="D815" s="11"/>
      <c r="E815" s="11"/>
      <c r="F815" s="11"/>
      <c r="G815" s="12"/>
      <c r="H815" s="13"/>
      <c r="I815" s="14"/>
      <c r="J815" s="11"/>
    </row>
    <row r="816" spans="1:10" ht="16" x14ac:dyDescent="0.2">
      <c r="A816" s="11"/>
      <c r="B816" s="11"/>
      <c r="C816" s="11"/>
      <c r="D816" s="11"/>
      <c r="E816" s="11"/>
      <c r="F816" s="11"/>
      <c r="G816" s="12"/>
      <c r="H816" s="13"/>
      <c r="I816" s="14"/>
      <c r="J816" s="11"/>
    </row>
    <row r="817" spans="1:10" ht="16" x14ac:dyDescent="0.2">
      <c r="A817" s="11"/>
      <c r="B817" s="11"/>
      <c r="C817" s="11"/>
      <c r="D817" s="11"/>
      <c r="E817" s="11"/>
      <c r="F817" s="11"/>
      <c r="G817" s="12"/>
      <c r="H817" s="13"/>
      <c r="I817" s="14"/>
      <c r="J817" s="11"/>
    </row>
    <row r="818" spans="1:10" ht="16" x14ac:dyDescent="0.2">
      <c r="A818" s="11"/>
      <c r="B818" s="11"/>
      <c r="C818" s="11"/>
      <c r="D818" s="11"/>
      <c r="E818" s="11"/>
      <c r="F818" s="11"/>
      <c r="G818" s="12"/>
      <c r="H818" s="13"/>
      <c r="I818" s="14"/>
      <c r="J818" s="11"/>
    </row>
    <row r="819" spans="1:10" ht="16" x14ac:dyDescent="0.2">
      <c r="A819" s="11"/>
      <c r="B819" s="11"/>
      <c r="C819" s="11"/>
      <c r="D819" s="11"/>
      <c r="E819" s="11"/>
      <c r="F819" s="11"/>
      <c r="G819" s="12"/>
      <c r="H819" s="13"/>
      <c r="I819" s="14"/>
      <c r="J819" s="11"/>
    </row>
    <row r="820" spans="1:10" ht="16" x14ac:dyDescent="0.2">
      <c r="A820" s="11"/>
      <c r="B820" s="11"/>
      <c r="C820" s="11"/>
      <c r="D820" s="11"/>
      <c r="E820" s="11"/>
      <c r="F820" s="11"/>
      <c r="G820" s="12"/>
      <c r="H820" s="13"/>
      <c r="I820" s="14"/>
      <c r="J820" s="11"/>
    </row>
    <row r="821" spans="1:10" ht="16" x14ac:dyDescent="0.2">
      <c r="A821" s="11"/>
      <c r="B821" s="11"/>
      <c r="C821" s="11"/>
      <c r="D821" s="11"/>
      <c r="E821" s="11"/>
      <c r="F821" s="11"/>
      <c r="G821" s="12"/>
      <c r="H821" s="13"/>
      <c r="I821" s="14"/>
      <c r="J821" s="11"/>
    </row>
    <row r="822" spans="1:10" ht="16" x14ac:dyDescent="0.2">
      <c r="A822" s="11"/>
      <c r="B822" s="11"/>
      <c r="C822" s="11"/>
      <c r="D822" s="11"/>
      <c r="E822" s="11"/>
      <c r="F822" s="11"/>
      <c r="G822" s="12"/>
      <c r="H822" s="13"/>
      <c r="I822" s="14"/>
      <c r="J822" s="11"/>
    </row>
    <row r="823" spans="1:10" ht="16" x14ac:dyDescent="0.2">
      <c r="A823" s="11"/>
      <c r="B823" s="11"/>
      <c r="C823" s="11"/>
      <c r="D823" s="11"/>
      <c r="E823" s="11"/>
      <c r="F823" s="11"/>
      <c r="G823" s="12"/>
      <c r="H823" s="13"/>
      <c r="I823" s="14"/>
      <c r="J823" s="11"/>
    </row>
    <row r="824" spans="1:10" ht="16" x14ac:dyDescent="0.2">
      <c r="A824" s="11"/>
      <c r="B824" s="11"/>
      <c r="C824" s="11"/>
      <c r="D824" s="11"/>
      <c r="E824" s="11"/>
      <c r="F824" s="11"/>
      <c r="G824" s="12"/>
      <c r="H824" s="13"/>
      <c r="I824" s="14"/>
      <c r="J824" s="11"/>
    </row>
    <row r="825" spans="1:10" ht="16" x14ac:dyDescent="0.2">
      <c r="A825" s="11"/>
      <c r="B825" s="11"/>
      <c r="C825" s="11"/>
      <c r="D825" s="11"/>
      <c r="E825" s="11"/>
      <c r="F825" s="11"/>
      <c r="G825" s="12"/>
      <c r="H825" s="13"/>
      <c r="I825" s="14"/>
      <c r="J825" s="11"/>
    </row>
    <row r="826" spans="1:10" ht="16" x14ac:dyDescent="0.2">
      <c r="A826" s="11"/>
      <c r="B826" s="11"/>
      <c r="C826" s="11"/>
      <c r="D826" s="11"/>
      <c r="E826" s="11"/>
      <c r="F826" s="11"/>
      <c r="G826" s="12"/>
      <c r="H826" s="13"/>
      <c r="I826" s="14"/>
      <c r="J826" s="11"/>
    </row>
    <row r="827" spans="1:10" ht="16" x14ac:dyDescent="0.2">
      <c r="A827" s="11"/>
      <c r="B827" s="11"/>
      <c r="C827" s="11"/>
      <c r="D827" s="11"/>
      <c r="E827" s="11"/>
      <c r="F827" s="11"/>
      <c r="G827" s="12"/>
      <c r="H827" s="13"/>
      <c r="I827" s="14"/>
      <c r="J827" s="11"/>
    </row>
    <row r="828" spans="1:10" ht="16" x14ac:dyDescent="0.2">
      <c r="A828" s="11"/>
      <c r="B828" s="11"/>
      <c r="C828" s="11"/>
      <c r="D828" s="11"/>
      <c r="E828" s="11"/>
      <c r="F828" s="11"/>
      <c r="G828" s="12"/>
      <c r="H828" s="13"/>
      <c r="I828" s="14"/>
      <c r="J828" s="11"/>
    </row>
    <row r="829" spans="1:10" ht="16" x14ac:dyDescent="0.2">
      <c r="A829" s="11"/>
      <c r="B829" s="11"/>
      <c r="C829" s="11"/>
      <c r="D829" s="11"/>
      <c r="E829" s="11"/>
      <c r="F829" s="11"/>
      <c r="G829" s="12"/>
      <c r="H829" s="13"/>
      <c r="I829" s="14"/>
      <c r="J829" s="11"/>
    </row>
    <row r="830" spans="1:10" ht="16" x14ac:dyDescent="0.2">
      <c r="A830" s="11"/>
      <c r="B830" s="11"/>
      <c r="C830" s="11"/>
      <c r="D830" s="11"/>
      <c r="E830" s="11"/>
      <c r="F830" s="11"/>
      <c r="G830" s="12"/>
      <c r="H830" s="13"/>
      <c r="I830" s="14"/>
      <c r="J830" s="11"/>
    </row>
    <row r="831" spans="1:10" ht="16" x14ac:dyDescent="0.2">
      <c r="A831" s="11"/>
      <c r="B831" s="11"/>
      <c r="C831" s="11"/>
      <c r="D831" s="11"/>
      <c r="E831" s="11"/>
      <c r="F831" s="11"/>
      <c r="G831" s="12"/>
      <c r="H831" s="13"/>
      <c r="I831" s="14"/>
      <c r="J831" s="11"/>
    </row>
    <row r="832" spans="1:10" ht="16" x14ac:dyDescent="0.2">
      <c r="A832" s="11"/>
      <c r="B832" s="11"/>
      <c r="C832" s="11"/>
      <c r="D832" s="11"/>
      <c r="E832" s="11"/>
      <c r="F832" s="11"/>
      <c r="G832" s="12"/>
      <c r="H832" s="13"/>
      <c r="I832" s="14"/>
      <c r="J832" s="11"/>
    </row>
    <row r="833" spans="1:10" ht="16" x14ac:dyDescent="0.2">
      <c r="A833" s="11"/>
      <c r="B833" s="11"/>
      <c r="C833" s="11"/>
      <c r="D833" s="11"/>
      <c r="E833" s="11"/>
      <c r="F833" s="11"/>
      <c r="G833" s="12"/>
      <c r="H833" s="13"/>
      <c r="I833" s="14"/>
      <c r="J833" s="11"/>
    </row>
    <row r="834" spans="1:10" ht="16" x14ac:dyDescent="0.2">
      <c r="A834" s="11"/>
      <c r="B834" s="11"/>
      <c r="C834" s="11"/>
      <c r="D834" s="11"/>
      <c r="E834" s="11"/>
      <c r="F834" s="11"/>
      <c r="G834" s="12"/>
      <c r="H834" s="13"/>
      <c r="I834" s="14"/>
      <c r="J834" s="11"/>
    </row>
    <row r="835" spans="1:10" ht="16" x14ac:dyDescent="0.2">
      <c r="A835" s="11"/>
      <c r="B835" s="11"/>
      <c r="C835" s="11"/>
      <c r="D835" s="11"/>
      <c r="E835" s="11"/>
      <c r="F835" s="11"/>
      <c r="G835" s="12"/>
      <c r="H835" s="13"/>
      <c r="I835" s="14"/>
      <c r="J835" s="11"/>
    </row>
    <row r="836" spans="1:10" ht="16" x14ac:dyDescent="0.2">
      <c r="A836" s="11"/>
      <c r="B836" s="11"/>
      <c r="C836" s="11"/>
      <c r="D836" s="11"/>
      <c r="E836" s="11"/>
      <c r="F836" s="11"/>
      <c r="G836" s="12"/>
      <c r="H836" s="13"/>
      <c r="I836" s="14"/>
      <c r="J836" s="11"/>
    </row>
    <row r="837" spans="1:10" ht="16" x14ac:dyDescent="0.2">
      <c r="A837" s="11"/>
      <c r="B837" s="11"/>
      <c r="C837" s="11"/>
      <c r="D837" s="11"/>
      <c r="E837" s="11"/>
      <c r="F837" s="11"/>
      <c r="G837" s="12"/>
      <c r="H837" s="13"/>
      <c r="I837" s="14"/>
      <c r="J837" s="11"/>
    </row>
    <row r="838" spans="1:10" ht="16" x14ac:dyDescent="0.2">
      <c r="A838" s="11"/>
      <c r="B838" s="11"/>
      <c r="C838" s="11"/>
      <c r="D838" s="11"/>
      <c r="E838" s="11"/>
      <c r="F838" s="11"/>
      <c r="G838" s="12"/>
      <c r="H838" s="13"/>
      <c r="I838" s="14"/>
      <c r="J838" s="11"/>
    </row>
    <row r="839" spans="1:10" ht="16" x14ac:dyDescent="0.2">
      <c r="A839" s="11"/>
      <c r="B839" s="11"/>
      <c r="C839" s="11"/>
      <c r="D839" s="11"/>
      <c r="E839" s="11"/>
      <c r="F839" s="11"/>
      <c r="G839" s="12"/>
      <c r="H839" s="13"/>
      <c r="I839" s="14"/>
      <c r="J839" s="11"/>
    </row>
    <row r="840" spans="1:10" ht="16" x14ac:dyDescent="0.2">
      <c r="A840" s="11"/>
      <c r="B840" s="11"/>
      <c r="C840" s="11"/>
      <c r="D840" s="11"/>
      <c r="E840" s="11"/>
      <c r="F840" s="11"/>
      <c r="G840" s="12"/>
      <c r="H840" s="13"/>
      <c r="I840" s="14"/>
      <c r="J840" s="11"/>
    </row>
    <row r="841" spans="1:10" ht="16" x14ac:dyDescent="0.2">
      <c r="A841" s="11"/>
      <c r="B841" s="11"/>
      <c r="C841" s="11"/>
      <c r="D841" s="11"/>
      <c r="E841" s="11"/>
      <c r="F841" s="11"/>
      <c r="G841" s="12"/>
      <c r="H841" s="13"/>
      <c r="I841" s="14"/>
      <c r="J841" s="11"/>
    </row>
    <row r="842" spans="1:10" ht="16" x14ac:dyDescent="0.2">
      <c r="A842" s="11"/>
      <c r="B842" s="11"/>
      <c r="C842" s="11"/>
      <c r="D842" s="11"/>
      <c r="E842" s="11"/>
      <c r="F842" s="11"/>
      <c r="G842" s="12"/>
      <c r="H842" s="13"/>
      <c r="I842" s="14"/>
      <c r="J842" s="11"/>
    </row>
    <row r="843" spans="1:10" ht="16" x14ac:dyDescent="0.2">
      <c r="A843" s="11"/>
      <c r="B843" s="11"/>
      <c r="C843" s="11"/>
      <c r="D843" s="11"/>
      <c r="E843" s="11"/>
      <c r="F843" s="11"/>
      <c r="G843" s="12"/>
      <c r="H843" s="13"/>
      <c r="I843" s="14"/>
      <c r="J843" s="11"/>
    </row>
    <row r="844" spans="1:10" ht="16" x14ac:dyDescent="0.2">
      <c r="A844" s="11"/>
      <c r="B844" s="11"/>
      <c r="C844" s="11"/>
      <c r="D844" s="11"/>
      <c r="E844" s="11"/>
      <c r="F844" s="11"/>
      <c r="G844" s="12"/>
      <c r="H844" s="13"/>
      <c r="I844" s="14"/>
      <c r="J844" s="11"/>
    </row>
    <row r="845" spans="1:10" ht="16" x14ac:dyDescent="0.2">
      <c r="A845" s="11"/>
      <c r="B845" s="11"/>
      <c r="C845" s="11"/>
      <c r="D845" s="11"/>
      <c r="E845" s="11"/>
      <c r="F845" s="11"/>
      <c r="G845" s="12"/>
      <c r="H845" s="13"/>
      <c r="I845" s="14"/>
      <c r="J845" s="11"/>
    </row>
    <row r="846" spans="1:10" ht="16" x14ac:dyDescent="0.2">
      <c r="A846" s="11"/>
      <c r="B846" s="11"/>
      <c r="C846" s="11"/>
      <c r="D846" s="11"/>
      <c r="E846" s="11"/>
      <c r="F846" s="11"/>
      <c r="G846" s="12"/>
      <c r="H846" s="13"/>
      <c r="I846" s="14"/>
      <c r="J846" s="11"/>
    </row>
    <row r="847" spans="1:10" ht="16" x14ac:dyDescent="0.2">
      <c r="A847" s="11"/>
      <c r="B847" s="11"/>
      <c r="C847" s="11"/>
      <c r="D847" s="11"/>
      <c r="E847" s="11"/>
      <c r="F847" s="11"/>
      <c r="G847" s="12"/>
      <c r="H847" s="13"/>
      <c r="I847" s="14"/>
      <c r="J847" s="11"/>
    </row>
    <row r="848" spans="1:10" ht="16" x14ac:dyDescent="0.2">
      <c r="A848" s="11"/>
      <c r="B848" s="11"/>
      <c r="C848" s="11"/>
      <c r="D848" s="11"/>
      <c r="E848" s="11"/>
      <c r="F848" s="11"/>
      <c r="G848" s="12"/>
      <c r="H848" s="13"/>
      <c r="I848" s="14"/>
      <c r="J848" s="11"/>
    </row>
    <row r="849" spans="1:10" ht="16" x14ac:dyDescent="0.2">
      <c r="A849" s="11"/>
      <c r="B849" s="11"/>
      <c r="C849" s="11"/>
      <c r="D849" s="11"/>
      <c r="E849" s="11"/>
      <c r="F849" s="11"/>
      <c r="G849" s="12"/>
      <c r="H849" s="13"/>
      <c r="I849" s="14"/>
      <c r="J849" s="11"/>
    </row>
    <row r="850" spans="1:10" ht="16" x14ac:dyDescent="0.2">
      <c r="A850" s="11"/>
      <c r="B850" s="11"/>
      <c r="C850" s="11"/>
      <c r="D850" s="11"/>
      <c r="E850" s="11"/>
      <c r="F850" s="11"/>
      <c r="G850" s="12"/>
      <c r="H850" s="13"/>
      <c r="I850" s="14"/>
      <c r="J850" s="11"/>
    </row>
    <row r="851" spans="1:10" ht="16" x14ac:dyDescent="0.2">
      <c r="A851" s="11"/>
      <c r="B851" s="11"/>
      <c r="C851" s="11"/>
      <c r="D851" s="11"/>
      <c r="E851" s="11"/>
      <c r="F851" s="11"/>
      <c r="G851" s="12"/>
      <c r="H851" s="13"/>
      <c r="I851" s="14"/>
      <c r="J851" s="11"/>
    </row>
    <row r="852" spans="1:10" ht="16" x14ac:dyDescent="0.2">
      <c r="A852" s="11"/>
      <c r="B852" s="11"/>
      <c r="C852" s="11"/>
      <c r="D852" s="11"/>
      <c r="E852" s="11"/>
      <c r="F852" s="11"/>
      <c r="G852" s="12"/>
      <c r="H852" s="13"/>
      <c r="I852" s="14"/>
      <c r="J852" s="11"/>
    </row>
    <row r="853" spans="1:10" ht="16" x14ac:dyDescent="0.2">
      <c r="A853" s="11"/>
      <c r="B853" s="11"/>
      <c r="C853" s="11"/>
      <c r="D853" s="11"/>
      <c r="E853" s="11"/>
      <c r="F853" s="11"/>
      <c r="G853" s="12"/>
      <c r="H853" s="13"/>
      <c r="I853" s="14"/>
      <c r="J853" s="11"/>
    </row>
    <row r="854" spans="1:10" ht="16" x14ac:dyDescent="0.2">
      <c r="A854" s="11"/>
      <c r="B854" s="11"/>
      <c r="C854" s="11"/>
      <c r="D854" s="11"/>
      <c r="E854" s="11"/>
      <c r="F854" s="11"/>
      <c r="G854" s="12"/>
      <c r="H854" s="13"/>
      <c r="I854" s="14"/>
      <c r="J854" s="11"/>
    </row>
    <row r="855" spans="1:10" ht="16" x14ac:dyDescent="0.2">
      <c r="A855" s="11"/>
      <c r="B855" s="11"/>
      <c r="C855" s="11"/>
      <c r="D855" s="11"/>
      <c r="E855" s="11"/>
      <c r="F855" s="11"/>
      <c r="G855" s="12"/>
      <c r="H855" s="13"/>
      <c r="I855" s="14"/>
      <c r="J855" s="11"/>
    </row>
    <row r="856" spans="1:10" ht="16" x14ac:dyDescent="0.2">
      <c r="A856" s="11"/>
      <c r="B856" s="11"/>
      <c r="C856" s="11"/>
      <c r="D856" s="11"/>
      <c r="E856" s="11"/>
      <c r="F856" s="11"/>
      <c r="G856" s="12"/>
      <c r="H856" s="13"/>
      <c r="I856" s="14"/>
      <c r="J856" s="11"/>
    </row>
    <row r="857" spans="1:10" ht="16" x14ac:dyDescent="0.2">
      <c r="A857" s="11"/>
      <c r="B857" s="11"/>
      <c r="C857" s="11"/>
      <c r="D857" s="11"/>
      <c r="E857" s="11"/>
      <c r="F857" s="11"/>
      <c r="G857" s="12"/>
      <c r="H857" s="13"/>
      <c r="I857" s="14"/>
      <c r="J857" s="11"/>
    </row>
    <row r="858" spans="1:10" ht="16" x14ac:dyDescent="0.2">
      <c r="A858" s="11"/>
      <c r="B858" s="11"/>
      <c r="C858" s="11"/>
      <c r="D858" s="11"/>
      <c r="E858" s="11"/>
      <c r="F858" s="11"/>
      <c r="G858" s="12"/>
      <c r="H858" s="13"/>
      <c r="I858" s="14"/>
      <c r="J858" s="11"/>
    </row>
    <row r="859" spans="1:10" ht="16" x14ac:dyDescent="0.2">
      <c r="A859" s="11"/>
      <c r="B859" s="11"/>
      <c r="C859" s="11"/>
      <c r="D859" s="11"/>
      <c r="E859" s="11"/>
      <c r="F859" s="11"/>
      <c r="G859" s="12"/>
      <c r="H859" s="13"/>
      <c r="I859" s="14"/>
      <c r="J859" s="11"/>
    </row>
    <row r="860" spans="1:10" ht="16" x14ac:dyDescent="0.2">
      <c r="A860" s="11"/>
      <c r="B860" s="11"/>
      <c r="C860" s="11"/>
      <c r="D860" s="11"/>
      <c r="E860" s="11"/>
      <c r="F860" s="11"/>
      <c r="G860" s="12"/>
      <c r="H860" s="13"/>
      <c r="I860" s="14"/>
      <c r="J860" s="11"/>
    </row>
    <row r="861" spans="1:10" ht="16" x14ac:dyDescent="0.2">
      <c r="A861" s="11"/>
      <c r="B861" s="11"/>
      <c r="C861" s="11"/>
      <c r="D861" s="11"/>
      <c r="E861" s="11"/>
      <c r="F861" s="11"/>
      <c r="G861" s="12"/>
      <c r="H861" s="13"/>
      <c r="I861" s="14"/>
      <c r="J861" s="11"/>
    </row>
    <row r="862" spans="1:10" ht="16" x14ac:dyDescent="0.2">
      <c r="A862" s="11"/>
      <c r="B862" s="11"/>
      <c r="C862" s="11"/>
      <c r="D862" s="11"/>
      <c r="E862" s="11"/>
      <c r="F862" s="11"/>
      <c r="G862" s="12"/>
      <c r="H862" s="13"/>
      <c r="I862" s="14"/>
      <c r="J862" s="11"/>
    </row>
    <row r="863" spans="1:10" ht="16" x14ac:dyDescent="0.2">
      <c r="A863" s="11"/>
      <c r="B863" s="11"/>
      <c r="C863" s="11"/>
      <c r="D863" s="11"/>
      <c r="E863" s="11"/>
      <c r="F863" s="11"/>
      <c r="G863" s="12"/>
      <c r="H863" s="13"/>
      <c r="I863" s="14"/>
      <c r="J863" s="11"/>
    </row>
    <row r="864" spans="1:10" ht="16" x14ac:dyDescent="0.2">
      <c r="A864" s="11"/>
      <c r="B864" s="11"/>
      <c r="C864" s="11"/>
      <c r="D864" s="11"/>
      <c r="E864" s="11"/>
      <c r="F864" s="11"/>
      <c r="G864" s="12"/>
      <c r="H864" s="13"/>
      <c r="I864" s="14"/>
      <c r="J864" s="11"/>
    </row>
    <row r="865" spans="1:10" ht="16" x14ac:dyDescent="0.2">
      <c r="A865" s="11"/>
      <c r="B865" s="11"/>
      <c r="C865" s="11"/>
      <c r="D865" s="11"/>
      <c r="E865" s="11"/>
      <c r="F865" s="11"/>
      <c r="G865" s="12"/>
      <c r="H865" s="13"/>
      <c r="I865" s="14"/>
      <c r="J865" s="11"/>
    </row>
    <row r="866" spans="1:10" ht="16" x14ac:dyDescent="0.2">
      <c r="A866" s="11"/>
      <c r="B866" s="11"/>
      <c r="C866" s="11"/>
      <c r="D866" s="11"/>
      <c r="E866" s="11"/>
      <c r="F866" s="11"/>
      <c r="G866" s="12"/>
      <c r="H866" s="13"/>
      <c r="I866" s="14"/>
      <c r="J866" s="11"/>
    </row>
    <row r="867" spans="1:10" ht="16" x14ac:dyDescent="0.2">
      <c r="A867" s="11"/>
      <c r="B867" s="11"/>
      <c r="C867" s="11"/>
      <c r="D867" s="11"/>
      <c r="E867" s="11"/>
      <c r="F867" s="11"/>
      <c r="G867" s="12"/>
      <c r="H867" s="13"/>
      <c r="I867" s="14"/>
      <c r="J867" s="11"/>
    </row>
    <row r="868" spans="1:10" ht="16" x14ac:dyDescent="0.2">
      <c r="A868" s="11"/>
      <c r="B868" s="11"/>
      <c r="C868" s="11"/>
      <c r="D868" s="11"/>
      <c r="E868" s="11"/>
      <c r="F868" s="11"/>
      <c r="G868" s="12"/>
      <c r="H868" s="13"/>
      <c r="I868" s="14"/>
      <c r="J868" s="11"/>
    </row>
    <row r="869" spans="1:10" ht="16" x14ac:dyDescent="0.2">
      <c r="A869" s="11"/>
      <c r="B869" s="11"/>
      <c r="C869" s="11"/>
      <c r="D869" s="11"/>
      <c r="E869" s="11"/>
      <c r="F869" s="11"/>
      <c r="G869" s="12"/>
      <c r="H869" s="13"/>
      <c r="I869" s="14"/>
      <c r="J869" s="11"/>
    </row>
    <row r="870" spans="1:10" ht="16" x14ac:dyDescent="0.2">
      <c r="A870" s="11"/>
      <c r="B870" s="11"/>
      <c r="C870" s="11"/>
      <c r="D870" s="11"/>
      <c r="E870" s="11"/>
      <c r="F870" s="11"/>
      <c r="G870" s="12"/>
      <c r="H870" s="13"/>
      <c r="I870" s="14"/>
      <c r="J870" s="11"/>
    </row>
    <row r="871" spans="1:10" ht="16" x14ac:dyDescent="0.2">
      <c r="A871" s="11"/>
      <c r="B871" s="11"/>
      <c r="C871" s="11"/>
      <c r="D871" s="11"/>
      <c r="E871" s="11"/>
      <c r="F871" s="11"/>
      <c r="G871" s="12"/>
      <c r="H871" s="13"/>
      <c r="I871" s="14"/>
      <c r="J871" s="11"/>
    </row>
    <row r="872" spans="1:10" ht="16" x14ac:dyDescent="0.2">
      <c r="A872" s="11"/>
      <c r="B872" s="11"/>
      <c r="C872" s="11"/>
      <c r="D872" s="11"/>
      <c r="E872" s="11"/>
      <c r="F872" s="11"/>
      <c r="G872" s="12"/>
      <c r="H872" s="13"/>
      <c r="I872" s="14"/>
      <c r="J872" s="11"/>
    </row>
    <row r="873" spans="1:10" ht="16" x14ac:dyDescent="0.2">
      <c r="A873" s="11"/>
      <c r="B873" s="11"/>
      <c r="C873" s="11"/>
      <c r="D873" s="11"/>
      <c r="E873" s="11"/>
      <c r="F873" s="11"/>
      <c r="G873" s="12"/>
      <c r="H873" s="13"/>
      <c r="I873" s="14"/>
      <c r="J873" s="11"/>
    </row>
    <row r="874" spans="1:10" ht="16" x14ac:dyDescent="0.2">
      <c r="A874" s="11"/>
      <c r="B874" s="11"/>
      <c r="C874" s="11"/>
      <c r="D874" s="11"/>
      <c r="E874" s="11"/>
      <c r="F874" s="11"/>
      <c r="G874" s="12"/>
      <c r="H874" s="13"/>
      <c r="I874" s="14"/>
      <c r="J874" s="11"/>
    </row>
    <row r="875" spans="1:10" ht="16" x14ac:dyDescent="0.2">
      <c r="A875" s="11"/>
      <c r="B875" s="11"/>
      <c r="C875" s="11"/>
      <c r="D875" s="11"/>
      <c r="E875" s="11"/>
      <c r="F875" s="11"/>
      <c r="G875" s="12"/>
      <c r="H875" s="13"/>
      <c r="I875" s="14"/>
      <c r="J875" s="11"/>
    </row>
    <row r="876" spans="1:10" ht="16" x14ac:dyDescent="0.2">
      <c r="A876" s="11"/>
      <c r="B876" s="11"/>
      <c r="C876" s="11"/>
      <c r="D876" s="11"/>
      <c r="E876" s="11"/>
      <c r="F876" s="11"/>
      <c r="G876" s="12"/>
      <c r="H876" s="13"/>
      <c r="I876" s="14"/>
      <c r="J876" s="11"/>
    </row>
    <row r="877" spans="1:10" ht="16" x14ac:dyDescent="0.2">
      <c r="A877" s="11"/>
      <c r="B877" s="11"/>
      <c r="C877" s="11"/>
      <c r="D877" s="11"/>
      <c r="E877" s="11"/>
      <c r="F877" s="11"/>
      <c r="G877" s="12"/>
      <c r="H877" s="13"/>
      <c r="I877" s="14"/>
      <c r="J877" s="11"/>
    </row>
    <row r="878" spans="1:10" ht="16" x14ac:dyDescent="0.2">
      <c r="A878" s="11"/>
      <c r="B878" s="11"/>
      <c r="C878" s="11"/>
      <c r="D878" s="11"/>
      <c r="E878" s="11"/>
      <c r="F878" s="11"/>
      <c r="G878" s="12"/>
      <c r="H878" s="13"/>
      <c r="I878" s="14"/>
      <c r="J878" s="11"/>
    </row>
    <row r="879" spans="1:10" ht="16" x14ac:dyDescent="0.2">
      <c r="A879" s="11"/>
      <c r="B879" s="11"/>
      <c r="C879" s="11"/>
      <c r="D879" s="11"/>
      <c r="E879" s="11"/>
      <c r="F879" s="11"/>
      <c r="G879" s="12"/>
      <c r="H879" s="13"/>
      <c r="I879" s="14"/>
      <c r="J879" s="11"/>
    </row>
    <row r="880" spans="1:10" ht="16" x14ac:dyDescent="0.2">
      <c r="A880" s="11"/>
      <c r="B880" s="11"/>
      <c r="C880" s="11"/>
      <c r="D880" s="11"/>
      <c r="E880" s="11"/>
      <c r="F880" s="11"/>
      <c r="G880" s="12"/>
      <c r="H880" s="13"/>
      <c r="I880" s="14"/>
      <c r="J880" s="11"/>
    </row>
    <row r="881" spans="1:10" ht="16" x14ac:dyDescent="0.2">
      <c r="A881" s="11"/>
      <c r="B881" s="11"/>
      <c r="C881" s="11"/>
      <c r="D881" s="11"/>
      <c r="E881" s="11"/>
      <c r="F881" s="11"/>
      <c r="G881" s="12"/>
      <c r="H881" s="13"/>
      <c r="I881" s="14"/>
      <c r="J881" s="11"/>
    </row>
    <row r="882" spans="1:10" ht="16" x14ac:dyDescent="0.2">
      <c r="A882" s="11"/>
      <c r="B882" s="11"/>
      <c r="C882" s="11"/>
      <c r="D882" s="11"/>
      <c r="E882" s="11"/>
      <c r="F882" s="11"/>
      <c r="G882" s="12"/>
      <c r="H882" s="13"/>
      <c r="I882" s="14"/>
      <c r="J882" s="11"/>
    </row>
    <row r="883" spans="1:10" ht="16" x14ac:dyDescent="0.2">
      <c r="A883" s="11"/>
      <c r="B883" s="11"/>
      <c r="C883" s="11"/>
      <c r="D883" s="11"/>
      <c r="E883" s="11"/>
      <c r="F883" s="11"/>
      <c r="G883" s="12"/>
      <c r="H883" s="13"/>
      <c r="I883" s="14"/>
      <c r="J883" s="11"/>
    </row>
    <row r="884" spans="1:10" ht="16" x14ac:dyDescent="0.2">
      <c r="A884" s="11"/>
      <c r="B884" s="11"/>
      <c r="C884" s="11"/>
      <c r="D884" s="11"/>
      <c r="E884" s="11"/>
      <c r="F884" s="11"/>
      <c r="G884" s="12"/>
      <c r="H884" s="13"/>
      <c r="I884" s="14"/>
      <c r="J884" s="11"/>
    </row>
    <row r="885" spans="1:10" ht="16" x14ac:dyDescent="0.2">
      <c r="A885" s="11"/>
      <c r="B885" s="11"/>
      <c r="C885" s="11"/>
      <c r="D885" s="11"/>
      <c r="E885" s="11"/>
      <c r="F885" s="11"/>
      <c r="G885" s="12"/>
      <c r="H885" s="13"/>
      <c r="I885" s="14"/>
      <c r="J885" s="11"/>
    </row>
    <row r="886" spans="1:10" ht="16" x14ac:dyDescent="0.2">
      <c r="A886" s="11"/>
      <c r="B886" s="11"/>
      <c r="C886" s="11"/>
      <c r="D886" s="11"/>
      <c r="E886" s="11"/>
      <c r="F886" s="11"/>
      <c r="G886" s="12"/>
      <c r="H886" s="13"/>
      <c r="I886" s="14"/>
      <c r="J886" s="11"/>
    </row>
    <row r="887" spans="1:10" ht="16" x14ac:dyDescent="0.2">
      <c r="A887" s="11"/>
      <c r="B887" s="11"/>
      <c r="C887" s="11"/>
      <c r="D887" s="11"/>
      <c r="E887" s="11"/>
      <c r="F887" s="11"/>
      <c r="G887" s="12"/>
      <c r="H887" s="13"/>
      <c r="I887" s="14"/>
      <c r="J887" s="11"/>
    </row>
    <row r="888" spans="1:10" ht="16" x14ac:dyDescent="0.2">
      <c r="A888" s="11"/>
      <c r="B888" s="11"/>
      <c r="C888" s="11"/>
      <c r="D888" s="11"/>
      <c r="E888" s="11"/>
      <c r="F888" s="11"/>
      <c r="G888" s="12"/>
      <c r="H888" s="13"/>
      <c r="I888" s="14"/>
      <c r="J888" s="11"/>
    </row>
    <row r="889" spans="1:10" ht="16" x14ac:dyDescent="0.2">
      <c r="A889" s="11"/>
      <c r="B889" s="11"/>
      <c r="C889" s="11"/>
      <c r="D889" s="11"/>
      <c r="E889" s="11"/>
      <c r="F889" s="11"/>
      <c r="G889" s="12"/>
      <c r="H889" s="13"/>
      <c r="I889" s="14"/>
      <c r="J889" s="11"/>
    </row>
    <row r="890" spans="1:10" ht="16" x14ac:dyDescent="0.2">
      <c r="A890" s="11"/>
      <c r="B890" s="11"/>
      <c r="C890" s="11"/>
      <c r="D890" s="11"/>
      <c r="E890" s="11"/>
      <c r="F890" s="11"/>
      <c r="G890" s="12"/>
      <c r="H890" s="13"/>
      <c r="I890" s="14"/>
      <c r="J890" s="11"/>
    </row>
    <row r="891" spans="1:10" ht="16" x14ac:dyDescent="0.2">
      <c r="A891" s="11"/>
      <c r="B891" s="11"/>
      <c r="C891" s="11"/>
      <c r="D891" s="11"/>
      <c r="E891" s="11"/>
      <c r="F891" s="11"/>
      <c r="G891" s="12"/>
      <c r="H891" s="13"/>
      <c r="I891" s="14"/>
      <c r="J891" s="11"/>
    </row>
    <row r="892" spans="1:10" ht="16" x14ac:dyDescent="0.2">
      <c r="A892" s="11"/>
      <c r="B892" s="11"/>
      <c r="C892" s="11"/>
      <c r="D892" s="11"/>
      <c r="E892" s="11"/>
      <c r="F892" s="11"/>
      <c r="G892" s="12"/>
      <c r="H892" s="13"/>
      <c r="I892" s="14"/>
      <c r="J892" s="11"/>
    </row>
    <row r="893" spans="1:10" ht="16" x14ac:dyDescent="0.2">
      <c r="A893" s="11"/>
      <c r="B893" s="11"/>
      <c r="C893" s="11"/>
      <c r="D893" s="11"/>
      <c r="E893" s="11"/>
      <c r="F893" s="11"/>
      <c r="G893" s="12"/>
      <c r="H893" s="13"/>
      <c r="I893" s="14"/>
      <c r="J893" s="11"/>
    </row>
    <row r="894" spans="1:10" ht="16" x14ac:dyDescent="0.2">
      <c r="A894" s="11"/>
      <c r="B894" s="11"/>
      <c r="C894" s="11"/>
      <c r="D894" s="11"/>
      <c r="E894" s="11"/>
      <c r="F894" s="11"/>
      <c r="G894" s="12"/>
      <c r="H894" s="13"/>
      <c r="I894" s="14"/>
      <c r="J894" s="11"/>
    </row>
    <row r="895" spans="1:10" ht="16" x14ac:dyDescent="0.2">
      <c r="A895" s="11"/>
      <c r="B895" s="11"/>
      <c r="C895" s="11"/>
      <c r="D895" s="11"/>
      <c r="E895" s="11"/>
      <c r="F895" s="11"/>
      <c r="G895" s="12"/>
      <c r="H895" s="13"/>
      <c r="I895" s="14"/>
      <c r="J895" s="11"/>
    </row>
    <row r="896" spans="1:10" ht="16" x14ac:dyDescent="0.2">
      <c r="A896" s="11"/>
      <c r="B896" s="11"/>
      <c r="C896" s="11"/>
      <c r="D896" s="11"/>
      <c r="E896" s="11"/>
      <c r="F896" s="11"/>
      <c r="G896" s="12"/>
      <c r="H896" s="13"/>
      <c r="I896" s="14"/>
      <c r="J896" s="11"/>
    </row>
    <row r="897" spans="1:10" ht="16" x14ac:dyDescent="0.2">
      <c r="A897" s="11"/>
      <c r="B897" s="11"/>
      <c r="C897" s="11"/>
      <c r="D897" s="11"/>
      <c r="E897" s="11"/>
      <c r="F897" s="11"/>
      <c r="G897" s="12"/>
      <c r="H897" s="13"/>
      <c r="I897" s="14"/>
      <c r="J897" s="11"/>
    </row>
    <row r="898" spans="1:10" ht="16" x14ac:dyDescent="0.2">
      <c r="A898" s="11"/>
      <c r="B898" s="11"/>
      <c r="C898" s="11"/>
      <c r="D898" s="11"/>
      <c r="E898" s="11"/>
      <c r="F898" s="11"/>
      <c r="G898" s="12"/>
      <c r="H898" s="13"/>
      <c r="I898" s="14"/>
      <c r="J898" s="11"/>
    </row>
    <row r="899" spans="1:10" ht="16" x14ac:dyDescent="0.2">
      <c r="A899" s="11"/>
      <c r="B899" s="11"/>
      <c r="C899" s="11"/>
      <c r="D899" s="11"/>
      <c r="E899" s="11"/>
      <c r="F899" s="11"/>
      <c r="G899" s="12"/>
      <c r="H899" s="13"/>
      <c r="I899" s="14"/>
      <c r="J899" s="11"/>
    </row>
    <row r="900" spans="1:10" ht="16" x14ac:dyDescent="0.2">
      <c r="A900" s="11"/>
      <c r="B900" s="11"/>
      <c r="C900" s="11"/>
      <c r="D900" s="11"/>
      <c r="E900" s="11"/>
      <c r="F900" s="11"/>
      <c r="G900" s="12"/>
      <c r="H900" s="13"/>
      <c r="I900" s="14"/>
      <c r="J900" s="11"/>
    </row>
    <row r="901" spans="1:10" ht="16" x14ac:dyDescent="0.2">
      <c r="A901" s="11"/>
      <c r="B901" s="11"/>
      <c r="C901" s="11"/>
      <c r="D901" s="11"/>
      <c r="E901" s="11"/>
      <c r="F901" s="11"/>
      <c r="G901" s="12"/>
      <c r="H901" s="13"/>
      <c r="I901" s="14"/>
      <c r="J901" s="11"/>
    </row>
    <row r="902" spans="1:10" ht="16" x14ac:dyDescent="0.2">
      <c r="A902" s="11"/>
      <c r="B902" s="11"/>
      <c r="C902" s="11"/>
      <c r="D902" s="11"/>
      <c r="E902" s="11"/>
      <c r="F902" s="11"/>
      <c r="G902" s="12"/>
      <c r="H902" s="13"/>
      <c r="I902" s="14"/>
      <c r="J902" s="11"/>
    </row>
    <row r="903" spans="1:10" ht="16" x14ac:dyDescent="0.2">
      <c r="A903" s="11"/>
      <c r="B903" s="11"/>
      <c r="C903" s="11"/>
      <c r="D903" s="11"/>
      <c r="E903" s="11"/>
      <c r="F903" s="11"/>
      <c r="G903" s="12"/>
      <c r="H903" s="13"/>
      <c r="I903" s="14"/>
      <c r="J903" s="11"/>
    </row>
    <row r="904" spans="1:10" ht="16" x14ac:dyDescent="0.2">
      <c r="A904" s="11"/>
      <c r="B904" s="11"/>
      <c r="C904" s="11"/>
      <c r="D904" s="11"/>
      <c r="E904" s="11"/>
      <c r="F904" s="11"/>
      <c r="G904" s="12"/>
      <c r="H904" s="13"/>
      <c r="I904" s="14"/>
      <c r="J904" s="11"/>
    </row>
    <row r="905" spans="1:10" ht="16" x14ac:dyDescent="0.2">
      <c r="A905" s="11"/>
      <c r="B905" s="11"/>
      <c r="C905" s="11"/>
      <c r="D905" s="11"/>
      <c r="E905" s="11"/>
      <c r="F905" s="11"/>
      <c r="G905" s="12"/>
      <c r="H905" s="13"/>
      <c r="I905" s="14"/>
      <c r="J905" s="11"/>
    </row>
    <row r="906" spans="1:10" ht="16" x14ac:dyDescent="0.2">
      <c r="A906" s="11"/>
      <c r="B906" s="11"/>
      <c r="C906" s="11"/>
      <c r="D906" s="11"/>
      <c r="E906" s="11"/>
      <c r="F906" s="11"/>
      <c r="G906" s="12"/>
      <c r="H906" s="13"/>
      <c r="I906" s="14"/>
      <c r="J906" s="11"/>
    </row>
    <row r="907" spans="1:10" ht="16" x14ac:dyDescent="0.2">
      <c r="A907" s="11"/>
      <c r="B907" s="11"/>
      <c r="C907" s="11"/>
      <c r="D907" s="11"/>
      <c r="E907" s="11"/>
      <c r="F907" s="11"/>
      <c r="G907" s="12"/>
      <c r="H907" s="13"/>
      <c r="I907" s="14"/>
      <c r="J907" s="11"/>
    </row>
    <row r="908" spans="1:10" ht="16" x14ac:dyDescent="0.2">
      <c r="A908" s="11"/>
      <c r="B908" s="11"/>
      <c r="C908" s="11"/>
      <c r="D908" s="11"/>
      <c r="E908" s="11"/>
      <c r="F908" s="11"/>
      <c r="G908" s="12"/>
      <c r="H908" s="13"/>
      <c r="I908" s="14"/>
      <c r="J908" s="11"/>
    </row>
    <row r="909" spans="1:10" ht="16" x14ac:dyDescent="0.2">
      <c r="A909" s="11"/>
      <c r="B909" s="11"/>
      <c r="C909" s="11"/>
      <c r="D909" s="11"/>
      <c r="E909" s="11"/>
      <c r="F909" s="11"/>
      <c r="G909" s="12"/>
      <c r="H909" s="13"/>
      <c r="I909" s="14"/>
      <c r="J909" s="11"/>
    </row>
    <row r="910" spans="1:10" ht="16" x14ac:dyDescent="0.2">
      <c r="A910" s="11"/>
      <c r="B910" s="11"/>
      <c r="C910" s="11"/>
      <c r="D910" s="11"/>
      <c r="E910" s="11"/>
      <c r="F910" s="11"/>
      <c r="G910" s="12"/>
      <c r="H910" s="13"/>
      <c r="I910" s="14"/>
      <c r="J910" s="11"/>
    </row>
    <row r="911" spans="1:10" ht="16" x14ac:dyDescent="0.2">
      <c r="A911" s="11"/>
      <c r="B911" s="11"/>
      <c r="C911" s="11"/>
      <c r="D911" s="11"/>
      <c r="E911" s="11"/>
      <c r="F911" s="11"/>
      <c r="G911" s="12"/>
      <c r="H911" s="13"/>
      <c r="I911" s="14"/>
      <c r="J911" s="11"/>
    </row>
    <row r="912" spans="1:10" ht="16" x14ac:dyDescent="0.2">
      <c r="A912" s="11"/>
      <c r="B912" s="11"/>
      <c r="C912" s="11"/>
      <c r="D912" s="11"/>
      <c r="E912" s="11"/>
      <c r="F912" s="11"/>
      <c r="G912" s="12"/>
      <c r="H912" s="13"/>
      <c r="I912" s="14"/>
      <c r="J912" s="11"/>
    </row>
    <row r="913" spans="1:10" ht="16" x14ac:dyDescent="0.2">
      <c r="A913" s="11"/>
      <c r="B913" s="11"/>
      <c r="C913" s="11"/>
      <c r="D913" s="11"/>
      <c r="E913" s="11"/>
      <c r="F913" s="11"/>
      <c r="G913" s="12"/>
      <c r="H913" s="13"/>
      <c r="I913" s="14"/>
      <c r="J913" s="11"/>
    </row>
    <row r="914" spans="1:10" ht="16" x14ac:dyDescent="0.2">
      <c r="A914" s="11"/>
      <c r="B914" s="11"/>
      <c r="C914" s="11"/>
      <c r="D914" s="11"/>
      <c r="E914" s="11"/>
      <c r="F914" s="11"/>
      <c r="G914" s="12"/>
      <c r="H914" s="13"/>
      <c r="I914" s="14"/>
      <c r="J914" s="11"/>
    </row>
    <row r="915" spans="1:10" ht="16" x14ac:dyDescent="0.2">
      <c r="A915" s="11"/>
      <c r="B915" s="11"/>
      <c r="C915" s="11"/>
      <c r="D915" s="11"/>
      <c r="E915" s="11"/>
      <c r="F915" s="11"/>
      <c r="G915" s="12"/>
      <c r="H915" s="13"/>
      <c r="I915" s="14"/>
      <c r="J915" s="11"/>
    </row>
    <row r="916" spans="1:10" ht="16" x14ac:dyDescent="0.2">
      <c r="A916" s="11"/>
      <c r="B916" s="11"/>
      <c r="C916" s="11"/>
      <c r="D916" s="11"/>
      <c r="E916" s="11"/>
      <c r="F916" s="11"/>
      <c r="G916" s="12"/>
      <c r="H916" s="13"/>
      <c r="I916" s="14"/>
      <c r="J916" s="11"/>
    </row>
    <row r="917" spans="1:10" ht="16" x14ac:dyDescent="0.2">
      <c r="A917" s="11"/>
      <c r="B917" s="11"/>
      <c r="C917" s="11"/>
      <c r="D917" s="11"/>
      <c r="E917" s="11"/>
      <c r="F917" s="11"/>
      <c r="G917" s="12"/>
      <c r="H917" s="13"/>
      <c r="I917" s="14"/>
      <c r="J917" s="11"/>
    </row>
    <row r="918" spans="1:10" ht="16" x14ac:dyDescent="0.2">
      <c r="A918" s="11"/>
      <c r="B918" s="11"/>
      <c r="C918" s="11"/>
      <c r="D918" s="11"/>
      <c r="E918" s="11"/>
      <c r="F918" s="11"/>
      <c r="G918" s="12"/>
      <c r="H918" s="13"/>
      <c r="I918" s="14"/>
      <c r="J918" s="11"/>
    </row>
    <row r="919" spans="1:10" ht="16" x14ac:dyDescent="0.2">
      <c r="A919" s="11"/>
      <c r="B919" s="11"/>
      <c r="C919" s="11"/>
      <c r="D919" s="11"/>
      <c r="E919" s="11"/>
      <c r="F919" s="11"/>
      <c r="G919" s="12"/>
      <c r="H919" s="13"/>
      <c r="I919" s="14"/>
      <c r="J919" s="11"/>
    </row>
    <row r="920" spans="1:10" ht="16" x14ac:dyDescent="0.2">
      <c r="A920" s="11"/>
      <c r="B920" s="11"/>
      <c r="C920" s="11"/>
      <c r="D920" s="11"/>
      <c r="E920" s="11"/>
      <c r="F920" s="11"/>
      <c r="G920" s="12"/>
      <c r="H920" s="13"/>
      <c r="I920" s="14"/>
      <c r="J920" s="11"/>
    </row>
    <row r="921" spans="1:10" ht="16" x14ac:dyDescent="0.2">
      <c r="A921" s="11"/>
      <c r="B921" s="11"/>
      <c r="C921" s="11"/>
      <c r="D921" s="11"/>
      <c r="E921" s="11"/>
      <c r="F921" s="11"/>
      <c r="G921" s="12"/>
      <c r="H921" s="13"/>
      <c r="I921" s="14"/>
      <c r="J921" s="11"/>
    </row>
    <row r="922" spans="1:10" ht="16" x14ac:dyDescent="0.2">
      <c r="A922" s="11"/>
      <c r="B922" s="11"/>
      <c r="C922" s="11"/>
      <c r="D922" s="11"/>
      <c r="E922" s="11"/>
      <c r="F922" s="11"/>
      <c r="G922" s="12"/>
      <c r="H922" s="13"/>
      <c r="I922" s="14"/>
      <c r="J922" s="11"/>
    </row>
    <row r="923" spans="1:10" ht="16" x14ac:dyDescent="0.2">
      <c r="A923" s="11"/>
      <c r="B923" s="11"/>
      <c r="C923" s="11"/>
      <c r="D923" s="11"/>
      <c r="E923" s="11"/>
      <c r="F923" s="11"/>
      <c r="G923" s="12"/>
      <c r="H923" s="13"/>
      <c r="I923" s="14"/>
      <c r="J923" s="11"/>
    </row>
    <row r="924" spans="1:10" ht="16" x14ac:dyDescent="0.2">
      <c r="A924" s="11"/>
      <c r="B924" s="11"/>
      <c r="C924" s="11"/>
      <c r="D924" s="11"/>
      <c r="E924" s="11"/>
      <c r="F924" s="11"/>
      <c r="G924" s="12"/>
      <c r="H924" s="13"/>
      <c r="I924" s="14"/>
      <c r="J924" s="11"/>
    </row>
    <row r="925" spans="1:10" ht="16" x14ac:dyDescent="0.2">
      <c r="A925" s="11"/>
      <c r="B925" s="11"/>
      <c r="C925" s="11"/>
      <c r="D925" s="11"/>
      <c r="E925" s="11"/>
      <c r="F925" s="11"/>
      <c r="G925" s="12"/>
      <c r="H925" s="13"/>
      <c r="I925" s="14"/>
      <c r="J925" s="11"/>
    </row>
    <row r="926" spans="1:10" ht="16" x14ac:dyDescent="0.2">
      <c r="A926" s="11"/>
      <c r="B926" s="11"/>
      <c r="C926" s="11"/>
      <c r="D926" s="11"/>
      <c r="E926" s="11"/>
      <c r="F926" s="11"/>
      <c r="G926" s="12"/>
      <c r="H926" s="13"/>
      <c r="I926" s="14"/>
      <c r="J926" s="11"/>
    </row>
    <row r="927" spans="1:10" ht="16" x14ac:dyDescent="0.2">
      <c r="A927" s="11"/>
      <c r="B927" s="11"/>
      <c r="C927" s="11"/>
      <c r="D927" s="11"/>
      <c r="E927" s="11"/>
      <c r="F927" s="11"/>
      <c r="G927" s="12"/>
      <c r="H927" s="13"/>
      <c r="I927" s="14"/>
      <c r="J927" s="11"/>
    </row>
    <row r="928" spans="1:10" ht="16" x14ac:dyDescent="0.2">
      <c r="A928" s="11"/>
      <c r="B928" s="11"/>
      <c r="C928" s="11"/>
      <c r="D928" s="11"/>
      <c r="E928" s="11"/>
      <c r="F928" s="11"/>
      <c r="G928" s="12"/>
      <c r="H928" s="13"/>
      <c r="I928" s="14"/>
      <c r="J928" s="11"/>
    </row>
    <row r="929" spans="1:10" ht="16" x14ac:dyDescent="0.2">
      <c r="A929" s="11"/>
      <c r="B929" s="11"/>
      <c r="C929" s="11"/>
      <c r="D929" s="11"/>
      <c r="E929" s="11"/>
      <c r="F929" s="11"/>
      <c r="G929" s="12"/>
      <c r="H929" s="13"/>
      <c r="I929" s="14"/>
      <c r="J929" s="11"/>
    </row>
    <row r="930" spans="1:10" ht="16" x14ac:dyDescent="0.2">
      <c r="A930" s="11"/>
      <c r="B930" s="11"/>
      <c r="C930" s="11"/>
      <c r="D930" s="11"/>
      <c r="E930" s="11"/>
      <c r="F930" s="11"/>
      <c r="G930" s="12"/>
      <c r="H930" s="13"/>
      <c r="I930" s="14"/>
      <c r="J930" s="11"/>
    </row>
    <row r="931" spans="1:10" ht="16" x14ac:dyDescent="0.2">
      <c r="A931" s="11"/>
      <c r="B931" s="11"/>
      <c r="C931" s="11"/>
      <c r="D931" s="11"/>
      <c r="E931" s="11"/>
      <c r="F931" s="11"/>
      <c r="G931" s="12"/>
      <c r="H931" s="13"/>
      <c r="I931" s="14"/>
      <c r="J931" s="11"/>
    </row>
    <row r="932" spans="1:10" ht="16" x14ac:dyDescent="0.2">
      <c r="A932" s="11"/>
      <c r="B932" s="11"/>
      <c r="C932" s="11"/>
      <c r="D932" s="11"/>
      <c r="E932" s="11"/>
      <c r="F932" s="11"/>
      <c r="G932" s="12"/>
      <c r="H932" s="13"/>
      <c r="I932" s="14"/>
      <c r="J932" s="11"/>
    </row>
    <row r="933" spans="1:10" ht="16" x14ac:dyDescent="0.2">
      <c r="A933" s="11"/>
      <c r="B933" s="11"/>
      <c r="C933" s="11"/>
      <c r="D933" s="11"/>
      <c r="E933" s="11"/>
      <c r="F933" s="11"/>
      <c r="G933" s="12"/>
      <c r="H933" s="13"/>
      <c r="I933" s="14"/>
      <c r="J933" s="11"/>
    </row>
    <row r="934" spans="1:10" ht="16" x14ac:dyDescent="0.2">
      <c r="A934" s="11"/>
      <c r="B934" s="11"/>
      <c r="C934" s="11"/>
      <c r="D934" s="11"/>
      <c r="E934" s="11"/>
      <c r="F934" s="11"/>
      <c r="G934" s="12"/>
      <c r="H934" s="13"/>
      <c r="I934" s="14"/>
      <c r="J934" s="11"/>
    </row>
    <row r="935" spans="1:10" ht="16" x14ac:dyDescent="0.2">
      <c r="A935" s="11"/>
      <c r="B935" s="11"/>
      <c r="C935" s="11"/>
      <c r="D935" s="11"/>
      <c r="E935" s="11"/>
      <c r="F935" s="11"/>
      <c r="G935" s="12"/>
      <c r="H935" s="13"/>
      <c r="I935" s="14"/>
      <c r="J935" s="11"/>
    </row>
    <row r="936" spans="1:10" ht="16" x14ac:dyDescent="0.2">
      <c r="A936" s="11"/>
      <c r="B936" s="11"/>
      <c r="C936" s="11"/>
      <c r="D936" s="11"/>
      <c r="E936" s="11"/>
      <c r="F936" s="11"/>
      <c r="G936" s="12"/>
      <c r="H936" s="13"/>
      <c r="I936" s="14"/>
      <c r="J936" s="11"/>
    </row>
    <row r="937" spans="1:10" ht="16" x14ac:dyDescent="0.2">
      <c r="A937" s="11"/>
      <c r="B937" s="11"/>
      <c r="C937" s="11"/>
      <c r="D937" s="11"/>
      <c r="E937" s="11"/>
      <c r="F937" s="11"/>
      <c r="G937" s="12"/>
      <c r="H937" s="13"/>
      <c r="I937" s="14"/>
      <c r="J937" s="11"/>
    </row>
    <row r="938" spans="1:10" ht="16" x14ac:dyDescent="0.2">
      <c r="A938" s="11"/>
      <c r="B938" s="11"/>
      <c r="C938" s="11"/>
      <c r="D938" s="11"/>
      <c r="E938" s="11"/>
      <c r="F938" s="11"/>
      <c r="G938" s="12"/>
      <c r="H938" s="13"/>
      <c r="I938" s="14"/>
      <c r="J938" s="11"/>
    </row>
    <row r="939" spans="1:10" ht="16" x14ac:dyDescent="0.2">
      <c r="A939" s="11"/>
      <c r="B939" s="11"/>
      <c r="C939" s="11"/>
      <c r="D939" s="11"/>
      <c r="E939" s="11"/>
      <c r="F939" s="11"/>
      <c r="G939" s="12"/>
      <c r="H939" s="13"/>
      <c r="I939" s="14"/>
      <c r="J939" s="11"/>
    </row>
    <row r="940" spans="1:10" ht="16" x14ac:dyDescent="0.2">
      <c r="A940" s="11"/>
      <c r="B940" s="11"/>
      <c r="C940" s="11"/>
      <c r="D940" s="11"/>
      <c r="E940" s="11"/>
      <c r="F940" s="11"/>
      <c r="G940" s="12"/>
      <c r="H940" s="13"/>
      <c r="I940" s="14"/>
      <c r="J940" s="11"/>
    </row>
    <row r="941" spans="1:10" ht="16" x14ac:dyDescent="0.2">
      <c r="A941" s="11"/>
      <c r="B941" s="11"/>
      <c r="C941" s="11"/>
      <c r="D941" s="11"/>
      <c r="E941" s="11"/>
      <c r="F941" s="11"/>
      <c r="G941" s="12"/>
      <c r="H941" s="13"/>
      <c r="I941" s="14"/>
      <c r="J941" s="11"/>
    </row>
    <row r="942" spans="1:10" ht="16" x14ac:dyDescent="0.2">
      <c r="A942" s="11"/>
      <c r="B942" s="11"/>
      <c r="C942" s="11"/>
      <c r="D942" s="11"/>
      <c r="E942" s="11"/>
      <c r="F942" s="11"/>
      <c r="G942" s="12"/>
      <c r="H942" s="13"/>
      <c r="I942" s="14"/>
      <c r="J942" s="11"/>
    </row>
    <row r="943" spans="1:10" ht="16" x14ac:dyDescent="0.2">
      <c r="A943" s="11"/>
      <c r="B943" s="11"/>
      <c r="C943" s="11"/>
      <c r="D943" s="11"/>
      <c r="E943" s="11"/>
      <c r="F943" s="11"/>
      <c r="G943" s="12"/>
      <c r="H943" s="13"/>
      <c r="I943" s="14"/>
      <c r="J943" s="11"/>
    </row>
    <row r="944" spans="1:10" ht="16" x14ac:dyDescent="0.2">
      <c r="A944" s="11"/>
      <c r="B944" s="11"/>
      <c r="C944" s="11"/>
      <c r="D944" s="11"/>
      <c r="E944" s="11"/>
      <c r="F944" s="11"/>
      <c r="G944" s="12"/>
      <c r="H944" s="13"/>
      <c r="I944" s="14"/>
      <c r="J944" s="11"/>
    </row>
    <row r="945" spans="1:10" ht="16" x14ac:dyDescent="0.2">
      <c r="A945" s="11"/>
      <c r="B945" s="11"/>
      <c r="C945" s="11"/>
      <c r="D945" s="11"/>
      <c r="E945" s="11"/>
      <c r="F945" s="11"/>
      <c r="G945" s="12"/>
      <c r="H945" s="13"/>
      <c r="I945" s="14"/>
      <c r="J945" s="11"/>
    </row>
    <row r="946" spans="1:10" ht="16" x14ac:dyDescent="0.2">
      <c r="A946" s="11"/>
      <c r="B946" s="11"/>
      <c r="C946" s="11"/>
      <c r="D946" s="11"/>
      <c r="E946" s="11"/>
      <c r="F946" s="11"/>
      <c r="G946" s="12"/>
      <c r="H946" s="13"/>
      <c r="I946" s="14"/>
      <c r="J946" s="11"/>
    </row>
    <row r="947" spans="1:10" ht="16" x14ac:dyDescent="0.2">
      <c r="A947" s="11"/>
      <c r="B947" s="11"/>
      <c r="C947" s="11"/>
      <c r="D947" s="11"/>
      <c r="E947" s="11"/>
      <c r="F947" s="11"/>
      <c r="G947" s="12"/>
      <c r="H947" s="13"/>
      <c r="I947" s="14"/>
      <c r="J947" s="11"/>
    </row>
    <row r="948" spans="1:10" ht="16" x14ac:dyDescent="0.2">
      <c r="A948" s="11"/>
      <c r="B948" s="11"/>
      <c r="C948" s="11"/>
      <c r="D948" s="11"/>
      <c r="E948" s="11"/>
      <c r="F948" s="11"/>
      <c r="G948" s="12"/>
      <c r="H948" s="13"/>
      <c r="I948" s="14"/>
      <c r="J948" s="11"/>
    </row>
    <row r="949" spans="1:10" ht="16" x14ac:dyDescent="0.2">
      <c r="A949" s="11"/>
      <c r="B949" s="11"/>
      <c r="C949" s="11"/>
      <c r="D949" s="11"/>
      <c r="E949" s="11"/>
      <c r="F949" s="11"/>
      <c r="G949" s="12"/>
      <c r="H949" s="13"/>
      <c r="I949" s="14"/>
      <c r="J949" s="11"/>
    </row>
    <row r="950" spans="1:10" ht="16" x14ac:dyDescent="0.2">
      <c r="A950" s="11"/>
      <c r="B950" s="11"/>
      <c r="C950" s="11"/>
      <c r="D950" s="11"/>
      <c r="E950" s="11"/>
      <c r="F950" s="11"/>
      <c r="G950" s="12"/>
      <c r="H950" s="13"/>
      <c r="I950" s="14"/>
      <c r="J950" s="11"/>
    </row>
    <row r="951" spans="1:10" ht="16" x14ac:dyDescent="0.2">
      <c r="A951" s="11"/>
      <c r="B951" s="11"/>
      <c r="C951" s="11"/>
      <c r="D951" s="11"/>
      <c r="E951" s="11"/>
      <c r="F951" s="11"/>
      <c r="G951" s="12"/>
      <c r="H951" s="13"/>
      <c r="I951" s="14"/>
      <c r="J951" s="11"/>
    </row>
    <row r="952" spans="1:10" ht="16" x14ac:dyDescent="0.2">
      <c r="A952" s="11"/>
      <c r="B952" s="11"/>
      <c r="C952" s="11"/>
      <c r="D952" s="11"/>
      <c r="E952" s="11"/>
      <c r="F952" s="11"/>
      <c r="G952" s="12"/>
      <c r="H952" s="13"/>
      <c r="I952" s="14"/>
      <c r="J952" s="11"/>
    </row>
    <row r="953" spans="1:10" ht="16" x14ac:dyDescent="0.2">
      <c r="A953" s="11"/>
      <c r="B953" s="11"/>
      <c r="C953" s="11"/>
      <c r="D953" s="11"/>
      <c r="E953" s="11"/>
      <c r="F953" s="11"/>
      <c r="G953" s="12"/>
      <c r="H953" s="13"/>
      <c r="I953" s="14"/>
      <c r="J953" s="11"/>
    </row>
    <row r="954" spans="1:10" ht="16" x14ac:dyDescent="0.2">
      <c r="A954" s="11"/>
      <c r="B954" s="11"/>
      <c r="C954" s="11"/>
      <c r="D954" s="11"/>
      <c r="E954" s="11"/>
      <c r="F954" s="11"/>
      <c r="G954" s="12"/>
      <c r="H954" s="13"/>
      <c r="I954" s="14"/>
      <c r="J954" s="11"/>
    </row>
    <row r="955" spans="1:10" ht="16" x14ac:dyDescent="0.2">
      <c r="A955" s="11"/>
      <c r="B955" s="11"/>
      <c r="C955" s="11"/>
      <c r="D955" s="11"/>
      <c r="E955" s="11"/>
      <c r="F955" s="11"/>
      <c r="G955" s="12"/>
      <c r="H955" s="13"/>
      <c r="I955" s="14"/>
      <c r="J955" s="11"/>
    </row>
    <row r="956" spans="1:10" ht="16" x14ac:dyDescent="0.2">
      <c r="A956" s="11"/>
      <c r="B956" s="11"/>
      <c r="C956" s="11"/>
      <c r="D956" s="11"/>
      <c r="E956" s="11"/>
      <c r="F956" s="11"/>
      <c r="G956" s="12"/>
      <c r="H956" s="13"/>
      <c r="I956" s="14"/>
      <c r="J956" s="11"/>
    </row>
    <row r="957" spans="1:10" ht="16" x14ac:dyDescent="0.2">
      <c r="A957" s="11"/>
      <c r="B957" s="11"/>
      <c r="C957" s="11"/>
      <c r="D957" s="11"/>
      <c r="E957" s="11"/>
      <c r="F957" s="11"/>
      <c r="G957" s="12"/>
      <c r="H957" s="13"/>
      <c r="I957" s="14"/>
      <c r="J957" s="11"/>
    </row>
    <row r="958" spans="1:10" ht="16" x14ac:dyDescent="0.2">
      <c r="A958" s="11"/>
      <c r="B958" s="11"/>
      <c r="C958" s="11"/>
      <c r="D958" s="11"/>
      <c r="E958" s="11"/>
      <c r="F958" s="11"/>
      <c r="G958" s="12"/>
      <c r="H958" s="13"/>
      <c r="I958" s="14"/>
      <c r="J958" s="11"/>
    </row>
    <row r="959" spans="1:10" ht="16" x14ac:dyDescent="0.2">
      <c r="A959" s="11"/>
      <c r="B959" s="11"/>
      <c r="C959" s="11"/>
      <c r="D959" s="11"/>
      <c r="E959" s="11"/>
      <c r="F959" s="11"/>
      <c r="G959" s="12"/>
      <c r="H959" s="13"/>
      <c r="I959" s="14"/>
      <c r="J959" s="11"/>
    </row>
    <row r="960" spans="1:10" ht="16" x14ac:dyDescent="0.2">
      <c r="A960" s="11"/>
      <c r="B960" s="11"/>
      <c r="C960" s="11"/>
      <c r="D960" s="11"/>
      <c r="E960" s="11"/>
      <c r="F960" s="11"/>
      <c r="G960" s="12"/>
      <c r="H960" s="13"/>
      <c r="I960" s="14"/>
      <c r="J960" s="11"/>
    </row>
    <row r="961" spans="1:10" ht="16" x14ac:dyDescent="0.2">
      <c r="A961" s="11"/>
      <c r="B961" s="11"/>
      <c r="C961" s="11"/>
      <c r="D961" s="11"/>
      <c r="E961" s="11"/>
      <c r="F961" s="11"/>
      <c r="G961" s="12"/>
      <c r="H961" s="13"/>
      <c r="I961" s="14"/>
      <c r="J961" s="11"/>
    </row>
    <row r="962" spans="1:10" ht="16" x14ac:dyDescent="0.2">
      <c r="A962" s="11"/>
      <c r="B962" s="11"/>
      <c r="C962" s="11"/>
      <c r="D962" s="11"/>
      <c r="E962" s="11"/>
      <c r="F962" s="11"/>
      <c r="G962" s="12"/>
      <c r="H962" s="13"/>
      <c r="I962" s="14"/>
      <c r="J962" s="11"/>
    </row>
    <row r="963" spans="1:10" ht="16" x14ac:dyDescent="0.2">
      <c r="A963" s="11"/>
      <c r="B963" s="11"/>
      <c r="C963" s="11"/>
      <c r="D963" s="11"/>
      <c r="E963" s="11"/>
      <c r="F963" s="11"/>
      <c r="G963" s="12"/>
      <c r="H963" s="13"/>
      <c r="I963" s="14"/>
      <c r="J963" s="11"/>
    </row>
    <row r="964" spans="1:10" ht="16" x14ac:dyDescent="0.2">
      <c r="A964" s="11"/>
      <c r="B964" s="11"/>
      <c r="C964" s="11"/>
      <c r="D964" s="11"/>
      <c r="E964" s="11"/>
      <c r="F964" s="11"/>
      <c r="G964" s="12"/>
      <c r="H964" s="13"/>
      <c r="I964" s="14"/>
      <c r="J964" s="11"/>
    </row>
    <row r="965" spans="1:10" ht="16" x14ac:dyDescent="0.2">
      <c r="A965" s="11"/>
      <c r="B965" s="11"/>
      <c r="C965" s="11"/>
      <c r="D965" s="11"/>
      <c r="E965" s="11"/>
      <c r="F965" s="11"/>
      <c r="G965" s="12"/>
      <c r="H965" s="13"/>
      <c r="I965" s="14"/>
      <c r="J965" s="11"/>
    </row>
    <row r="966" spans="1:10" ht="16" x14ac:dyDescent="0.2">
      <c r="A966" s="11"/>
      <c r="B966" s="11"/>
      <c r="C966" s="11"/>
      <c r="D966" s="11"/>
      <c r="E966" s="11"/>
      <c r="F966" s="11"/>
      <c r="G966" s="12"/>
      <c r="H966" s="13"/>
      <c r="I966" s="14"/>
      <c r="J966" s="11"/>
    </row>
    <row r="967" spans="1:10" ht="16" x14ac:dyDescent="0.2">
      <c r="A967" s="11"/>
      <c r="B967" s="11"/>
      <c r="C967" s="11"/>
      <c r="D967" s="11"/>
      <c r="E967" s="11"/>
      <c r="F967" s="11"/>
      <c r="G967" s="12"/>
      <c r="H967" s="13"/>
      <c r="I967" s="14"/>
      <c r="J967" s="11"/>
    </row>
    <row r="968" spans="1:10" ht="16" x14ac:dyDescent="0.2">
      <c r="A968" s="11"/>
      <c r="B968" s="11"/>
      <c r="C968" s="11"/>
      <c r="D968" s="11"/>
      <c r="E968" s="11"/>
      <c r="F968" s="11"/>
      <c r="G968" s="12"/>
      <c r="H968" s="13"/>
      <c r="I968" s="14"/>
      <c r="J968" s="11"/>
    </row>
    <row r="969" spans="1:10" ht="16" x14ac:dyDescent="0.2">
      <c r="A969" s="11"/>
      <c r="B969" s="11"/>
      <c r="C969" s="11"/>
      <c r="D969" s="11"/>
      <c r="E969" s="11"/>
      <c r="F969" s="11"/>
      <c r="G969" s="12"/>
      <c r="H969" s="13"/>
      <c r="I969" s="14"/>
      <c r="J969" s="11"/>
    </row>
    <row r="970" spans="1:10" ht="16" x14ac:dyDescent="0.2">
      <c r="A970" s="11"/>
      <c r="B970" s="11"/>
      <c r="C970" s="11"/>
      <c r="D970" s="11"/>
      <c r="E970" s="11"/>
      <c r="F970" s="11"/>
      <c r="G970" s="12"/>
      <c r="H970" s="13"/>
      <c r="I970" s="14"/>
      <c r="J970" s="11"/>
    </row>
    <row r="971" spans="1:10" ht="16" x14ac:dyDescent="0.2">
      <c r="A971" s="11"/>
      <c r="B971" s="11"/>
      <c r="C971" s="11"/>
      <c r="D971" s="11"/>
      <c r="E971" s="11"/>
      <c r="F971" s="11"/>
      <c r="G971" s="12"/>
      <c r="H971" s="13"/>
      <c r="I971" s="14"/>
      <c r="J971" s="11"/>
    </row>
    <row r="972" spans="1:10" ht="16" x14ac:dyDescent="0.2">
      <c r="A972" s="11"/>
      <c r="B972" s="11"/>
      <c r="C972" s="11"/>
      <c r="D972" s="11"/>
      <c r="E972" s="11"/>
      <c r="F972" s="11"/>
      <c r="G972" s="12"/>
      <c r="H972" s="13"/>
      <c r="I972" s="14"/>
      <c r="J972" s="11"/>
    </row>
    <row r="973" spans="1:10" ht="16" x14ac:dyDescent="0.2">
      <c r="A973" s="11"/>
      <c r="B973" s="11"/>
      <c r="C973" s="11"/>
      <c r="D973" s="11"/>
      <c r="E973" s="11"/>
      <c r="F973" s="11"/>
      <c r="G973" s="12"/>
      <c r="H973" s="13"/>
      <c r="I973" s="14"/>
      <c r="J973" s="11"/>
    </row>
    <row r="974" spans="1:10" ht="16" x14ac:dyDescent="0.2">
      <c r="A974" s="11"/>
      <c r="B974" s="11"/>
      <c r="C974" s="11"/>
      <c r="D974" s="11"/>
      <c r="E974" s="11"/>
      <c r="F974" s="11"/>
      <c r="G974" s="12"/>
      <c r="H974" s="13"/>
      <c r="I974" s="14"/>
      <c r="J974" s="11"/>
    </row>
    <row r="975" spans="1:10" ht="16" x14ac:dyDescent="0.2">
      <c r="A975" s="11"/>
      <c r="B975" s="11"/>
      <c r="C975" s="11"/>
      <c r="D975" s="11"/>
      <c r="E975" s="11"/>
      <c r="F975" s="11"/>
      <c r="G975" s="12"/>
      <c r="H975" s="13"/>
      <c r="I975" s="14"/>
      <c r="J975" s="11"/>
    </row>
    <row r="976" spans="1:10" ht="16" x14ac:dyDescent="0.2">
      <c r="A976" s="11"/>
      <c r="B976" s="11"/>
      <c r="C976" s="11"/>
      <c r="D976" s="11"/>
      <c r="E976" s="11"/>
      <c r="F976" s="11"/>
      <c r="G976" s="12"/>
      <c r="H976" s="13"/>
      <c r="I976" s="14"/>
      <c r="J976" s="11"/>
    </row>
    <row r="977" spans="1:10" ht="16" x14ac:dyDescent="0.2">
      <c r="A977" s="11"/>
      <c r="B977" s="11"/>
      <c r="C977" s="11"/>
      <c r="D977" s="11"/>
      <c r="E977" s="11"/>
      <c r="F977" s="11"/>
      <c r="G977" s="12"/>
      <c r="H977" s="13"/>
      <c r="I977" s="14"/>
      <c r="J977" s="11"/>
    </row>
    <row r="978" spans="1:10" ht="16" x14ac:dyDescent="0.2">
      <c r="A978" s="11"/>
      <c r="B978" s="11"/>
      <c r="C978" s="11"/>
      <c r="D978" s="11"/>
      <c r="E978" s="11"/>
      <c r="F978" s="11"/>
      <c r="G978" s="12"/>
      <c r="H978" s="13"/>
      <c r="I978" s="14"/>
      <c r="J978" s="11"/>
    </row>
    <row r="979" spans="1:10" ht="16" x14ac:dyDescent="0.2">
      <c r="A979" s="11"/>
      <c r="B979" s="11"/>
      <c r="C979" s="11"/>
      <c r="D979" s="11"/>
      <c r="E979" s="11"/>
      <c r="F979" s="11"/>
      <c r="G979" s="12"/>
      <c r="H979" s="13"/>
      <c r="I979" s="14"/>
      <c r="J979" s="11"/>
    </row>
  </sheetData>
  <autoFilter ref="A1:J221" xr:uid="{00000000-0009-0000-0000-000000000000}"/>
  <dataValidations count="4">
    <dataValidation type="list" allowBlank="1" showErrorMessage="1" sqref="G2:G249" xr:uid="{00000000-0002-0000-0000-000000000000}">
      <formula1>"LARGO,CORTO"</formula1>
    </dataValidation>
    <dataValidation type="list" allowBlank="1" showErrorMessage="1" sqref="J2:J249" xr:uid="{00000000-0002-0000-0000-000001000000}">
      <formula1>"MOÑO,MOÑOS,CORBATÍN,PAÑOLETA,NO"</formula1>
    </dataValidation>
    <dataValidation type="list" allowBlank="1" showErrorMessage="1" sqref="D2:D249" xr:uid="{00000000-0002-0000-0000-000002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FRISE"</formula1>
    </dataValidation>
    <dataValidation type="list" allowBlank="1" showErrorMessage="1" sqref="E2:E249" xr:uid="{00000000-0002-0000-0000-000003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42"/>
  <sheetViews>
    <sheetView workbookViewId="0"/>
  </sheetViews>
  <sheetFormatPr baseColWidth="10" defaultColWidth="12.6640625" defaultRowHeight="15.75" customHeight="1" x14ac:dyDescent="0.15"/>
  <cols>
    <col min="2" max="2" width="29.6640625" customWidth="1"/>
    <col min="3" max="3" width="16" customWidth="1"/>
    <col min="4" max="4" width="25.1640625" customWidth="1"/>
    <col min="5" max="5" width="25.6640625" customWidth="1"/>
    <col min="6" max="6" width="23.6640625" customWidth="1"/>
    <col min="7" max="7" width="17.5" customWidth="1"/>
    <col min="10" max="10" width="26.6640625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45689</v>
      </c>
      <c r="B2" s="1" t="s">
        <v>419</v>
      </c>
      <c r="C2" s="1" t="s">
        <v>420</v>
      </c>
      <c r="D2" s="1" t="s">
        <v>18</v>
      </c>
      <c r="E2" s="1" t="s">
        <v>13</v>
      </c>
      <c r="F2" s="1"/>
      <c r="G2" s="6" t="s">
        <v>14</v>
      </c>
      <c r="H2" s="7">
        <v>100000</v>
      </c>
      <c r="I2" s="8">
        <v>14.8</v>
      </c>
      <c r="J2" s="1" t="s">
        <v>15</v>
      </c>
    </row>
    <row r="3" spans="1:10" x14ac:dyDescent="0.2">
      <c r="A3" s="5">
        <v>45689</v>
      </c>
      <c r="B3" s="1" t="s">
        <v>421</v>
      </c>
      <c r="C3" s="1" t="s">
        <v>422</v>
      </c>
      <c r="D3" s="1" t="s">
        <v>18</v>
      </c>
      <c r="E3" s="1" t="s">
        <v>13</v>
      </c>
      <c r="F3" s="1"/>
      <c r="G3" s="6" t="s">
        <v>14</v>
      </c>
      <c r="H3" s="7">
        <v>85000</v>
      </c>
      <c r="I3" s="8">
        <v>11.4</v>
      </c>
      <c r="J3" s="1" t="s">
        <v>15</v>
      </c>
    </row>
    <row r="4" spans="1:10" x14ac:dyDescent="0.2">
      <c r="A4" s="5">
        <v>45689</v>
      </c>
      <c r="B4" s="1" t="s">
        <v>423</v>
      </c>
      <c r="C4" s="1" t="s">
        <v>424</v>
      </c>
      <c r="D4" s="1" t="s">
        <v>64</v>
      </c>
      <c r="E4" s="1" t="s">
        <v>19</v>
      </c>
      <c r="F4" s="1"/>
      <c r="G4" s="6" t="s">
        <v>14</v>
      </c>
      <c r="H4" s="7">
        <v>50000</v>
      </c>
      <c r="I4" s="1">
        <v>11.4</v>
      </c>
      <c r="J4" s="1" t="s">
        <v>15</v>
      </c>
    </row>
    <row r="5" spans="1:10" x14ac:dyDescent="0.2">
      <c r="A5" s="5">
        <v>45689</v>
      </c>
      <c r="B5" s="1" t="s">
        <v>35</v>
      </c>
      <c r="C5" s="1" t="s">
        <v>36</v>
      </c>
      <c r="D5" s="1" t="s">
        <v>18</v>
      </c>
      <c r="E5" s="1" t="s">
        <v>19</v>
      </c>
      <c r="F5" s="1" t="s">
        <v>109</v>
      </c>
      <c r="G5" s="6" t="s">
        <v>14</v>
      </c>
      <c r="H5" s="7">
        <v>200000</v>
      </c>
      <c r="I5" s="1"/>
      <c r="J5" s="1" t="s">
        <v>15</v>
      </c>
    </row>
    <row r="6" spans="1:10" x14ac:dyDescent="0.2">
      <c r="A6" s="5">
        <v>45689</v>
      </c>
      <c r="B6" s="1" t="s">
        <v>263</v>
      </c>
      <c r="C6" s="1" t="s">
        <v>264</v>
      </c>
      <c r="D6" s="1" t="s">
        <v>88</v>
      </c>
      <c r="E6" s="1" t="s">
        <v>19</v>
      </c>
      <c r="F6" s="1"/>
      <c r="G6" s="6" t="s">
        <v>14</v>
      </c>
      <c r="H6" s="7" t="s">
        <v>114</v>
      </c>
      <c r="I6" s="8"/>
      <c r="J6" s="1" t="s">
        <v>37</v>
      </c>
    </row>
    <row r="7" spans="1:10" x14ac:dyDescent="0.2">
      <c r="A7" s="5">
        <v>45689</v>
      </c>
      <c r="B7" s="1" t="s">
        <v>425</v>
      </c>
      <c r="C7" s="1" t="s">
        <v>426</v>
      </c>
      <c r="D7" s="1" t="s">
        <v>26</v>
      </c>
      <c r="E7" s="1" t="s">
        <v>13</v>
      </c>
      <c r="F7" s="1"/>
      <c r="G7" s="6" t="s">
        <v>14</v>
      </c>
      <c r="H7" s="7">
        <v>90000</v>
      </c>
      <c r="I7" s="8">
        <v>9.5</v>
      </c>
      <c r="J7" s="1" t="s">
        <v>15</v>
      </c>
    </row>
    <row r="8" spans="1:10" x14ac:dyDescent="0.2">
      <c r="A8" s="5">
        <v>45689</v>
      </c>
      <c r="B8" s="1" t="s">
        <v>425</v>
      </c>
      <c r="C8" s="1" t="s">
        <v>21</v>
      </c>
      <c r="D8" s="1" t="s">
        <v>101</v>
      </c>
      <c r="E8" s="1" t="s">
        <v>19</v>
      </c>
      <c r="F8" s="1"/>
      <c r="G8" s="6" t="s">
        <v>14</v>
      </c>
      <c r="H8" s="7">
        <v>60000</v>
      </c>
      <c r="I8" s="8">
        <v>7.2</v>
      </c>
      <c r="J8" s="1" t="s">
        <v>15</v>
      </c>
    </row>
    <row r="9" spans="1:10" x14ac:dyDescent="0.2">
      <c r="A9" s="5">
        <v>45689</v>
      </c>
      <c r="B9" s="1" t="s">
        <v>425</v>
      </c>
      <c r="C9" s="1" t="s">
        <v>427</v>
      </c>
      <c r="D9" s="1" t="s">
        <v>26</v>
      </c>
      <c r="E9" s="1" t="s">
        <v>13</v>
      </c>
      <c r="F9" s="1"/>
      <c r="G9" s="6" t="s">
        <v>14</v>
      </c>
      <c r="H9" s="7">
        <v>95000</v>
      </c>
      <c r="I9" s="8"/>
      <c r="J9" s="1" t="s">
        <v>34</v>
      </c>
    </row>
    <row r="10" spans="1:10" x14ac:dyDescent="0.2">
      <c r="A10" s="5">
        <v>45689</v>
      </c>
      <c r="B10" s="1" t="s">
        <v>428</v>
      </c>
      <c r="C10" s="1" t="s">
        <v>429</v>
      </c>
      <c r="D10" s="1" t="s">
        <v>101</v>
      </c>
      <c r="E10" s="1" t="s">
        <v>19</v>
      </c>
      <c r="F10" s="1"/>
      <c r="G10" s="6" t="s">
        <v>14</v>
      </c>
      <c r="H10" s="7">
        <v>65000</v>
      </c>
      <c r="I10" s="8"/>
      <c r="J10" s="1" t="s">
        <v>15</v>
      </c>
    </row>
    <row r="11" spans="1:10" x14ac:dyDescent="0.2">
      <c r="A11" s="5">
        <v>45689</v>
      </c>
      <c r="B11" s="1" t="s">
        <v>430</v>
      </c>
      <c r="C11" s="1" t="s">
        <v>431</v>
      </c>
      <c r="D11" s="1" t="s">
        <v>64</v>
      </c>
      <c r="E11" s="1" t="s">
        <v>19</v>
      </c>
      <c r="F11" s="1"/>
      <c r="G11" s="6" t="s">
        <v>14</v>
      </c>
      <c r="H11" s="7">
        <v>50000</v>
      </c>
      <c r="I11" s="1">
        <v>8.5</v>
      </c>
      <c r="J11" s="1" t="s">
        <v>15</v>
      </c>
    </row>
    <row r="12" spans="1:10" x14ac:dyDescent="0.2">
      <c r="A12" s="5">
        <v>45689</v>
      </c>
      <c r="B12" s="1"/>
      <c r="C12" s="1"/>
      <c r="D12" s="1" t="s">
        <v>49</v>
      </c>
      <c r="E12" s="1" t="s">
        <v>61</v>
      </c>
      <c r="F12" s="1"/>
      <c r="G12" s="6" t="s">
        <v>23</v>
      </c>
      <c r="H12" s="7">
        <v>10000</v>
      </c>
      <c r="I12" s="8" t="s">
        <v>114</v>
      </c>
      <c r="J12" s="1"/>
    </row>
    <row r="13" spans="1:10" x14ac:dyDescent="0.2">
      <c r="A13" s="5">
        <v>45689</v>
      </c>
      <c r="B13" s="1"/>
      <c r="C13" s="1"/>
      <c r="D13" s="1" t="s">
        <v>49</v>
      </c>
      <c r="E13" s="1" t="s">
        <v>61</v>
      </c>
      <c r="F13" s="1"/>
      <c r="G13" s="6" t="s">
        <v>23</v>
      </c>
      <c r="H13" s="7">
        <v>10000</v>
      </c>
      <c r="I13" s="8"/>
      <c r="J13" s="1"/>
    </row>
    <row r="14" spans="1:10" x14ac:dyDescent="0.2">
      <c r="A14" s="5">
        <v>45689</v>
      </c>
      <c r="B14" s="1" t="s">
        <v>432</v>
      </c>
      <c r="C14" s="1" t="s">
        <v>247</v>
      </c>
      <c r="D14" s="1" t="s">
        <v>49</v>
      </c>
      <c r="E14" s="1" t="s">
        <v>19</v>
      </c>
      <c r="F14" s="1"/>
      <c r="G14" s="6" t="s">
        <v>23</v>
      </c>
      <c r="H14" s="7">
        <v>30000</v>
      </c>
      <c r="I14" s="8">
        <v>3.4</v>
      </c>
      <c r="J14" s="1" t="s">
        <v>15</v>
      </c>
    </row>
    <row r="15" spans="1:10" x14ac:dyDescent="0.2">
      <c r="A15" s="5">
        <v>45689</v>
      </c>
      <c r="B15" s="10" t="s">
        <v>432</v>
      </c>
      <c r="C15" s="1" t="s">
        <v>170</v>
      </c>
      <c r="D15" s="1" t="s">
        <v>49</v>
      </c>
      <c r="E15" s="1" t="s">
        <v>19</v>
      </c>
      <c r="F15" s="1"/>
      <c r="G15" s="6" t="s">
        <v>23</v>
      </c>
      <c r="H15" s="7">
        <v>30000</v>
      </c>
      <c r="I15" s="8">
        <v>3</v>
      </c>
      <c r="J15" s="1" t="s">
        <v>15</v>
      </c>
    </row>
    <row r="16" spans="1:10" x14ac:dyDescent="0.2">
      <c r="A16" s="5">
        <v>45689</v>
      </c>
      <c r="B16" s="1"/>
      <c r="C16" s="1"/>
      <c r="D16" s="1"/>
      <c r="E16" s="1" t="s">
        <v>61</v>
      </c>
      <c r="F16" s="1"/>
      <c r="G16" s="6" t="s">
        <v>23</v>
      </c>
      <c r="H16" s="7">
        <v>10000</v>
      </c>
      <c r="I16" s="8"/>
      <c r="J16" s="1"/>
    </row>
    <row r="17" spans="1:10" x14ac:dyDescent="0.2">
      <c r="A17" s="5">
        <v>45689</v>
      </c>
      <c r="B17" s="1"/>
      <c r="C17" s="1"/>
      <c r="D17" s="1"/>
      <c r="E17" s="1" t="s">
        <v>61</v>
      </c>
      <c r="F17" s="1"/>
      <c r="G17" s="6" t="s">
        <v>23</v>
      </c>
      <c r="H17" s="7">
        <v>10000</v>
      </c>
      <c r="I17" s="8"/>
      <c r="J17" s="1"/>
    </row>
    <row r="18" spans="1:10" x14ac:dyDescent="0.2">
      <c r="A18" s="5">
        <v>45689</v>
      </c>
      <c r="B18" s="1"/>
      <c r="C18" s="1" t="s">
        <v>433</v>
      </c>
      <c r="D18" s="1" t="s">
        <v>119</v>
      </c>
      <c r="E18" s="1" t="s">
        <v>61</v>
      </c>
      <c r="F18" s="1"/>
      <c r="G18" s="6" t="s">
        <v>23</v>
      </c>
      <c r="H18" s="7">
        <v>10000</v>
      </c>
      <c r="I18" s="8"/>
      <c r="J18" s="1"/>
    </row>
    <row r="19" spans="1:10" x14ac:dyDescent="0.2">
      <c r="A19" s="5">
        <v>45691</v>
      </c>
      <c r="B19" s="1" t="s">
        <v>434</v>
      </c>
      <c r="C19" s="1" t="s">
        <v>435</v>
      </c>
      <c r="D19" s="1" t="s">
        <v>26</v>
      </c>
      <c r="E19" s="1" t="s">
        <v>13</v>
      </c>
      <c r="F19" s="1"/>
      <c r="G19" s="6" t="s">
        <v>14</v>
      </c>
      <c r="H19" s="7">
        <v>85000</v>
      </c>
      <c r="I19" s="8">
        <v>7.3</v>
      </c>
      <c r="J19" s="1" t="s">
        <v>15</v>
      </c>
    </row>
    <row r="20" spans="1:10" x14ac:dyDescent="0.2">
      <c r="A20" s="5">
        <v>45691</v>
      </c>
      <c r="B20" s="1" t="s">
        <v>436</v>
      </c>
      <c r="C20" s="1" t="s">
        <v>437</v>
      </c>
      <c r="D20" s="1" t="s">
        <v>88</v>
      </c>
      <c r="E20" s="1" t="s">
        <v>19</v>
      </c>
      <c r="F20" s="1"/>
      <c r="G20" s="6" t="s">
        <v>14</v>
      </c>
      <c r="H20" s="7">
        <v>60000</v>
      </c>
      <c r="I20" s="8">
        <v>3.3</v>
      </c>
      <c r="J20" s="1" t="s">
        <v>15</v>
      </c>
    </row>
    <row r="21" spans="1:10" x14ac:dyDescent="0.2">
      <c r="A21" s="5">
        <v>45691</v>
      </c>
      <c r="B21" s="1" t="s">
        <v>438</v>
      </c>
      <c r="C21" s="1" t="s">
        <v>203</v>
      </c>
      <c r="D21" s="1" t="s">
        <v>18</v>
      </c>
      <c r="E21" s="1" t="s">
        <v>13</v>
      </c>
      <c r="F21" s="1"/>
      <c r="G21" s="6" t="s">
        <v>14</v>
      </c>
      <c r="H21" s="7">
        <v>90000</v>
      </c>
      <c r="I21" s="8">
        <v>13.4</v>
      </c>
      <c r="J21" s="1" t="s">
        <v>15</v>
      </c>
    </row>
    <row r="22" spans="1:10" x14ac:dyDescent="0.2">
      <c r="A22" s="5">
        <v>45691</v>
      </c>
      <c r="B22" s="1" t="s">
        <v>439</v>
      </c>
      <c r="C22" s="1" t="s">
        <v>440</v>
      </c>
      <c r="D22" s="1" t="s">
        <v>18</v>
      </c>
      <c r="E22" s="1" t="s">
        <v>19</v>
      </c>
      <c r="F22" s="1"/>
      <c r="G22" s="6" t="s">
        <v>14</v>
      </c>
      <c r="H22" s="7">
        <v>70000</v>
      </c>
      <c r="I22" s="8">
        <v>14.2</v>
      </c>
      <c r="J22" s="1" t="s">
        <v>15</v>
      </c>
    </row>
    <row r="23" spans="1:10" x14ac:dyDescent="0.2">
      <c r="A23" s="5">
        <v>45691</v>
      </c>
      <c r="B23" s="1" t="s">
        <v>171</v>
      </c>
      <c r="C23" s="1" t="s">
        <v>172</v>
      </c>
      <c r="D23" s="1" t="s">
        <v>18</v>
      </c>
      <c r="E23" s="1" t="s">
        <v>19</v>
      </c>
      <c r="F23" s="1"/>
      <c r="G23" s="6" t="s">
        <v>14</v>
      </c>
      <c r="H23" s="7">
        <v>50000</v>
      </c>
      <c r="I23" s="8">
        <v>6.4</v>
      </c>
      <c r="J23" s="1" t="s">
        <v>15</v>
      </c>
    </row>
    <row r="24" spans="1:10" x14ac:dyDescent="0.2">
      <c r="A24" s="5">
        <v>45691</v>
      </c>
      <c r="B24" s="1" t="s">
        <v>441</v>
      </c>
      <c r="C24" s="1" t="s">
        <v>442</v>
      </c>
      <c r="D24" s="1" t="s">
        <v>64</v>
      </c>
      <c r="E24" s="1" t="s">
        <v>13</v>
      </c>
      <c r="F24" s="1"/>
      <c r="G24" s="6" t="s">
        <v>14</v>
      </c>
      <c r="H24" s="7">
        <v>85000</v>
      </c>
      <c r="I24" s="8">
        <v>11.6</v>
      </c>
      <c r="J24" s="1" t="s">
        <v>15</v>
      </c>
    </row>
    <row r="25" spans="1:10" x14ac:dyDescent="0.2">
      <c r="A25" s="5">
        <v>45691</v>
      </c>
      <c r="B25" s="1" t="s">
        <v>443</v>
      </c>
      <c r="C25" s="1" t="s">
        <v>444</v>
      </c>
      <c r="D25" s="1" t="s">
        <v>340</v>
      </c>
      <c r="E25" s="1" t="s">
        <v>13</v>
      </c>
      <c r="F25" s="1"/>
      <c r="G25" s="6" t="s">
        <v>14</v>
      </c>
      <c r="H25" s="7">
        <v>45000</v>
      </c>
      <c r="I25" s="8">
        <v>1.7</v>
      </c>
      <c r="J25" s="1" t="s">
        <v>15</v>
      </c>
    </row>
    <row r="26" spans="1:10" x14ac:dyDescent="0.2">
      <c r="A26" s="5">
        <v>45691</v>
      </c>
      <c r="B26" s="1" t="s">
        <v>443</v>
      </c>
      <c r="C26" s="1" t="s">
        <v>445</v>
      </c>
      <c r="D26" s="1" t="s">
        <v>49</v>
      </c>
      <c r="E26" s="1" t="s">
        <v>19</v>
      </c>
      <c r="F26" s="1"/>
      <c r="G26" s="6" t="s">
        <v>23</v>
      </c>
      <c r="H26" s="7">
        <v>25000</v>
      </c>
      <c r="I26" s="8">
        <v>1.4</v>
      </c>
      <c r="J26" s="1" t="s">
        <v>15</v>
      </c>
    </row>
    <row r="27" spans="1:10" x14ac:dyDescent="0.2">
      <c r="A27" s="5">
        <v>45691</v>
      </c>
      <c r="B27" s="1"/>
      <c r="C27" s="1"/>
      <c r="D27" s="1" t="s">
        <v>340</v>
      </c>
      <c r="E27" s="1" t="s">
        <v>61</v>
      </c>
      <c r="F27" s="1"/>
      <c r="G27" s="6" t="s">
        <v>23</v>
      </c>
      <c r="H27" s="7">
        <v>10000</v>
      </c>
      <c r="I27" s="8" t="s">
        <v>114</v>
      </c>
      <c r="J27" s="1"/>
    </row>
    <row r="28" spans="1:10" x14ac:dyDescent="0.2">
      <c r="A28" s="5">
        <v>45691</v>
      </c>
      <c r="B28" s="1"/>
      <c r="C28" s="1"/>
      <c r="D28" s="1" t="s">
        <v>340</v>
      </c>
      <c r="E28" s="1" t="s">
        <v>61</v>
      </c>
      <c r="F28" s="1"/>
      <c r="G28" s="6" t="s">
        <v>23</v>
      </c>
      <c r="H28" s="7">
        <v>10000</v>
      </c>
      <c r="I28" s="8" t="s">
        <v>114</v>
      </c>
      <c r="J28" s="1"/>
    </row>
    <row r="29" spans="1:10" x14ac:dyDescent="0.2">
      <c r="A29" s="5">
        <v>45692</v>
      </c>
      <c r="B29" s="1" t="s">
        <v>446</v>
      </c>
      <c r="C29" s="1" t="s">
        <v>447</v>
      </c>
      <c r="D29" s="1" t="s">
        <v>18</v>
      </c>
      <c r="E29" s="1" t="s">
        <v>181</v>
      </c>
      <c r="F29" s="1" t="s">
        <v>448</v>
      </c>
      <c r="G29" s="6" t="s">
        <v>14</v>
      </c>
      <c r="H29" s="7">
        <v>90000</v>
      </c>
      <c r="I29" s="8">
        <v>13.6</v>
      </c>
      <c r="J29" s="1" t="s">
        <v>15</v>
      </c>
    </row>
    <row r="30" spans="1:10" x14ac:dyDescent="0.2">
      <c r="A30" s="5">
        <v>45692</v>
      </c>
      <c r="B30" s="1" t="s">
        <v>252</v>
      </c>
      <c r="C30" s="1" t="s">
        <v>253</v>
      </c>
      <c r="D30" s="1" t="s">
        <v>26</v>
      </c>
      <c r="E30" s="1" t="s">
        <v>78</v>
      </c>
      <c r="F30" s="1"/>
      <c r="G30" s="6" t="s">
        <v>14</v>
      </c>
      <c r="H30" s="7">
        <v>65000</v>
      </c>
      <c r="I30" s="8">
        <v>4.5999999999999996</v>
      </c>
      <c r="J30" s="1" t="s">
        <v>34</v>
      </c>
    </row>
    <row r="31" spans="1:10" x14ac:dyDescent="0.2">
      <c r="A31" s="5">
        <v>45692</v>
      </c>
      <c r="B31" s="1" t="s">
        <v>449</v>
      </c>
      <c r="C31" s="1" t="s">
        <v>450</v>
      </c>
      <c r="D31" s="1" t="s">
        <v>26</v>
      </c>
      <c r="E31" s="1" t="s">
        <v>13</v>
      </c>
      <c r="F31" s="1"/>
      <c r="G31" s="6" t="s">
        <v>14</v>
      </c>
      <c r="H31" s="7">
        <v>80000</v>
      </c>
      <c r="I31" s="8">
        <v>7.5</v>
      </c>
      <c r="J31" s="1" t="s">
        <v>15</v>
      </c>
    </row>
    <row r="32" spans="1:10" x14ac:dyDescent="0.2">
      <c r="A32" s="5">
        <v>45692</v>
      </c>
      <c r="B32" s="1" t="s">
        <v>451</v>
      </c>
      <c r="C32" s="1" t="s">
        <v>452</v>
      </c>
      <c r="D32" s="1" t="s">
        <v>26</v>
      </c>
      <c r="E32" s="1" t="s">
        <v>181</v>
      </c>
      <c r="F32" s="1" t="s">
        <v>448</v>
      </c>
      <c r="G32" s="6" t="s">
        <v>14</v>
      </c>
      <c r="H32" s="7">
        <v>80000</v>
      </c>
      <c r="I32" s="8">
        <v>4.5</v>
      </c>
      <c r="J32" s="1" t="s">
        <v>34</v>
      </c>
    </row>
    <row r="33" spans="1:10" x14ac:dyDescent="0.2">
      <c r="A33" s="5">
        <v>45692</v>
      </c>
      <c r="B33" s="1" t="s">
        <v>175</v>
      </c>
      <c r="C33" s="1" t="s">
        <v>176</v>
      </c>
      <c r="D33" s="1" t="s">
        <v>165</v>
      </c>
      <c r="E33" s="1" t="s">
        <v>19</v>
      </c>
      <c r="F33" s="1"/>
      <c r="G33" s="6" t="s">
        <v>14</v>
      </c>
      <c r="H33" s="7">
        <v>60000</v>
      </c>
      <c r="I33" s="8">
        <v>9.1</v>
      </c>
      <c r="J33" s="1" t="s">
        <v>15</v>
      </c>
    </row>
    <row r="34" spans="1:10" x14ac:dyDescent="0.2">
      <c r="A34" s="5">
        <v>45692</v>
      </c>
      <c r="B34" s="1" t="s">
        <v>210</v>
      </c>
      <c r="C34" s="1" t="s">
        <v>211</v>
      </c>
      <c r="D34" s="1" t="s">
        <v>165</v>
      </c>
      <c r="E34" s="1" t="s">
        <v>13</v>
      </c>
      <c r="F34" s="1"/>
      <c r="G34" s="6" t="s">
        <v>14</v>
      </c>
      <c r="H34" s="7">
        <v>75000</v>
      </c>
      <c r="I34" s="8">
        <v>7</v>
      </c>
      <c r="J34" s="1" t="s">
        <v>15</v>
      </c>
    </row>
    <row r="35" spans="1:10" x14ac:dyDescent="0.2">
      <c r="A35" s="5">
        <v>45692</v>
      </c>
      <c r="B35" s="1" t="s">
        <v>72</v>
      </c>
      <c r="C35" s="1" t="s">
        <v>453</v>
      </c>
      <c r="D35" s="1" t="s">
        <v>58</v>
      </c>
      <c r="E35" s="1" t="s">
        <v>59</v>
      </c>
      <c r="F35" s="1"/>
      <c r="G35" s="6" t="s">
        <v>14</v>
      </c>
      <c r="H35" s="7">
        <v>80000</v>
      </c>
      <c r="I35" s="8"/>
      <c r="J35" s="1" t="s">
        <v>15</v>
      </c>
    </row>
    <row r="36" spans="1:10" x14ac:dyDescent="0.2">
      <c r="A36" s="5">
        <v>45692</v>
      </c>
      <c r="B36" s="1" t="s">
        <v>72</v>
      </c>
      <c r="C36" s="1" t="s">
        <v>454</v>
      </c>
      <c r="D36" s="1" t="s">
        <v>58</v>
      </c>
      <c r="E36" s="1" t="s">
        <v>59</v>
      </c>
      <c r="F36" s="1"/>
      <c r="G36" s="6" t="s">
        <v>14</v>
      </c>
      <c r="H36" s="7">
        <v>80000</v>
      </c>
      <c r="I36" s="8"/>
      <c r="J36" s="1" t="s">
        <v>15</v>
      </c>
    </row>
    <row r="37" spans="1:10" x14ac:dyDescent="0.2">
      <c r="A37" s="5">
        <v>45693</v>
      </c>
      <c r="B37" s="1" t="s">
        <v>455</v>
      </c>
      <c r="C37" s="1" t="s">
        <v>275</v>
      </c>
      <c r="D37" s="1" t="s">
        <v>32</v>
      </c>
      <c r="E37" s="1" t="s">
        <v>13</v>
      </c>
      <c r="F37" s="1"/>
      <c r="G37" s="6" t="s">
        <v>14</v>
      </c>
      <c r="H37" s="7">
        <v>75000</v>
      </c>
      <c r="I37" s="8">
        <v>3</v>
      </c>
      <c r="J37" s="1" t="s">
        <v>15</v>
      </c>
    </row>
    <row r="38" spans="1:10" x14ac:dyDescent="0.2">
      <c r="A38" s="5">
        <v>45693</v>
      </c>
      <c r="B38" s="1" t="s">
        <v>456</v>
      </c>
      <c r="C38" s="1" t="s">
        <v>457</v>
      </c>
      <c r="D38" s="1" t="s">
        <v>32</v>
      </c>
      <c r="E38" s="1" t="s">
        <v>13</v>
      </c>
      <c r="F38" s="1"/>
      <c r="G38" s="6" t="s">
        <v>14</v>
      </c>
      <c r="H38" s="7">
        <v>90000</v>
      </c>
      <c r="I38" s="8">
        <v>4.3</v>
      </c>
      <c r="J38" s="1" t="s">
        <v>37</v>
      </c>
    </row>
    <row r="39" spans="1:10" x14ac:dyDescent="0.2">
      <c r="A39" s="5">
        <v>45693</v>
      </c>
      <c r="B39" s="1" t="s">
        <v>456</v>
      </c>
      <c r="C39" s="1" t="s">
        <v>458</v>
      </c>
      <c r="D39" s="1" t="s">
        <v>32</v>
      </c>
      <c r="E39" s="1" t="s">
        <v>13</v>
      </c>
      <c r="F39" s="1"/>
      <c r="G39" s="6" t="s">
        <v>14</v>
      </c>
      <c r="H39" s="7">
        <v>90000</v>
      </c>
      <c r="I39" s="8">
        <v>5.3</v>
      </c>
      <c r="J39" s="1" t="s">
        <v>37</v>
      </c>
    </row>
    <row r="40" spans="1:10" x14ac:dyDescent="0.2">
      <c r="A40" s="5">
        <v>45693</v>
      </c>
      <c r="B40" s="1" t="s">
        <v>182</v>
      </c>
      <c r="C40" s="1" t="s">
        <v>183</v>
      </c>
      <c r="D40" s="1" t="s">
        <v>26</v>
      </c>
      <c r="E40" s="1" t="s">
        <v>19</v>
      </c>
      <c r="F40" s="1"/>
      <c r="G40" s="6" t="s">
        <v>14</v>
      </c>
      <c r="H40" s="7">
        <v>65000</v>
      </c>
      <c r="I40" s="8">
        <v>6.5</v>
      </c>
      <c r="J40" s="1" t="s">
        <v>37</v>
      </c>
    </row>
    <row r="41" spans="1:10" x14ac:dyDescent="0.2">
      <c r="A41" s="5">
        <v>45693</v>
      </c>
      <c r="B41" s="1"/>
      <c r="C41" s="1"/>
      <c r="D41" s="1"/>
      <c r="E41" s="1"/>
      <c r="F41" s="1"/>
      <c r="G41" s="6"/>
      <c r="H41" s="7"/>
      <c r="I41" s="8"/>
      <c r="J41" s="1"/>
    </row>
    <row r="42" spans="1:10" x14ac:dyDescent="0.2">
      <c r="A42" s="5">
        <v>45693</v>
      </c>
      <c r="B42" s="1" t="s">
        <v>459</v>
      </c>
      <c r="C42" s="1" t="s">
        <v>398</v>
      </c>
      <c r="D42" s="1" t="s">
        <v>45</v>
      </c>
      <c r="E42" s="1" t="s">
        <v>19</v>
      </c>
      <c r="F42" s="1"/>
      <c r="G42" s="6" t="s">
        <v>23</v>
      </c>
      <c r="H42" s="7">
        <v>50000</v>
      </c>
      <c r="I42" s="1">
        <v>14.4</v>
      </c>
      <c r="J42" s="1" t="s">
        <v>15</v>
      </c>
    </row>
    <row r="43" spans="1:10" x14ac:dyDescent="0.2">
      <c r="A43" s="5">
        <v>45693</v>
      </c>
      <c r="B43" s="1" t="s">
        <v>460</v>
      </c>
      <c r="C43" s="1" t="s">
        <v>461</v>
      </c>
      <c r="D43" s="1" t="s">
        <v>64</v>
      </c>
      <c r="E43" s="1" t="s">
        <v>19</v>
      </c>
      <c r="F43" s="1"/>
      <c r="G43" s="6" t="s">
        <v>23</v>
      </c>
      <c r="H43" s="7">
        <v>50000</v>
      </c>
      <c r="I43" s="8">
        <v>12.4</v>
      </c>
      <c r="J43" s="1" t="s">
        <v>15</v>
      </c>
    </row>
    <row r="44" spans="1:10" x14ac:dyDescent="0.2">
      <c r="A44" s="5">
        <v>45693</v>
      </c>
      <c r="B44" s="1" t="s">
        <v>462</v>
      </c>
      <c r="C44" s="1" t="s">
        <v>463</v>
      </c>
      <c r="D44" s="1" t="s">
        <v>49</v>
      </c>
      <c r="E44" s="1" t="s">
        <v>19</v>
      </c>
      <c r="F44" s="1"/>
      <c r="G44" s="6" t="s">
        <v>23</v>
      </c>
      <c r="H44" s="7">
        <v>30000</v>
      </c>
      <c r="I44" s="8">
        <v>1.2</v>
      </c>
      <c r="J44" s="1" t="s">
        <v>15</v>
      </c>
    </row>
    <row r="45" spans="1:10" x14ac:dyDescent="0.2">
      <c r="A45" s="5">
        <v>45694</v>
      </c>
      <c r="B45" s="1" t="s">
        <v>464</v>
      </c>
      <c r="C45" s="1" t="s">
        <v>465</v>
      </c>
      <c r="D45" s="1" t="s">
        <v>153</v>
      </c>
      <c r="E45" s="1" t="s">
        <v>13</v>
      </c>
      <c r="F45" s="1"/>
      <c r="G45" s="6" t="s">
        <v>14</v>
      </c>
      <c r="H45" s="7">
        <v>75000</v>
      </c>
      <c r="I45" s="8">
        <v>6.2</v>
      </c>
      <c r="J45" s="1" t="s">
        <v>15</v>
      </c>
    </row>
    <row r="46" spans="1:10" x14ac:dyDescent="0.2">
      <c r="A46" s="5">
        <v>45694</v>
      </c>
      <c r="B46" s="1" t="s">
        <v>466</v>
      </c>
      <c r="C46" s="1" t="s">
        <v>467</v>
      </c>
      <c r="D46" s="1" t="s">
        <v>32</v>
      </c>
      <c r="E46" s="1" t="s">
        <v>13</v>
      </c>
      <c r="F46" s="1"/>
      <c r="G46" s="6" t="s">
        <v>14</v>
      </c>
      <c r="H46" s="7">
        <v>75000</v>
      </c>
      <c r="I46" s="8">
        <v>2.4</v>
      </c>
      <c r="J46" s="1" t="s">
        <v>34</v>
      </c>
    </row>
    <row r="47" spans="1:10" x14ac:dyDescent="0.2">
      <c r="A47" s="5">
        <v>45694</v>
      </c>
      <c r="B47" s="1" t="s">
        <v>468</v>
      </c>
      <c r="C47" s="1" t="s">
        <v>469</v>
      </c>
      <c r="D47" s="1" t="s">
        <v>26</v>
      </c>
      <c r="E47" s="1" t="s">
        <v>13</v>
      </c>
      <c r="F47" s="1"/>
      <c r="G47" s="6" t="s">
        <v>14</v>
      </c>
      <c r="H47" s="7">
        <v>80000</v>
      </c>
      <c r="I47" s="8">
        <v>6.5</v>
      </c>
      <c r="J47" s="1" t="s">
        <v>15</v>
      </c>
    </row>
    <row r="48" spans="1:10" x14ac:dyDescent="0.2">
      <c r="A48" s="5">
        <v>45694</v>
      </c>
      <c r="B48" s="1" t="s">
        <v>468</v>
      </c>
      <c r="C48" s="1" t="s">
        <v>401</v>
      </c>
      <c r="D48" s="1" t="s">
        <v>26</v>
      </c>
      <c r="E48" s="1" t="s">
        <v>13</v>
      </c>
      <c r="F48" s="1"/>
      <c r="G48" s="6" t="s">
        <v>14</v>
      </c>
      <c r="H48" s="7">
        <v>80000</v>
      </c>
      <c r="I48" s="8">
        <v>7.2</v>
      </c>
      <c r="J48" s="1" t="s">
        <v>15</v>
      </c>
    </row>
    <row r="49" spans="1:10" x14ac:dyDescent="0.2">
      <c r="A49" s="5">
        <v>45694</v>
      </c>
      <c r="B49" s="1" t="s">
        <v>470</v>
      </c>
      <c r="C49" s="1" t="s">
        <v>303</v>
      </c>
      <c r="D49" s="1" t="s">
        <v>101</v>
      </c>
      <c r="E49" s="1" t="s">
        <v>13</v>
      </c>
      <c r="F49" s="1"/>
      <c r="G49" s="6" t="s">
        <v>14</v>
      </c>
      <c r="H49" s="7">
        <v>75000</v>
      </c>
      <c r="I49" s="8">
        <v>9.1999999999999993</v>
      </c>
      <c r="J49" s="1" t="s">
        <v>15</v>
      </c>
    </row>
    <row r="50" spans="1:10" x14ac:dyDescent="0.2">
      <c r="A50" s="5">
        <v>45694</v>
      </c>
      <c r="B50" s="1" t="s">
        <v>295</v>
      </c>
      <c r="C50" s="1" t="s">
        <v>152</v>
      </c>
      <c r="D50" s="1" t="s">
        <v>153</v>
      </c>
      <c r="E50" s="1" t="s">
        <v>78</v>
      </c>
      <c r="F50" s="1"/>
      <c r="G50" s="6" t="s">
        <v>14</v>
      </c>
      <c r="H50" s="7">
        <v>70000</v>
      </c>
      <c r="I50" s="8">
        <v>4</v>
      </c>
      <c r="J50" s="1" t="s">
        <v>15</v>
      </c>
    </row>
    <row r="51" spans="1:10" x14ac:dyDescent="0.2">
      <c r="A51" s="5">
        <v>45694</v>
      </c>
      <c r="B51" s="1" t="s">
        <v>471</v>
      </c>
      <c r="C51" s="1" t="s">
        <v>472</v>
      </c>
      <c r="D51" s="1" t="s">
        <v>88</v>
      </c>
      <c r="E51" s="1" t="s">
        <v>19</v>
      </c>
      <c r="F51" s="1"/>
      <c r="G51" s="6" t="s">
        <v>14</v>
      </c>
      <c r="H51" s="7">
        <v>60000</v>
      </c>
      <c r="I51" s="8">
        <v>5.2</v>
      </c>
      <c r="J51" s="1" t="s">
        <v>15</v>
      </c>
    </row>
    <row r="52" spans="1:10" x14ac:dyDescent="0.2">
      <c r="A52" s="5">
        <v>45694</v>
      </c>
      <c r="B52" s="1" t="s">
        <v>473</v>
      </c>
      <c r="C52" s="1" t="s">
        <v>447</v>
      </c>
      <c r="D52" s="1" t="s">
        <v>49</v>
      </c>
      <c r="E52" s="1" t="s">
        <v>19</v>
      </c>
      <c r="F52" s="1"/>
      <c r="G52" s="6" t="s">
        <v>23</v>
      </c>
      <c r="H52" s="7">
        <v>30000</v>
      </c>
      <c r="I52" s="8">
        <v>2</v>
      </c>
      <c r="J52" s="1" t="s">
        <v>15</v>
      </c>
    </row>
    <row r="53" spans="1:10" x14ac:dyDescent="0.2">
      <c r="A53" s="5">
        <v>45695</v>
      </c>
      <c r="B53" s="1" t="s">
        <v>474</v>
      </c>
      <c r="C53" s="1" t="s">
        <v>475</v>
      </c>
      <c r="D53" s="1" t="s">
        <v>122</v>
      </c>
      <c r="E53" s="1" t="s">
        <v>19</v>
      </c>
      <c r="F53" s="1"/>
      <c r="G53" s="6" t="s">
        <v>14</v>
      </c>
      <c r="H53" s="7">
        <v>80000</v>
      </c>
      <c r="I53" s="8">
        <v>13.9</v>
      </c>
      <c r="J53" s="1" t="s">
        <v>15</v>
      </c>
    </row>
    <row r="54" spans="1:10" x14ac:dyDescent="0.2">
      <c r="A54" s="5">
        <v>45695</v>
      </c>
      <c r="B54" s="1" t="s">
        <v>476</v>
      </c>
      <c r="C54" s="1" t="s">
        <v>180</v>
      </c>
      <c r="D54" s="1" t="s">
        <v>88</v>
      </c>
      <c r="E54" s="1" t="s">
        <v>94</v>
      </c>
      <c r="F54" s="1"/>
      <c r="G54" s="6" t="s">
        <v>14</v>
      </c>
      <c r="H54" s="7">
        <v>80000</v>
      </c>
      <c r="I54" s="8">
        <v>5.8</v>
      </c>
      <c r="J54" s="1" t="s">
        <v>15</v>
      </c>
    </row>
    <row r="55" spans="1:10" x14ac:dyDescent="0.2">
      <c r="A55" s="5">
        <v>45695</v>
      </c>
      <c r="B55" s="1" t="s">
        <v>256</v>
      </c>
      <c r="C55" s="1" t="s">
        <v>257</v>
      </c>
      <c r="D55" s="1" t="s">
        <v>32</v>
      </c>
      <c r="E55" s="1" t="s">
        <v>113</v>
      </c>
      <c r="F55" s="1" t="s">
        <v>109</v>
      </c>
      <c r="G55" s="6" t="s">
        <v>14</v>
      </c>
      <c r="H55" s="7">
        <v>100000</v>
      </c>
      <c r="I55" s="8">
        <v>4.5999999999999996</v>
      </c>
      <c r="J55" s="1" t="s">
        <v>34</v>
      </c>
    </row>
    <row r="56" spans="1:10" x14ac:dyDescent="0.2">
      <c r="A56" s="5">
        <v>45695</v>
      </c>
      <c r="B56" s="1" t="s">
        <v>202</v>
      </c>
      <c r="C56" s="1" t="s">
        <v>203</v>
      </c>
      <c r="D56" s="1" t="s">
        <v>88</v>
      </c>
      <c r="E56" s="1" t="s">
        <v>19</v>
      </c>
      <c r="F56" s="1"/>
      <c r="G56" s="6" t="s">
        <v>14</v>
      </c>
      <c r="H56" s="7">
        <v>60000</v>
      </c>
      <c r="I56" s="8">
        <v>3.9</v>
      </c>
      <c r="J56" s="1" t="s">
        <v>15</v>
      </c>
    </row>
    <row r="57" spans="1:10" x14ac:dyDescent="0.2">
      <c r="A57" s="5">
        <v>45695</v>
      </c>
      <c r="B57" s="1" t="s">
        <v>477</v>
      </c>
      <c r="C57" s="1" t="s">
        <v>478</v>
      </c>
      <c r="D57" s="1" t="s">
        <v>119</v>
      </c>
      <c r="E57" s="1" t="s">
        <v>19</v>
      </c>
      <c r="F57" s="1"/>
      <c r="G57" s="6" t="s">
        <v>23</v>
      </c>
      <c r="H57" s="7">
        <v>55000</v>
      </c>
      <c r="I57" s="8">
        <v>10.6</v>
      </c>
      <c r="J57" s="1" t="s">
        <v>15</v>
      </c>
    </row>
    <row r="58" spans="1:10" x14ac:dyDescent="0.2">
      <c r="A58" s="5">
        <v>45695</v>
      </c>
      <c r="B58" s="1" t="s">
        <v>479</v>
      </c>
      <c r="C58" s="1" t="s">
        <v>480</v>
      </c>
      <c r="D58" s="1" t="s">
        <v>64</v>
      </c>
      <c r="E58" s="1" t="s">
        <v>13</v>
      </c>
      <c r="F58" s="1"/>
      <c r="G58" s="6" t="s">
        <v>14</v>
      </c>
      <c r="H58" s="7">
        <v>75000</v>
      </c>
      <c r="I58" s="8">
        <v>6.8</v>
      </c>
      <c r="J58" s="1" t="s">
        <v>15</v>
      </c>
    </row>
    <row r="59" spans="1:10" x14ac:dyDescent="0.2">
      <c r="A59" s="5">
        <v>45695</v>
      </c>
      <c r="B59" s="1" t="s">
        <v>473</v>
      </c>
      <c r="C59" s="1" t="s">
        <v>362</v>
      </c>
      <c r="D59" s="1" t="s">
        <v>32</v>
      </c>
      <c r="E59" s="1" t="s">
        <v>19</v>
      </c>
      <c r="F59" s="1"/>
      <c r="G59" s="6" t="s">
        <v>14</v>
      </c>
      <c r="H59" s="7">
        <v>110000</v>
      </c>
      <c r="I59" s="8">
        <v>2.4</v>
      </c>
      <c r="J59" s="1" t="s">
        <v>34</v>
      </c>
    </row>
    <row r="60" spans="1:10" x14ac:dyDescent="0.2">
      <c r="A60" s="5">
        <v>45695</v>
      </c>
      <c r="B60" s="1" t="s">
        <v>481</v>
      </c>
      <c r="C60" s="1" t="s">
        <v>482</v>
      </c>
      <c r="D60" s="1" t="s">
        <v>371</v>
      </c>
      <c r="E60" s="1" t="s">
        <v>19</v>
      </c>
      <c r="F60" s="1"/>
      <c r="G60" s="6" t="s">
        <v>23</v>
      </c>
      <c r="H60" s="7">
        <v>60000</v>
      </c>
      <c r="I60" s="8">
        <v>42</v>
      </c>
      <c r="J60" s="1" t="s">
        <v>15</v>
      </c>
    </row>
    <row r="61" spans="1:10" x14ac:dyDescent="0.2">
      <c r="A61" s="5">
        <v>45695</v>
      </c>
      <c r="B61" s="1" t="s">
        <v>483</v>
      </c>
      <c r="C61" s="1" t="s">
        <v>484</v>
      </c>
      <c r="D61" s="1" t="s">
        <v>18</v>
      </c>
      <c r="E61" s="1" t="s">
        <v>19</v>
      </c>
      <c r="F61" s="1"/>
      <c r="G61" s="6"/>
      <c r="H61" s="7">
        <v>75000</v>
      </c>
      <c r="I61" s="8">
        <v>10.1</v>
      </c>
      <c r="J61" s="1" t="s">
        <v>15</v>
      </c>
    </row>
    <row r="62" spans="1:10" x14ac:dyDescent="0.2">
      <c r="A62" s="5">
        <v>45695</v>
      </c>
      <c r="B62" s="1" t="s">
        <v>395</v>
      </c>
      <c r="C62" s="1" t="s">
        <v>396</v>
      </c>
      <c r="D62" s="1" t="s">
        <v>32</v>
      </c>
      <c r="E62" s="1" t="s">
        <v>19</v>
      </c>
      <c r="F62" s="1" t="s">
        <v>109</v>
      </c>
      <c r="G62" s="6" t="s">
        <v>14</v>
      </c>
      <c r="H62" s="7">
        <v>120000</v>
      </c>
      <c r="I62" s="8">
        <v>3.9</v>
      </c>
      <c r="J62" s="1" t="s">
        <v>15</v>
      </c>
    </row>
    <row r="63" spans="1:10" x14ac:dyDescent="0.2">
      <c r="A63" s="5">
        <v>45695</v>
      </c>
      <c r="B63" s="1" t="s">
        <v>397</v>
      </c>
      <c r="C63" s="1" t="s">
        <v>398</v>
      </c>
      <c r="D63" s="1" t="s">
        <v>112</v>
      </c>
      <c r="E63" s="1" t="s">
        <v>113</v>
      </c>
      <c r="F63" s="1" t="s">
        <v>109</v>
      </c>
      <c r="G63" s="6" t="s">
        <v>14</v>
      </c>
      <c r="H63" s="7">
        <v>90000</v>
      </c>
      <c r="I63" s="8"/>
      <c r="J63" s="1" t="s">
        <v>34</v>
      </c>
    </row>
    <row r="64" spans="1:10" x14ac:dyDescent="0.2">
      <c r="A64" s="5">
        <v>45695</v>
      </c>
      <c r="B64" s="1" t="s">
        <v>485</v>
      </c>
      <c r="C64" s="1" t="s">
        <v>486</v>
      </c>
      <c r="D64" s="1" t="s">
        <v>32</v>
      </c>
      <c r="E64" s="1" t="s">
        <v>19</v>
      </c>
      <c r="F64" s="1"/>
      <c r="G64" s="6" t="s">
        <v>14</v>
      </c>
      <c r="H64" s="7">
        <v>75000</v>
      </c>
      <c r="I64" s="8">
        <v>4.5</v>
      </c>
      <c r="J64" s="1" t="s">
        <v>34</v>
      </c>
    </row>
    <row r="65" spans="1:10" x14ac:dyDescent="0.2">
      <c r="A65" s="5">
        <v>45695</v>
      </c>
      <c r="B65" s="1" t="s">
        <v>487</v>
      </c>
      <c r="C65" s="1" t="s">
        <v>282</v>
      </c>
      <c r="D65" s="1" t="s">
        <v>119</v>
      </c>
      <c r="E65" s="1" t="s">
        <v>19</v>
      </c>
      <c r="F65" s="1"/>
      <c r="G65" s="6" t="s">
        <v>23</v>
      </c>
      <c r="H65" s="7">
        <v>50000</v>
      </c>
      <c r="I65" s="8">
        <v>12.7</v>
      </c>
      <c r="J65" s="1" t="s">
        <v>15</v>
      </c>
    </row>
    <row r="66" spans="1:10" x14ac:dyDescent="0.2">
      <c r="A66" s="5">
        <v>45695</v>
      </c>
      <c r="B66" s="1" t="s">
        <v>114</v>
      </c>
      <c r="C66" s="1"/>
      <c r="D66" s="1" t="s">
        <v>49</v>
      </c>
      <c r="E66" s="1" t="s">
        <v>61</v>
      </c>
      <c r="F66" s="1"/>
      <c r="G66" s="6" t="s">
        <v>23</v>
      </c>
      <c r="H66" s="7">
        <v>10000</v>
      </c>
      <c r="I66" s="8"/>
      <c r="J66" s="1"/>
    </row>
    <row r="67" spans="1:10" x14ac:dyDescent="0.2">
      <c r="A67" s="5">
        <v>45695</v>
      </c>
      <c r="B67" s="1" t="s">
        <v>114</v>
      </c>
      <c r="C67" s="1"/>
      <c r="D67" s="1"/>
      <c r="E67" s="1"/>
      <c r="F67" s="1" t="s">
        <v>34</v>
      </c>
      <c r="G67" s="6"/>
      <c r="H67" s="7">
        <v>7000</v>
      </c>
      <c r="I67" s="8"/>
      <c r="J67" s="1"/>
    </row>
    <row r="68" spans="1:10" x14ac:dyDescent="0.2">
      <c r="A68" s="5">
        <v>45696</v>
      </c>
      <c r="B68" s="1" t="s">
        <v>488</v>
      </c>
      <c r="C68" s="1" t="s">
        <v>228</v>
      </c>
      <c r="D68" s="1" t="s">
        <v>229</v>
      </c>
      <c r="E68" s="1" t="s">
        <v>19</v>
      </c>
      <c r="F68" s="1"/>
      <c r="G68" s="6" t="s">
        <v>14</v>
      </c>
      <c r="H68" s="7">
        <v>85000</v>
      </c>
      <c r="I68" s="8">
        <v>29.8</v>
      </c>
      <c r="J68" s="1" t="s">
        <v>15</v>
      </c>
    </row>
    <row r="69" spans="1:10" x14ac:dyDescent="0.2">
      <c r="A69" s="5">
        <v>45696</v>
      </c>
      <c r="B69" s="1" t="s">
        <v>489</v>
      </c>
      <c r="C69" s="1" t="s">
        <v>490</v>
      </c>
      <c r="D69" s="1" t="s">
        <v>64</v>
      </c>
      <c r="E69" s="1" t="s">
        <v>19</v>
      </c>
      <c r="F69" s="1"/>
      <c r="G69" s="6" t="s">
        <v>23</v>
      </c>
      <c r="H69" s="7">
        <v>45000</v>
      </c>
      <c r="I69" s="8">
        <v>7.7</v>
      </c>
      <c r="J69" s="1" t="s">
        <v>15</v>
      </c>
    </row>
    <row r="70" spans="1:10" x14ac:dyDescent="0.2">
      <c r="A70" s="5">
        <v>45696</v>
      </c>
      <c r="B70" s="1" t="s">
        <v>491</v>
      </c>
      <c r="C70" s="1" t="s">
        <v>492</v>
      </c>
      <c r="D70" s="1" t="s">
        <v>64</v>
      </c>
      <c r="E70" s="1" t="s">
        <v>19</v>
      </c>
      <c r="F70" s="1"/>
      <c r="G70" s="6" t="s">
        <v>23</v>
      </c>
      <c r="H70" s="7">
        <v>75000</v>
      </c>
      <c r="I70" s="8">
        <v>32</v>
      </c>
      <c r="J70" s="1" t="s">
        <v>15</v>
      </c>
    </row>
    <row r="71" spans="1:10" x14ac:dyDescent="0.2">
      <c r="A71" s="5">
        <v>45696</v>
      </c>
      <c r="B71" s="1" t="s">
        <v>491</v>
      </c>
      <c r="C71" s="1" t="s">
        <v>493</v>
      </c>
      <c r="D71" s="1" t="s">
        <v>494</v>
      </c>
      <c r="E71" s="1"/>
      <c r="F71" s="1" t="s">
        <v>495</v>
      </c>
      <c r="G71" s="6" t="s">
        <v>23</v>
      </c>
      <c r="H71" s="7">
        <v>40000</v>
      </c>
      <c r="I71" s="8"/>
      <c r="J71" s="1" t="s">
        <v>15</v>
      </c>
    </row>
    <row r="72" spans="1:10" x14ac:dyDescent="0.2">
      <c r="A72" s="5">
        <v>45696</v>
      </c>
      <c r="B72" s="1" t="s">
        <v>125</v>
      </c>
      <c r="C72" s="1" t="s">
        <v>126</v>
      </c>
      <c r="D72" s="1" t="s">
        <v>32</v>
      </c>
      <c r="E72" s="1" t="s">
        <v>78</v>
      </c>
      <c r="F72" s="1"/>
      <c r="G72" s="6" t="s">
        <v>14</v>
      </c>
      <c r="H72" s="7">
        <v>55000</v>
      </c>
      <c r="I72" s="8"/>
      <c r="J72" s="1" t="s">
        <v>15</v>
      </c>
    </row>
    <row r="73" spans="1:10" x14ac:dyDescent="0.2">
      <c r="A73" s="5">
        <v>45696</v>
      </c>
      <c r="B73" s="1" t="s">
        <v>132</v>
      </c>
      <c r="C73" s="1" t="s">
        <v>133</v>
      </c>
      <c r="D73" s="1" t="s">
        <v>18</v>
      </c>
      <c r="E73" s="1" t="s">
        <v>19</v>
      </c>
      <c r="F73" s="1"/>
      <c r="G73" s="6" t="s">
        <v>14</v>
      </c>
      <c r="H73" s="7" t="s">
        <v>114</v>
      </c>
      <c r="I73" s="8"/>
      <c r="J73" s="1" t="s">
        <v>15</v>
      </c>
    </row>
    <row r="74" spans="1:10" x14ac:dyDescent="0.2">
      <c r="A74" s="5">
        <v>45696</v>
      </c>
      <c r="B74" s="1" t="s">
        <v>129</v>
      </c>
      <c r="C74" s="1" t="s">
        <v>130</v>
      </c>
      <c r="D74" s="1" t="s">
        <v>131</v>
      </c>
      <c r="E74" s="1" t="s">
        <v>13</v>
      </c>
      <c r="F74" s="1"/>
      <c r="G74" s="6" t="s">
        <v>14</v>
      </c>
      <c r="H74" s="7">
        <v>85000</v>
      </c>
      <c r="I74" s="8"/>
      <c r="J74" s="1" t="s">
        <v>15</v>
      </c>
    </row>
    <row r="75" spans="1:10" x14ac:dyDescent="0.2">
      <c r="A75" s="5">
        <v>45696</v>
      </c>
      <c r="B75" s="1" t="s">
        <v>496</v>
      </c>
      <c r="C75" s="1" t="s">
        <v>173</v>
      </c>
      <c r="D75" s="1" t="s">
        <v>64</v>
      </c>
      <c r="E75" s="1" t="s">
        <v>13</v>
      </c>
      <c r="F75" s="1"/>
      <c r="G75" s="6" t="s">
        <v>14</v>
      </c>
      <c r="H75" s="7">
        <v>85000</v>
      </c>
      <c r="I75" s="8">
        <v>7.3</v>
      </c>
      <c r="J75" s="1" t="s">
        <v>15</v>
      </c>
    </row>
    <row r="76" spans="1:10" x14ac:dyDescent="0.2">
      <c r="A76" s="5">
        <v>45696</v>
      </c>
      <c r="B76" s="1" t="s">
        <v>497</v>
      </c>
      <c r="C76" s="1" t="s">
        <v>498</v>
      </c>
      <c r="D76" s="1" t="s">
        <v>26</v>
      </c>
      <c r="E76" s="1" t="s">
        <v>19</v>
      </c>
      <c r="F76" s="1"/>
      <c r="G76" s="6" t="s">
        <v>14</v>
      </c>
      <c r="H76" s="7">
        <v>65000</v>
      </c>
      <c r="I76" s="8">
        <v>4</v>
      </c>
      <c r="J76" s="1" t="s">
        <v>34</v>
      </c>
    </row>
    <row r="77" spans="1:10" x14ac:dyDescent="0.2">
      <c r="A77" s="5">
        <v>45696</v>
      </c>
      <c r="B77" s="1" t="s">
        <v>499</v>
      </c>
      <c r="C77" s="1" t="s">
        <v>500</v>
      </c>
      <c r="D77" s="1" t="s">
        <v>340</v>
      </c>
      <c r="E77" s="1" t="s">
        <v>19</v>
      </c>
      <c r="F77" s="1"/>
      <c r="G77" s="6" t="s">
        <v>23</v>
      </c>
      <c r="H77" s="7">
        <v>30000</v>
      </c>
      <c r="I77" s="8">
        <v>5.7</v>
      </c>
      <c r="J77" s="1" t="s">
        <v>37</v>
      </c>
    </row>
    <row r="78" spans="1:10" x14ac:dyDescent="0.2">
      <c r="A78" s="5">
        <v>45696</v>
      </c>
      <c r="B78" s="1" t="s">
        <v>499</v>
      </c>
      <c r="C78" s="1" t="s">
        <v>501</v>
      </c>
      <c r="D78" s="1" t="s">
        <v>340</v>
      </c>
      <c r="E78" s="1" t="s">
        <v>19</v>
      </c>
      <c r="F78" s="1"/>
      <c r="G78" s="6" t="s">
        <v>23</v>
      </c>
      <c r="H78" s="7">
        <v>30000</v>
      </c>
      <c r="I78" s="8"/>
      <c r="J78" s="1" t="s">
        <v>15</v>
      </c>
    </row>
    <row r="79" spans="1:10" x14ac:dyDescent="0.2">
      <c r="A79" s="5">
        <v>45696</v>
      </c>
      <c r="B79" s="1" t="s">
        <v>499</v>
      </c>
      <c r="C79" s="1" t="s">
        <v>502</v>
      </c>
      <c r="D79" s="1" t="s">
        <v>340</v>
      </c>
      <c r="E79" s="1" t="s">
        <v>19</v>
      </c>
      <c r="F79" s="1"/>
      <c r="G79" s="6" t="s">
        <v>23</v>
      </c>
      <c r="H79" s="7">
        <v>30000</v>
      </c>
      <c r="I79" s="8"/>
      <c r="J79" s="1" t="s">
        <v>15</v>
      </c>
    </row>
    <row r="80" spans="1:10" x14ac:dyDescent="0.2">
      <c r="A80" s="5">
        <v>45696</v>
      </c>
      <c r="B80" s="1" t="s">
        <v>499</v>
      </c>
      <c r="C80" s="1" t="s">
        <v>503</v>
      </c>
      <c r="D80" s="1" t="s">
        <v>64</v>
      </c>
      <c r="E80" s="1" t="s">
        <v>181</v>
      </c>
      <c r="F80" s="1"/>
      <c r="G80" s="6" t="s">
        <v>14</v>
      </c>
      <c r="H80" s="7">
        <v>55000</v>
      </c>
      <c r="I80" s="8">
        <v>10.199999999999999</v>
      </c>
      <c r="J80" s="1" t="s">
        <v>15</v>
      </c>
    </row>
    <row r="81" spans="1:10" x14ac:dyDescent="0.2">
      <c r="A81" s="5">
        <v>45696</v>
      </c>
      <c r="B81" s="1" t="s">
        <v>504</v>
      </c>
      <c r="C81" s="1" t="s">
        <v>124</v>
      </c>
      <c r="D81" s="1" t="s">
        <v>64</v>
      </c>
      <c r="E81" s="1" t="s">
        <v>19</v>
      </c>
      <c r="F81" s="1"/>
      <c r="G81" s="6" t="s">
        <v>23</v>
      </c>
      <c r="H81" s="7">
        <v>60000</v>
      </c>
      <c r="I81" s="8">
        <v>15.8</v>
      </c>
      <c r="J81" s="1" t="s">
        <v>15</v>
      </c>
    </row>
    <row r="82" spans="1:10" x14ac:dyDescent="0.2">
      <c r="A82" s="5">
        <v>45696</v>
      </c>
      <c r="B82" s="1" t="s">
        <v>505</v>
      </c>
      <c r="C82" s="1" t="s">
        <v>506</v>
      </c>
      <c r="D82" s="1" t="s">
        <v>18</v>
      </c>
      <c r="E82" s="1" t="s">
        <v>19</v>
      </c>
      <c r="F82" s="1"/>
      <c r="G82" s="6" t="s">
        <v>14</v>
      </c>
      <c r="H82" s="7">
        <v>60000</v>
      </c>
      <c r="I82" s="8">
        <v>19.8</v>
      </c>
      <c r="J82" s="1" t="s">
        <v>15</v>
      </c>
    </row>
    <row r="83" spans="1:10" x14ac:dyDescent="0.2">
      <c r="A83" s="5">
        <v>45696</v>
      </c>
      <c r="B83" s="1"/>
      <c r="C83" s="1"/>
      <c r="D83" s="1"/>
      <c r="E83" s="1" t="s">
        <v>61</v>
      </c>
      <c r="F83" s="1"/>
      <c r="G83" s="6"/>
      <c r="H83" s="7">
        <v>20000</v>
      </c>
      <c r="I83" s="8"/>
      <c r="J83" s="1" t="s">
        <v>160</v>
      </c>
    </row>
    <row r="84" spans="1:10" x14ac:dyDescent="0.2">
      <c r="A84" s="5">
        <v>45696</v>
      </c>
      <c r="B84" s="1"/>
      <c r="C84" s="1"/>
      <c r="D84" s="1"/>
      <c r="E84" s="1" t="s">
        <v>61</v>
      </c>
      <c r="F84" s="1"/>
      <c r="G84" s="6"/>
      <c r="H84" s="7">
        <v>10000</v>
      </c>
      <c r="I84" s="8"/>
      <c r="J84" s="1" t="s">
        <v>160</v>
      </c>
    </row>
    <row r="85" spans="1:10" x14ac:dyDescent="0.2">
      <c r="A85" s="5">
        <v>45696</v>
      </c>
      <c r="B85" s="1"/>
      <c r="C85" s="1"/>
      <c r="D85" s="1"/>
      <c r="E85" s="1" t="s">
        <v>61</v>
      </c>
      <c r="F85" s="1"/>
      <c r="G85" s="6"/>
      <c r="H85" s="7">
        <v>10000</v>
      </c>
      <c r="I85" s="1"/>
      <c r="J85" s="1" t="s">
        <v>160</v>
      </c>
    </row>
    <row r="86" spans="1:10" x14ac:dyDescent="0.2">
      <c r="A86" s="5">
        <v>45696</v>
      </c>
      <c r="B86" s="1"/>
      <c r="C86" s="1"/>
      <c r="D86" s="1"/>
      <c r="E86" s="1" t="s">
        <v>61</v>
      </c>
      <c r="F86" s="1"/>
      <c r="G86" s="6"/>
      <c r="H86" s="7">
        <v>10000</v>
      </c>
      <c r="I86" s="8"/>
      <c r="J86" s="1" t="s">
        <v>160</v>
      </c>
    </row>
    <row r="87" spans="1:10" x14ac:dyDescent="0.2">
      <c r="A87" s="5">
        <v>45696</v>
      </c>
      <c r="B87" s="1"/>
      <c r="C87" s="1"/>
      <c r="D87" s="1"/>
      <c r="E87" s="1" t="s">
        <v>61</v>
      </c>
      <c r="F87" s="1"/>
      <c r="G87" s="6"/>
      <c r="H87" s="7">
        <v>10000</v>
      </c>
      <c r="I87" s="1"/>
      <c r="J87" s="1" t="s">
        <v>160</v>
      </c>
    </row>
    <row r="88" spans="1:10" x14ac:dyDescent="0.2">
      <c r="A88" s="5">
        <v>45698</v>
      </c>
      <c r="B88" s="1" t="s">
        <v>507</v>
      </c>
      <c r="C88" s="1" t="s">
        <v>208</v>
      </c>
      <c r="D88" s="1" t="s">
        <v>165</v>
      </c>
      <c r="E88" s="1" t="s">
        <v>13</v>
      </c>
      <c r="F88" s="1"/>
      <c r="G88" s="6" t="s">
        <v>14</v>
      </c>
      <c r="H88" s="7">
        <v>75000</v>
      </c>
      <c r="I88" s="1">
        <v>4</v>
      </c>
      <c r="J88" s="1" t="s">
        <v>15</v>
      </c>
    </row>
    <row r="89" spans="1:10" x14ac:dyDescent="0.2">
      <c r="A89" s="5">
        <v>45698</v>
      </c>
      <c r="B89" s="1" t="s">
        <v>508</v>
      </c>
      <c r="C89" s="1" t="s">
        <v>398</v>
      </c>
      <c r="D89" s="1" t="s">
        <v>165</v>
      </c>
      <c r="E89" s="1" t="s">
        <v>13</v>
      </c>
      <c r="F89" s="1"/>
      <c r="G89" s="6" t="s">
        <v>14</v>
      </c>
      <c r="H89" s="7">
        <v>75000</v>
      </c>
      <c r="I89" s="8">
        <v>6.3</v>
      </c>
      <c r="J89" s="1" t="s">
        <v>15</v>
      </c>
    </row>
    <row r="90" spans="1:10" x14ac:dyDescent="0.2">
      <c r="A90" s="5">
        <v>45698</v>
      </c>
      <c r="B90" s="1" t="s">
        <v>149</v>
      </c>
      <c r="C90" s="1" t="s">
        <v>150</v>
      </c>
      <c r="D90" s="1" t="s">
        <v>32</v>
      </c>
      <c r="E90" s="1" t="s">
        <v>19</v>
      </c>
      <c r="F90" s="1"/>
      <c r="G90" s="6" t="s">
        <v>14</v>
      </c>
      <c r="H90" s="7">
        <v>55000</v>
      </c>
      <c r="I90" s="8">
        <v>3</v>
      </c>
      <c r="J90" s="1" t="s">
        <v>15</v>
      </c>
    </row>
    <row r="91" spans="1:10" x14ac:dyDescent="0.2">
      <c r="A91" s="5">
        <v>45698</v>
      </c>
      <c r="B91" s="1" t="s">
        <v>509</v>
      </c>
      <c r="C91" s="1" t="s">
        <v>510</v>
      </c>
      <c r="D91" s="1" t="s">
        <v>26</v>
      </c>
      <c r="E91" s="1" t="s">
        <v>13</v>
      </c>
      <c r="F91" s="1"/>
      <c r="G91" s="6" t="s">
        <v>14</v>
      </c>
      <c r="H91" s="7">
        <v>90000</v>
      </c>
      <c r="I91" s="8">
        <v>6.8</v>
      </c>
      <c r="J91" s="1" t="s">
        <v>15</v>
      </c>
    </row>
    <row r="92" spans="1:10" x14ac:dyDescent="0.2">
      <c r="A92" s="5">
        <v>45698</v>
      </c>
      <c r="B92" s="1" t="s">
        <v>511</v>
      </c>
      <c r="C92" s="1" t="s">
        <v>512</v>
      </c>
      <c r="D92" s="1" t="s">
        <v>32</v>
      </c>
      <c r="E92" s="1" t="s">
        <v>181</v>
      </c>
      <c r="F92" s="1"/>
      <c r="G92" s="6" t="s">
        <v>14</v>
      </c>
      <c r="H92" s="7">
        <v>70000</v>
      </c>
      <c r="I92" s="8">
        <v>9.5</v>
      </c>
      <c r="J92" s="1" t="s">
        <v>15</v>
      </c>
    </row>
    <row r="93" spans="1:10" x14ac:dyDescent="0.2">
      <c r="A93" s="5">
        <v>45698</v>
      </c>
      <c r="B93" s="1" t="s">
        <v>281</v>
      </c>
      <c r="C93" s="1" t="s">
        <v>282</v>
      </c>
      <c r="D93" s="1" t="s">
        <v>32</v>
      </c>
      <c r="E93" s="1" t="s">
        <v>19</v>
      </c>
      <c r="F93" s="1"/>
      <c r="G93" s="6" t="s">
        <v>14</v>
      </c>
      <c r="H93" s="7">
        <v>48000</v>
      </c>
      <c r="I93" s="8">
        <v>5.7</v>
      </c>
      <c r="J93" s="1" t="s">
        <v>34</v>
      </c>
    </row>
    <row r="94" spans="1:10" x14ac:dyDescent="0.2">
      <c r="A94" s="5">
        <v>45698</v>
      </c>
      <c r="B94" s="1" t="s">
        <v>513</v>
      </c>
      <c r="C94" s="1" t="s">
        <v>514</v>
      </c>
      <c r="D94" s="1" t="s">
        <v>45</v>
      </c>
      <c r="E94" s="1" t="s">
        <v>19</v>
      </c>
      <c r="F94" s="1"/>
      <c r="G94" s="6" t="s">
        <v>23</v>
      </c>
      <c r="H94" s="7">
        <v>55000</v>
      </c>
      <c r="I94" s="8">
        <v>13</v>
      </c>
      <c r="J94" s="1" t="s">
        <v>15</v>
      </c>
    </row>
    <row r="95" spans="1:10" x14ac:dyDescent="0.2">
      <c r="A95" s="5">
        <v>45699</v>
      </c>
      <c r="B95" s="1" t="s">
        <v>515</v>
      </c>
      <c r="C95" s="1" t="s">
        <v>516</v>
      </c>
      <c r="D95" s="1" t="s">
        <v>517</v>
      </c>
      <c r="E95" s="1" t="s">
        <v>13</v>
      </c>
      <c r="F95" s="1"/>
      <c r="G95" s="6" t="s">
        <v>14</v>
      </c>
      <c r="H95" s="7">
        <v>72000</v>
      </c>
      <c r="I95" s="8">
        <v>24</v>
      </c>
      <c r="J95" s="1" t="s">
        <v>15</v>
      </c>
    </row>
    <row r="96" spans="1:10" x14ac:dyDescent="0.2">
      <c r="A96" s="5">
        <v>45699</v>
      </c>
      <c r="B96" s="1" t="s">
        <v>518</v>
      </c>
      <c r="C96" s="1" t="s">
        <v>519</v>
      </c>
      <c r="D96" s="1" t="s">
        <v>26</v>
      </c>
      <c r="E96" s="1" t="s">
        <v>13</v>
      </c>
      <c r="F96" s="1"/>
      <c r="G96" s="6" t="s">
        <v>14</v>
      </c>
      <c r="H96" s="7">
        <v>80000</v>
      </c>
      <c r="I96" s="8">
        <v>9.3000000000000007</v>
      </c>
      <c r="J96" s="1" t="s">
        <v>15</v>
      </c>
    </row>
    <row r="97" spans="1:10" x14ac:dyDescent="0.2">
      <c r="A97" s="5">
        <v>45699</v>
      </c>
      <c r="B97" s="1" t="s">
        <v>520</v>
      </c>
      <c r="C97" s="1" t="s">
        <v>521</v>
      </c>
      <c r="D97" s="1" t="s">
        <v>32</v>
      </c>
      <c r="E97" s="1" t="s">
        <v>13</v>
      </c>
      <c r="F97" s="1"/>
      <c r="G97" s="6" t="s">
        <v>14</v>
      </c>
      <c r="H97" s="7">
        <v>70000</v>
      </c>
      <c r="I97" s="8"/>
      <c r="J97" s="1" t="s">
        <v>15</v>
      </c>
    </row>
    <row r="98" spans="1:10" x14ac:dyDescent="0.2">
      <c r="A98" s="5">
        <v>45699</v>
      </c>
      <c r="B98" s="1" t="s">
        <v>274</v>
      </c>
      <c r="C98" s="1" t="s">
        <v>522</v>
      </c>
      <c r="D98" s="1" t="s">
        <v>26</v>
      </c>
      <c r="E98" s="1" t="s">
        <v>181</v>
      </c>
      <c r="F98" s="1"/>
      <c r="G98" s="6" t="s">
        <v>14</v>
      </c>
      <c r="H98" s="7">
        <v>75000</v>
      </c>
      <c r="I98" s="8">
        <v>4.5999999999999996</v>
      </c>
      <c r="J98" s="1" t="s">
        <v>40</v>
      </c>
    </row>
    <row r="99" spans="1:10" x14ac:dyDescent="0.2">
      <c r="A99" s="5">
        <v>45699</v>
      </c>
      <c r="B99" s="1" t="s">
        <v>274</v>
      </c>
      <c r="C99" s="1" t="s">
        <v>457</v>
      </c>
      <c r="D99" s="1" t="s">
        <v>26</v>
      </c>
      <c r="E99" s="1" t="s">
        <v>181</v>
      </c>
      <c r="F99" s="1"/>
      <c r="G99" s="6" t="s">
        <v>14</v>
      </c>
      <c r="H99" s="7">
        <v>75000</v>
      </c>
      <c r="I99" s="8">
        <v>5.5</v>
      </c>
      <c r="J99" s="1" t="s">
        <v>40</v>
      </c>
    </row>
    <row r="100" spans="1:10" x14ac:dyDescent="0.2">
      <c r="A100" s="5">
        <v>45699</v>
      </c>
      <c r="B100" s="1" t="s">
        <v>523</v>
      </c>
      <c r="C100" s="1" t="s">
        <v>524</v>
      </c>
      <c r="D100" s="1" t="s">
        <v>131</v>
      </c>
      <c r="E100" s="1" t="s">
        <v>19</v>
      </c>
      <c r="F100" s="1"/>
      <c r="G100" s="6" t="s">
        <v>14</v>
      </c>
      <c r="H100" s="7">
        <v>100000</v>
      </c>
      <c r="I100" s="8">
        <v>40</v>
      </c>
      <c r="J100" s="1" t="s">
        <v>15</v>
      </c>
    </row>
    <row r="101" spans="1:10" x14ac:dyDescent="0.2">
      <c r="A101" s="5">
        <v>45699</v>
      </c>
      <c r="B101" s="1" t="s">
        <v>114</v>
      </c>
      <c r="C101" s="1" t="s">
        <v>114</v>
      </c>
      <c r="D101" s="1" t="s">
        <v>64</v>
      </c>
      <c r="E101" s="1" t="s">
        <v>61</v>
      </c>
      <c r="F101" s="1"/>
      <c r="G101" s="6" t="s">
        <v>23</v>
      </c>
      <c r="H101" s="7">
        <v>15000</v>
      </c>
      <c r="I101" s="8"/>
      <c r="J101" s="1" t="s">
        <v>160</v>
      </c>
    </row>
    <row r="102" spans="1:10" x14ac:dyDescent="0.2">
      <c r="A102" s="5">
        <v>45700</v>
      </c>
      <c r="B102" s="1" t="s">
        <v>134</v>
      </c>
      <c r="C102" s="1" t="s">
        <v>264</v>
      </c>
      <c r="D102" s="1" t="s">
        <v>88</v>
      </c>
      <c r="E102" s="1" t="s">
        <v>94</v>
      </c>
      <c r="F102" s="1" t="s">
        <v>109</v>
      </c>
      <c r="G102" s="6" t="s">
        <v>14</v>
      </c>
      <c r="H102" s="7">
        <v>140000</v>
      </c>
      <c r="I102" s="8"/>
      <c r="J102" s="1" t="s">
        <v>37</v>
      </c>
    </row>
    <row r="103" spans="1:10" x14ac:dyDescent="0.2">
      <c r="A103" s="5">
        <v>45700</v>
      </c>
      <c r="B103" s="1" t="s">
        <v>525</v>
      </c>
      <c r="C103" s="1" t="s">
        <v>398</v>
      </c>
      <c r="D103" s="1" t="s">
        <v>64</v>
      </c>
      <c r="E103" s="1" t="s">
        <v>19</v>
      </c>
      <c r="F103" s="1"/>
      <c r="G103" s="6" t="s">
        <v>23</v>
      </c>
      <c r="H103" s="7">
        <v>45000</v>
      </c>
      <c r="I103" s="8">
        <v>6.7</v>
      </c>
      <c r="J103" s="1" t="s">
        <v>37</v>
      </c>
    </row>
    <row r="104" spans="1:10" x14ac:dyDescent="0.2">
      <c r="A104" s="5">
        <v>45700</v>
      </c>
      <c r="B104" s="1" t="s">
        <v>525</v>
      </c>
      <c r="C104" s="1" t="s">
        <v>526</v>
      </c>
      <c r="D104" s="1" t="s">
        <v>64</v>
      </c>
      <c r="E104" s="1" t="s">
        <v>19</v>
      </c>
      <c r="F104" s="1"/>
      <c r="G104" s="6" t="s">
        <v>23</v>
      </c>
      <c r="H104" s="7">
        <v>50000</v>
      </c>
      <c r="I104" s="8">
        <v>10.3</v>
      </c>
      <c r="J104" s="1" t="s">
        <v>37</v>
      </c>
    </row>
    <row r="105" spans="1:10" x14ac:dyDescent="0.2">
      <c r="A105" s="5">
        <v>45700</v>
      </c>
      <c r="B105" s="1" t="s">
        <v>182</v>
      </c>
      <c r="C105" s="1" t="s">
        <v>183</v>
      </c>
      <c r="D105" s="1" t="s">
        <v>26</v>
      </c>
      <c r="E105" s="1" t="s">
        <v>19</v>
      </c>
      <c r="F105" s="1"/>
      <c r="G105" s="6" t="s">
        <v>14</v>
      </c>
      <c r="H105" s="7">
        <v>65000</v>
      </c>
      <c r="I105" s="8">
        <v>6</v>
      </c>
      <c r="J105" s="1" t="s">
        <v>37</v>
      </c>
    </row>
    <row r="106" spans="1:10" x14ac:dyDescent="0.2">
      <c r="A106" s="5">
        <v>45700</v>
      </c>
      <c r="B106" s="1" t="s">
        <v>527</v>
      </c>
      <c r="C106" s="1" t="s">
        <v>528</v>
      </c>
      <c r="D106" s="1" t="s">
        <v>32</v>
      </c>
      <c r="E106" s="1" t="s">
        <v>78</v>
      </c>
      <c r="F106" s="1"/>
      <c r="G106" s="6" t="s">
        <v>14</v>
      </c>
      <c r="H106" s="7">
        <v>75000</v>
      </c>
      <c r="I106" s="8">
        <v>8.9</v>
      </c>
      <c r="J106" s="1" t="s">
        <v>37</v>
      </c>
    </row>
    <row r="107" spans="1:10" x14ac:dyDescent="0.2">
      <c r="A107" s="5">
        <v>45700</v>
      </c>
      <c r="B107" s="1" t="s">
        <v>529</v>
      </c>
      <c r="C107" s="1" t="s">
        <v>530</v>
      </c>
      <c r="D107" s="1" t="s">
        <v>119</v>
      </c>
      <c r="E107" s="1" t="s">
        <v>19</v>
      </c>
      <c r="F107" s="1"/>
      <c r="G107" s="6" t="s">
        <v>23</v>
      </c>
      <c r="H107" s="7">
        <v>55000</v>
      </c>
      <c r="I107" s="8">
        <v>15.4</v>
      </c>
      <c r="J107" s="1" t="s">
        <v>37</v>
      </c>
    </row>
    <row r="108" spans="1:10" x14ac:dyDescent="0.2">
      <c r="A108" s="5">
        <v>45700</v>
      </c>
      <c r="B108" s="1" t="s">
        <v>531</v>
      </c>
      <c r="C108" s="1" t="s">
        <v>176</v>
      </c>
      <c r="D108" s="1" t="s">
        <v>26</v>
      </c>
      <c r="E108" s="1" t="s">
        <v>13</v>
      </c>
      <c r="F108" s="1"/>
      <c r="G108" s="6" t="s">
        <v>14</v>
      </c>
      <c r="H108" s="7">
        <v>65000</v>
      </c>
      <c r="I108" s="8">
        <v>6.3</v>
      </c>
      <c r="J108" s="1" t="s">
        <v>15</v>
      </c>
    </row>
    <row r="109" spans="1:10" x14ac:dyDescent="0.2">
      <c r="A109" s="5">
        <v>45700</v>
      </c>
      <c r="B109" s="1" t="s">
        <v>532</v>
      </c>
      <c r="C109" s="1" t="s">
        <v>398</v>
      </c>
      <c r="D109" s="1" t="s">
        <v>165</v>
      </c>
      <c r="E109" s="1" t="s">
        <v>13</v>
      </c>
      <c r="F109" s="1"/>
      <c r="G109" s="6" t="s">
        <v>14</v>
      </c>
      <c r="H109" s="7">
        <v>90000</v>
      </c>
      <c r="I109" s="8">
        <v>6.3</v>
      </c>
      <c r="J109" s="1" t="s">
        <v>15</v>
      </c>
    </row>
    <row r="110" spans="1:10" x14ac:dyDescent="0.2">
      <c r="A110" s="5">
        <v>45700</v>
      </c>
      <c r="B110" s="1" t="s">
        <v>27</v>
      </c>
      <c r="C110" s="1" t="s">
        <v>28</v>
      </c>
      <c r="D110" s="1" t="s">
        <v>29</v>
      </c>
      <c r="E110" s="1" t="s">
        <v>19</v>
      </c>
      <c r="F110" s="1"/>
      <c r="G110" s="6" t="s">
        <v>14</v>
      </c>
      <c r="H110" s="7">
        <v>55000</v>
      </c>
      <c r="I110" s="8">
        <v>13.2</v>
      </c>
      <c r="J110" s="1" t="s">
        <v>15</v>
      </c>
    </row>
    <row r="111" spans="1:10" x14ac:dyDescent="0.2">
      <c r="A111" s="5">
        <v>45700</v>
      </c>
      <c r="B111" s="1" t="s">
        <v>533</v>
      </c>
      <c r="C111" s="1" t="s">
        <v>173</v>
      </c>
      <c r="D111" s="1" t="s">
        <v>352</v>
      </c>
      <c r="E111" s="1" t="s">
        <v>19</v>
      </c>
      <c r="F111" s="1"/>
      <c r="G111" s="6" t="s">
        <v>23</v>
      </c>
      <c r="H111" s="7">
        <v>45000</v>
      </c>
      <c r="I111" s="8">
        <v>9.8000000000000007</v>
      </c>
      <c r="J111" s="1" t="s">
        <v>15</v>
      </c>
    </row>
    <row r="112" spans="1:10" x14ac:dyDescent="0.2">
      <c r="A112" s="5">
        <v>45701</v>
      </c>
      <c r="B112" s="1" t="s">
        <v>200</v>
      </c>
      <c r="C112" s="1" t="s">
        <v>201</v>
      </c>
      <c r="D112" s="1" t="s">
        <v>26</v>
      </c>
      <c r="E112" s="1" t="s">
        <v>13</v>
      </c>
      <c r="F112" s="1"/>
      <c r="G112" s="6" t="s">
        <v>14</v>
      </c>
      <c r="H112" s="7">
        <v>85000</v>
      </c>
      <c r="I112" s="8">
        <v>7.3</v>
      </c>
      <c r="J112" s="1" t="s">
        <v>15</v>
      </c>
    </row>
    <row r="113" spans="1:10" x14ac:dyDescent="0.2">
      <c r="A113" s="5">
        <v>45701</v>
      </c>
      <c r="B113" s="1" t="s">
        <v>534</v>
      </c>
      <c r="C113" s="1" t="s">
        <v>535</v>
      </c>
      <c r="D113" s="1" t="s">
        <v>119</v>
      </c>
      <c r="E113" s="1" t="s">
        <v>19</v>
      </c>
      <c r="F113" s="1"/>
      <c r="G113" s="6" t="s">
        <v>23</v>
      </c>
      <c r="H113" s="7">
        <v>55000</v>
      </c>
      <c r="I113" s="8">
        <v>13.2</v>
      </c>
      <c r="J113" s="1" t="s">
        <v>15</v>
      </c>
    </row>
    <row r="114" spans="1:10" x14ac:dyDescent="0.2">
      <c r="A114" s="5">
        <v>45701</v>
      </c>
      <c r="B114" s="1" t="s">
        <v>536</v>
      </c>
      <c r="C114" s="1" t="s">
        <v>537</v>
      </c>
      <c r="D114" s="1" t="s">
        <v>196</v>
      </c>
      <c r="E114" s="1" t="s">
        <v>94</v>
      </c>
      <c r="F114" s="1"/>
      <c r="G114" s="6" t="s">
        <v>14</v>
      </c>
      <c r="H114" s="7">
        <v>90000</v>
      </c>
      <c r="I114" s="8">
        <v>19.2</v>
      </c>
      <c r="J114" s="1" t="s">
        <v>15</v>
      </c>
    </row>
    <row r="115" spans="1:10" x14ac:dyDescent="0.2">
      <c r="A115" s="5">
        <v>45701</v>
      </c>
      <c r="B115" s="1" t="s">
        <v>538</v>
      </c>
      <c r="C115" s="1" t="s">
        <v>282</v>
      </c>
      <c r="D115" s="1" t="s">
        <v>32</v>
      </c>
      <c r="E115" s="1" t="s">
        <v>13</v>
      </c>
      <c r="F115" s="1"/>
      <c r="G115" s="6" t="s">
        <v>14</v>
      </c>
      <c r="H115" s="7">
        <v>60000</v>
      </c>
      <c r="I115" s="8">
        <v>3.8</v>
      </c>
      <c r="J115" s="1" t="s">
        <v>34</v>
      </c>
    </row>
    <row r="116" spans="1:10" x14ac:dyDescent="0.2">
      <c r="A116" s="5">
        <v>45701</v>
      </c>
      <c r="B116" s="1" t="s">
        <v>539</v>
      </c>
      <c r="C116" s="1" t="s">
        <v>442</v>
      </c>
      <c r="D116" s="1" t="s">
        <v>26</v>
      </c>
      <c r="E116" s="1" t="s">
        <v>13</v>
      </c>
      <c r="F116" s="1"/>
      <c r="G116" s="6" t="s">
        <v>14</v>
      </c>
      <c r="H116" s="7">
        <v>90000</v>
      </c>
      <c r="I116" s="8"/>
      <c r="J116" s="1" t="s">
        <v>40</v>
      </c>
    </row>
    <row r="117" spans="1:10" x14ac:dyDescent="0.2">
      <c r="A117" s="5">
        <v>45702</v>
      </c>
      <c r="B117" s="1" t="s">
        <v>256</v>
      </c>
      <c r="C117" s="1" t="s">
        <v>257</v>
      </c>
      <c r="D117" s="1" t="s">
        <v>32</v>
      </c>
      <c r="E117" s="1" t="s">
        <v>19</v>
      </c>
      <c r="F117" s="1"/>
      <c r="G117" s="6" t="s">
        <v>14</v>
      </c>
      <c r="H117" s="7" t="s">
        <v>114</v>
      </c>
      <c r="I117" s="8"/>
      <c r="J117" s="1" t="s">
        <v>160</v>
      </c>
    </row>
    <row r="118" spans="1:10" x14ac:dyDescent="0.2">
      <c r="A118" s="5">
        <v>45702</v>
      </c>
      <c r="B118" s="1" t="s">
        <v>540</v>
      </c>
      <c r="C118" s="1" t="s">
        <v>541</v>
      </c>
      <c r="D118" s="1" t="s">
        <v>165</v>
      </c>
      <c r="E118" s="1" t="s">
        <v>13</v>
      </c>
      <c r="F118" s="1"/>
      <c r="G118" s="6" t="s">
        <v>14</v>
      </c>
      <c r="H118" s="7">
        <v>90000</v>
      </c>
      <c r="I118" s="8">
        <v>6.3</v>
      </c>
      <c r="J118" s="1" t="s">
        <v>40</v>
      </c>
    </row>
    <row r="119" spans="1:10" x14ac:dyDescent="0.2">
      <c r="A119" s="5">
        <v>45702</v>
      </c>
      <c r="B119" s="1" t="s">
        <v>542</v>
      </c>
      <c r="C119" s="1" t="s">
        <v>301</v>
      </c>
      <c r="D119" s="1" t="s">
        <v>32</v>
      </c>
      <c r="E119" s="1" t="s">
        <v>13</v>
      </c>
      <c r="F119" s="1"/>
      <c r="G119" s="6" t="s">
        <v>14</v>
      </c>
      <c r="H119" s="7">
        <v>80000</v>
      </c>
      <c r="I119" s="8">
        <v>3.2</v>
      </c>
      <c r="J119" s="1" t="s">
        <v>34</v>
      </c>
    </row>
    <row r="120" spans="1:10" x14ac:dyDescent="0.2">
      <c r="A120" s="5">
        <v>45702</v>
      </c>
      <c r="B120" s="1" t="s">
        <v>543</v>
      </c>
      <c r="C120" s="1" t="s">
        <v>544</v>
      </c>
      <c r="D120" s="1" t="s">
        <v>26</v>
      </c>
      <c r="E120" s="1" t="s">
        <v>13</v>
      </c>
      <c r="F120" s="1"/>
      <c r="G120" s="6" t="s">
        <v>14</v>
      </c>
      <c r="H120" s="7">
        <v>85000</v>
      </c>
      <c r="I120" s="8">
        <v>7.3</v>
      </c>
      <c r="J120" s="1" t="s">
        <v>15</v>
      </c>
    </row>
    <row r="121" spans="1:10" x14ac:dyDescent="0.2">
      <c r="A121" s="5">
        <v>45702</v>
      </c>
      <c r="B121" s="1" t="s">
        <v>545</v>
      </c>
      <c r="C121" s="1" t="s">
        <v>546</v>
      </c>
      <c r="D121" s="1" t="s">
        <v>32</v>
      </c>
      <c r="E121" s="1" t="s">
        <v>19</v>
      </c>
      <c r="F121" s="1"/>
      <c r="G121" s="6" t="s">
        <v>14</v>
      </c>
      <c r="H121" s="7" t="s">
        <v>114</v>
      </c>
      <c r="I121" s="8"/>
      <c r="J121" s="1" t="s">
        <v>34</v>
      </c>
    </row>
    <row r="122" spans="1:10" x14ac:dyDescent="0.2">
      <c r="A122" s="5">
        <v>45702</v>
      </c>
      <c r="B122" s="1" t="s">
        <v>547</v>
      </c>
      <c r="C122" s="1" t="s">
        <v>548</v>
      </c>
      <c r="D122" s="1" t="s">
        <v>18</v>
      </c>
      <c r="E122" s="1" t="s">
        <v>13</v>
      </c>
      <c r="F122" s="1"/>
      <c r="G122" s="6" t="s">
        <v>14</v>
      </c>
      <c r="H122" s="7">
        <v>90000</v>
      </c>
      <c r="I122" s="8"/>
      <c r="J122" s="1" t="s">
        <v>15</v>
      </c>
    </row>
    <row r="123" spans="1:10" x14ac:dyDescent="0.2">
      <c r="A123" s="5">
        <v>45702</v>
      </c>
      <c r="B123" s="1" t="s">
        <v>549</v>
      </c>
      <c r="C123" s="1" t="s">
        <v>550</v>
      </c>
      <c r="D123" s="1" t="s">
        <v>26</v>
      </c>
      <c r="E123" s="1" t="s">
        <v>13</v>
      </c>
      <c r="F123" s="1"/>
      <c r="G123" s="6" t="s">
        <v>14</v>
      </c>
      <c r="H123" s="7">
        <v>75000</v>
      </c>
      <c r="I123" s="8"/>
      <c r="J123" s="1" t="s">
        <v>15</v>
      </c>
    </row>
    <row r="124" spans="1:10" x14ac:dyDescent="0.2">
      <c r="A124" s="5">
        <v>45702</v>
      </c>
      <c r="B124" s="1" t="s">
        <v>107</v>
      </c>
      <c r="C124" s="1" t="s">
        <v>108</v>
      </c>
      <c r="D124" s="1" t="s">
        <v>32</v>
      </c>
      <c r="E124" s="1" t="s">
        <v>113</v>
      </c>
      <c r="F124" s="1"/>
      <c r="G124" s="6" t="s">
        <v>14</v>
      </c>
      <c r="H124" s="7" t="s">
        <v>114</v>
      </c>
      <c r="I124" s="8"/>
      <c r="J124" s="1" t="s">
        <v>15</v>
      </c>
    </row>
    <row r="125" spans="1:10" x14ac:dyDescent="0.2">
      <c r="A125" s="5">
        <v>45702</v>
      </c>
      <c r="B125" s="1" t="s">
        <v>551</v>
      </c>
      <c r="C125" s="1" t="s">
        <v>552</v>
      </c>
      <c r="D125" s="1" t="s">
        <v>88</v>
      </c>
      <c r="E125" s="1" t="s">
        <v>19</v>
      </c>
      <c r="F125" s="1"/>
      <c r="G125" s="6" t="s">
        <v>14</v>
      </c>
      <c r="H125" s="7">
        <v>60000</v>
      </c>
      <c r="I125" s="8"/>
      <c r="J125" s="1" t="s">
        <v>15</v>
      </c>
    </row>
    <row r="126" spans="1:10" x14ac:dyDescent="0.2">
      <c r="A126" s="5">
        <v>45703</v>
      </c>
      <c r="B126" s="1" t="s">
        <v>553</v>
      </c>
      <c r="C126" s="1" t="s">
        <v>554</v>
      </c>
      <c r="D126" s="1" t="s">
        <v>18</v>
      </c>
      <c r="E126" s="1" t="s">
        <v>13</v>
      </c>
      <c r="F126" s="1"/>
      <c r="G126" s="6" t="s">
        <v>14</v>
      </c>
      <c r="H126" s="7">
        <v>70000</v>
      </c>
      <c r="I126" s="8">
        <v>9.5</v>
      </c>
      <c r="J126" s="1" t="s">
        <v>15</v>
      </c>
    </row>
    <row r="127" spans="1:10" x14ac:dyDescent="0.2">
      <c r="A127" s="5">
        <v>45703</v>
      </c>
      <c r="B127" s="1" t="s">
        <v>555</v>
      </c>
      <c r="C127" s="1" t="s">
        <v>556</v>
      </c>
      <c r="D127" s="1" t="s">
        <v>42</v>
      </c>
      <c r="E127" s="1" t="s">
        <v>19</v>
      </c>
      <c r="F127" s="1"/>
      <c r="G127" s="6" t="s">
        <v>23</v>
      </c>
      <c r="H127" s="7">
        <v>50000</v>
      </c>
      <c r="I127" s="8">
        <v>6.2</v>
      </c>
      <c r="J127" s="1" t="s">
        <v>15</v>
      </c>
    </row>
    <row r="128" spans="1:10" x14ac:dyDescent="0.2">
      <c r="A128" s="5">
        <v>45703</v>
      </c>
      <c r="B128" s="1" t="s">
        <v>557</v>
      </c>
      <c r="C128" s="1" t="s">
        <v>558</v>
      </c>
      <c r="D128" s="1" t="s">
        <v>64</v>
      </c>
      <c r="E128" s="1" t="s">
        <v>19</v>
      </c>
      <c r="F128" s="1"/>
      <c r="G128" s="6" t="s">
        <v>23</v>
      </c>
      <c r="H128" s="7">
        <v>65000</v>
      </c>
      <c r="I128" s="8">
        <v>12.7</v>
      </c>
      <c r="J128" s="1" t="s">
        <v>15</v>
      </c>
    </row>
    <row r="129" spans="1:10" x14ac:dyDescent="0.2">
      <c r="A129" s="5">
        <v>45703</v>
      </c>
      <c r="B129" s="1" t="s">
        <v>557</v>
      </c>
      <c r="C129" s="1" t="s">
        <v>46</v>
      </c>
      <c r="D129" s="1" t="s">
        <v>64</v>
      </c>
      <c r="E129" s="1" t="s">
        <v>181</v>
      </c>
      <c r="F129" s="1"/>
      <c r="G129" s="6" t="s">
        <v>23</v>
      </c>
      <c r="H129" s="7">
        <v>60000</v>
      </c>
      <c r="I129" s="8">
        <v>10.7</v>
      </c>
      <c r="J129" s="1" t="s">
        <v>15</v>
      </c>
    </row>
    <row r="130" spans="1:10" x14ac:dyDescent="0.2">
      <c r="A130" s="5">
        <v>45703</v>
      </c>
      <c r="B130" s="1" t="s">
        <v>35</v>
      </c>
      <c r="C130" s="1" t="s">
        <v>36</v>
      </c>
      <c r="D130" s="1" t="s">
        <v>18</v>
      </c>
      <c r="E130" s="1" t="s">
        <v>19</v>
      </c>
      <c r="F130" s="1"/>
      <c r="G130" s="6" t="s">
        <v>14</v>
      </c>
      <c r="H130" s="7" t="s">
        <v>114</v>
      </c>
      <c r="I130" s="8"/>
      <c r="J130" s="1" t="s">
        <v>15</v>
      </c>
    </row>
    <row r="131" spans="1:10" x14ac:dyDescent="0.2">
      <c r="A131" s="5">
        <v>45703</v>
      </c>
      <c r="B131" s="1" t="s">
        <v>559</v>
      </c>
      <c r="C131" s="1" t="s">
        <v>247</v>
      </c>
      <c r="D131" s="1" t="s">
        <v>12</v>
      </c>
      <c r="E131" s="1" t="s">
        <v>13</v>
      </c>
      <c r="F131" s="1"/>
      <c r="G131" s="6" t="s">
        <v>14</v>
      </c>
      <c r="H131" s="7">
        <v>80000</v>
      </c>
      <c r="I131" s="8">
        <v>5.6</v>
      </c>
      <c r="J131" s="1" t="s">
        <v>15</v>
      </c>
    </row>
    <row r="132" spans="1:10" x14ac:dyDescent="0.2">
      <c r="A132" s="5">
        <v>45703</v>
      </c>
      <c r="B132" s="1" t="s">
        <v>560</v>
      </c>
      <c r="C132" s="1" t="s">
        <v>303</v>
      </c>
      <c r="D132" s="1" t="s">
        <v>49</v>
      </c>
      <c r="E132" s="1" t="s">
        <v>19</v>
      </c>
      <c r="F132" s="1"/>
      <c r="G132" s="6" t="s">
        <v>23</v>
      </c>
      <c r="H132" s="7">
        <v>30000</v>
      </c>
      <c r="I132" s="8"/>
      <c r="J132" s="1" t="s">
        <v>15</v>
      </c>
    </row>
    <row r="133" spans="1:10" x14ac:dyDescent="0.2">
      <c r="A133" s="5">
        <v>45703</v>
      </c>
      <c r="B133" s="1" t="s">
        <v>561</v>
      </c>
      <c r="C133" s="1" t="s">
        <v>401</v>
      </c>
      <c r="D133" s="1" t="s">
        <v>18</v>
      </c>
      <c r="E133" s="1" t="s">
        <v>19</v>
      </c>
      <c r="F133" s="1"/>
      <c r="G133" s="6" t="s">
        <v>14</v>
      </c>
      <c r="H133" s="7">
        <v>75000</v>
      </c>
      <c r="I133" s="8">
        <v>8.9</v>
      </c>
      <c r="J133" s="1"/>
    </row>
    <row r="134" spans="1:10" x14ac:dyDescent="0.2">
      <c r="A134" s="5">
        <v>45703</v>
      </c>
      <c r="B134" s="1" t="s">
        <v>562</v>
      </c>
      <c r="C134" s="1" t="s">
        <v>563</v>
      </c>
      <c r="D134" s="1" t="s">
        <v>32</v>
      </c>
      <c r="E134" s="1" t="s">
        <v>19</v>
      </c>
      <c r="F134" s="1"/>
      <c r="G134" s="6" t="s">
        <v>14</v>
      </c>
      <c r="H134" s="7">
        <v>65000</v>
      </c>
      <c r="I134" s="8">
        <v>2.2999999999999998</v>
      </c>
      <c r="J134" s="1"/>
    </row>
    <row r="135" spans="1:10" x14ac:dyDescent="0.2">
      <c r="A135" s="5">
        <v>45705</v>
      </c>
      <c r="B135" s="1" t="s">
        <v>564</v>
      </c>
      <c r="C135" s="1" t="s">
        <v>565</v>
      </c>
      <c r="D135" s="1" t="s">
        <v>196</v>
      </c>
      <c r="E135" s="1" t="s">
        <v>94</v>
      </c>
      <c r="F135" s="1"/>
      <c r="G135" s="6" t="s">
        <v>14</v>
      </c>
      <c r="H135" s="7">
        <v>90000</v>
      </c>
      <c r="I135" s="8">
        <v>31.9</v>
      </c>
      <c r="J135" s="1" t="s">
        <v>15</v>
      </c>
    </row>
    <row r="136" spans="1:10" x14ac:dyDescent="0.2">
      <c r="A136" s="5">
        <v>45705</v>
      </c>
      <c r="B136" s="1" t="s">
        <v>566</v>
      </c>
      <c r="C136" s="1" t="s">
        <v>567</v>
      </c>
      <c r="D136" s="1" t="s">
        <v>26</v>
      </c>
      <c r="E136" s="1" t="s">
        <v>19</v>
      </c>
      <c r="F136" s="1"/>
      <c r="G136" s="6" t="s">
        <v>14</v>
      </c>
      <c r="H136" s="7">
        <v>68000</v>
      </c>
      <c r="I136" s="8">
        <v>7.6</v>
      </c>
      <c r="J136" s="1" t="s">
        <v>15</v>
      </c>
    </row>
    <row r="137" spans="1:10" x14ac:dyDescent="0.2">
      <c r="A137" s="5">
        <v>45705</v>
      </c>
      <c r="B137" s="1" t="s">
        <v>568</v>
      </c>
      <c r="C137" s="1" t="s">
        <v>237</v>
      </c>
      <c r="D137" s="1" t="s">
        <v>22</v>
      </c>
      <c r="E137" s="1" t="s">
        <v>19</v>
      </c>
      <c r="F137" s="1"/>
      <c r="G137" s="6" t="s">
        <v>23</v>
      </c>
      <c r="H137" s="7">
        <v>60000</v>
      </c>
      <c r="I137" s="8">
        <v>11.7</v>
      </c>
      <c r="J137" s="1" t="s">
        <v>15</v>
      </c>
    </row>
    <row r="138" spans="1:10" x14ac:dyDescent="0.2">
      <c r="A138" s="5">
        <v>45705</v>
      </c>
      <c r="B138" s="1" t="s">
        <v>569</v>
      </c>
      <c r="C138" s="1" t="s">
        <v>570</v>
      </c>
      <c r="D138" s="1" t="s">
        <v>165</v>
      </c>
      <c r="E138" s="1" t="s">
        <v>13</v>
      </c>
      <c r="F138" s="1"/>
      <c r="G138" s="6" t="s">
        <v>14</v>
      </c>
      <c r="H138" s="7">
        <v>60000</v>
      </c>
      <c r="I138" s="8"/>
      <c r="J138" s="1" t="s">
        <v>15</v>
      </c>
    </row>
    <row r="139" spans="1:10" x14ac:dyDescent="0.2">
      <c r="A139" s="5">
        <v>45705</v>
      </c>
      <c r="B139" s="1" t="s">
        <v>344</v>
      </c>
      <c r="C139" s="1" t="s">
        <v>25</v>
      </c>
      <c r="D139" s="1" t="s">
        <v>26</v>
      </c>
      <c r="E139" s="1" t="s">
        <v>19</v>
      </c>
      <c r="F139" s="1"/>
      <c r="G139" s="6" t="s">
        <v>14</v>
      </c>
      <c r="H139" s="7">
        <v>75000</v>
      </c>
      <c r="I139" s="8"/>
      <c r="J139" s="1" t="s">
        <v>15</v>
      </c>
    </row>
    <row r="140" spans="1:10" x14ac:dyDescent="0.2">
      <c r="A140" s="5">
        <v>45705</v>
      </c>
      <c r="B140" s="1" t="s">
        <v>111</v>
      </c>
      <c r="C140" s="1" t="s">
        <v>63</v>
      </c>
      <c r="D140" s="1" t="s">
        <v>112</v>
      </c>
      <c r="E140" s="1"/>
      <c r="F140" s="1"/>
      <c r="G140" s="6"/>
      <c r="H140" s="7" t="s">
        <v>114</v>
      </c>
      <c r="I140" s="8"/>
      <c r="J140" s="1" t="s">
        <v>15</v>
      </c>
    </row>
    <row r="141" spans="1:10" x14ac:dyDescent="0.2">
      <c r="A141" s="5">
        <v>45705</v>
      </c>
      <c r="B141" s="15" t="s">
        <v>571</v>
      </c>
      <c r="C141" s="15" t="s">
        <v>572</v>
      </c>
      <c r="D141" s="15" t="s">
        <v>119</v>
      </c>
      <c r="E141" s="15" t="s">
        <v>19</v>
      </c>
      <c r="F141" s="1"/>
      <c r="G141" s="6" t="s">
        <v>23</v>
      </c>
      <c r="H141" s="7">
        <v>55000</v>
      </c>
      <c r="I141" s="8">
        <v>13.2</v>
      </c>
      <c r="J141" s="1" t="s">
        <v>15</v>
      </c>
    </row>
    <row r="142" spans="1:10" x14ac:dyDescent="0.2">
      <c r="A142" s="5">
        <v>45706</v>
      </c>
      <c r="B142" s="1" t="s">
        <v>573</v>
      </c>
      <c r="C142" s="1" t="s">
        <v>546</v>
      </c>
      <c r="D142" s="1" t="s">
        <v>64</v>
      </c>
      <c r="E142" s="1" t="s">
        <v>13</v>
      </c>
      <c r="F142" s="1"/>
      <c r="G142" s="6" t="s">
        <v>23</v>
      </c>
      <c r="H142" s="7">
        <v>70000</v>
      </c>
      <c r="I142" s="8"/>
      <c r="J142" s="1" t="s">
        <v>15</v>
      </c>
    </row>
    <row r="143" spans="1:10" x14ac:dyDescent="0.2">
      <c r="A143" s="5">
        <v>45706</v>
      </c>
      <c r="B143" s="1" t="s">
        <v>573</v>
      </c>
      <c r="C143" s="1" t="s">
        <v>173</v>
      </c>
      <c r="D143" s="1" t="s">
        <v>119</v>
      </c>
      <c r="E143" s="1" t="s">
        <v>19</v>
      </c>
      <c r="F143" s="1"/>
      <c r="G143" s="6" t="s">
        <v>23</v>
      </c>
      <c r="H143" s="7">
        <v>60000</v>
      </c>
      <c r="I143" s="8"/>
      <c r="J143" s="1" t="s">
        <v>15</v>
      </c>
    </row>
    <row r="144" spans="1:10" x14ac:dyDescent="0.2">
      <c r="A144" s="5">
        <v>45706</v>
      </c>
      <c r="B144" s="1" t="s">
        <v>574</v>
      </c>
      <c r="C144" s="1" t="s">
        <v>575</v>
      </c>
      <c r="D144" s="1" t="s">
        <v>18</v>
      </c>
      <c r="E144" s="1" t="s">
        <v>13</v>
      </c>
      <c r="F144" s="1"/>
      <c r="G144" s="6" t="s">
        <v>14</v>
      </c>
      <c r="H144" s="7">
        <v>85000</v>
      </c>
      <c r="I144" s="8"/>
      <c r="J144" s="1" t="s">
        <v>15</v>
      </c>
    </row>
    <row r="145" spans="1:10" x14ac:dyDescent="0.2">
      <c r="A145" s="5">
        <v>45706</v>
      </c>
      <c r="B145" s="1" t="s">
        <v>576</v>
      </c>
      <c r="C145" s="1" t="s">
        <v>63</v>
      </c>
      <c r="D145" s="1" t="s">
        <v>49</v>
      </c>
      <c r="E145" s="1" t="s">
        <v>19</v>
      </c>
      <c r="F145" s="1"/>
      <c r="G145" s="6" t="s">
        <v>23</v>
      </c>
      <c r="H145" s="7">
        <v>25000</v>
      </c>
      <c r="I145" s="8"/>
      <c r="J145" s="1" t="s">
        <v>15</v>
      </c>
    </row>
    <row r="146" spans="1:10" x14ac:dyDescent="0.2">
      <c r="A146" s="5">
        <v>45706</v>
      </c>
      <c r="B146" s="1" t="s">
        <v>123</v>
      </c>
      <c r="C146" s="1" t="s">
        <v>124</v>
      </c>
      <c r="D146" s="1" t="s">
        <v>18</v>
      </c>
      <c r="E146" s="1" t="s">
        <v>13</v>
      </c>
      <c r="F146" s="1"/>
      <c r="G146" s="6" t="s">
        <v>14</v>
      </c>
      <c r="H146" s="7">
        <v>85000</v>
      </c>
      <c r="I146" s="8">
        <v>14.7</v>
      </c>
      <c r="J146" s="1" t="s">
        <v>15</v>
      </c>
    </row>
    <row r="147" spans="1:10" x14ac:dyDescent="0.2">
      <c r="A147" s="5">
        <v>45706</v>
      </c>
      <c r="B147" s="1" t="s">
        <v>577</v>
      </c>
      <c r="C147" s="1" t="s">
        <v>578</v>
      </c>
      <c r="D147" s="1" t="s">
        <v>579</v>
      </c>
      <c r="E147" s="1" t="s">
        <v>59</v>
      </c>
      <c r="F147" s="1"/>
      <c r="G147" s="6" t="s">
        <v>23</v>
      </c>
      <c r="H147" s="7">
        <v>75000</v>
      </c>
      <c r="I147" s="8">
        <v>1.6</v>
      </c>
      <c r="J147" s="1" t="s">
        <v>15</v>
      </c>
    </row>
    <row r="148" spans="1:10" x14ac:dyDescent="0.2">
      <c r="A148" s="5">
        <v>45706</v>
      </c>
      <c r="B148" s="1" t="s">
        <v>580</v>
      </c>
      <c r="C148" s="1" t="s">
        <v>275</v>
      </c>
      <c r="D148" s="1" t="s">
        <v>26</v>
      </c>
      <c r="E148" s="1" t="s">
        <v>13</v>
      </c>
      <c r="F148" s="1"/>
      <c r="G148" s="6" t="s">
        <v>14</v>
      </c>
      <c r="H148" s="7">
        <v>70000</v>
      </c>
      <c r="I148" s="8"/>
      <c r="J148" s="1" t="s">
        <v>15</v>
      </c>
    </row>
    <row r="149" spans="1:10" x14ac:dyDescent="0.2">
      <c r="A149" s="5">
        <v>45707</v>
      </c>
      <c r="B149" s="1" t="s">
        <v>581</v>
      </c>
      <c r="C149" s="1" t="s">
        <v>582</v>
      </c>
      <c r="D149" s="1" t="s">
        <v>131</v>
      </c>
      <c r="E149" s="1" t="s">
        <v>19</v>
      </c>
      <c r="F149" s="1"/>
      <c r="G149" s="6" t="s">
        <v>14</v>
      </c>
      <c r="H149" s="7">
        <v>80000</v>
      </c>
      <c r="I149" s="8">
        <v>39</v>
      </c>
      <c r="J149" s="1" t="s">
        <v>15</v>
      </c>
    </row>
    <row r="150" spans="1:10" x14ac:dyDescent="0.2">
      <c r="A150" s="5">
        <v>45707</v>
      </c>
      <c r="B150" s="1" t="s">
        <v>381</v>
      </c>
      <c r="C150" s="1" t="s">
        <v>233</v>
      </c>
      <c r="D150" s="1" t="s">
        <v>165</v>
      </c>
      <c r="E150" s="1" t="s">
        <v>19</v>
      </c>
      <c r="F150" s="1"/>
      <c r="G150" s="6" t="s">
        <v>14</v>
      </c>
      <c r="H150" s="7">
        <v>65000</v>
      </c>
      <c r="I150" s="8">
        <v>8.9</v>
      </c>
      <c r="J150" s="1" t="s">
        <v>15</v>
      </c>
    </row>
    <row r="151" spans="1:10" x14ac:dyDescent="0.2">
      <c r="A151" s="5">
        <v>45707</v>
      </c>
      <c r="B151" s="1" t="s">
        <v>381</v>
      </c>
      <c r="C151" s="1" t="s">
        <v>385</v>
      </c>
      <c r="D151" s="1" t="s">
        <v>119</v>
      </c>
      <c r="E151" s="1" t="s">
        <v>19</v>
      </c>
      <c r="F151" s="1"/>
      <c r="G151" s="6" t="s">
        <v>23</v>
      </c>
      <c r="H151" s="7">
        <v>50000</v>
      </c>
      <c r="I151" s="8">
        <v>8.4</v>
      </c>
      <c r="J151" s="1" t="s">
        <v>15</v>
      </c>
    </row>
    <row r="152" spans="1:10" x14ac:dyDescent="0.2">
      <c r="A152" s="5">
        <v>45707</v>
      </c>
      <c r="B152" s="1" t="s">
        <v>583</v>
      </c>
      <c r="C152" s="1" t="s">
        <v>450</v>
      </c>
      <c r="D152" s="1" t="s">
        <v>153</v>
      </c>
      <c r="E152" s="1" t="s">
        <v>19</v>
      </c>
      <c r="F152" s="1"/>
      <c r="G152" s="6" t="s">
        <v>14</v>
      </c>
      <c r="H152" s="7">
        <v>70000</v>
      </c>
      <c r="I152" s="8">
        <v>3.4</v>
      </c>
      <c r="J152" s="1" t="s">
        <v>15</v>
      </c>
    </row>
    <row r="153" spans="1:10" x14ac:dyDescent="0.2">
      <c r="A153" s="5">
        <v>45707</v>
      </c>
      <c r="B153" s="1" t="s">
        <v>584</v>
      </c>
      <c r="C153" s="1" t="s">
        <v>585</v>
      </c>
      <c r="D153" s="1" t="s">
        <v>22</v>
      </c>
      <c r="E153" s="1" t="s">
        <v>19</v>
      </c>
      <c r="F153" s="1"/>
      <c r="G153" s="6" t="s">
        <v>23</v>
      </c>
      <c r="H153" s="7">
        <v>55000</v>
      </c>
      <c r="I153" s="8"/>
      <c r="J153" s="1" t="s">
        <v>15</v>
      </c>
    </row>
    <row r="154" spans="1:10" x14ac:dyDescent="0.2">
      <c r="A154" s="5">
        <v>45708</v>
      </c>
      <c r="B154" s="1" t="s">
        <v>586</v>
      </c>
      <c r="C154" s="1" t="s">
        <v>587</v>
      </c>
      <c r="D154" s="1" t="s">
        <v>26</v>
      </c>
      <c r="E154" s="1" t="s">
        <v>13</v>
      </c>
      <c r="F154" s="1"/>
      <c r="G154" s="6" t="s">
        <v>14</v>
      </c>
      <c r="H154" s="7">
        <v>60000</v>
      </c>
      <c r="I154" s="8"/>
      <c r="J154" s="1" t="s">
        <v>15</v>
      </c>
    </row>
    <row r="155" spans="1:10" x14ac:dyDescent="0.2">
      <c r="A155" s="5">
        <v>45708</v>
      </c>
      <c r="B155" s="1" t="s">
        <v>586</v>
      </c>
      <c r="C155" s="1" t="s">
        <v>588</v>
      </c>
      <c r="D155" s="1" t="s">
        <v>165</v>
      </c>
      <c r="E155" s="1" t="s">
        <v>13</v>
      </c>
      <c r="F155" s="1"/>
      <c r="G155" s="6" t="s">
        <v>14</v>
      </c>
      <c r="H155" s="7">
        <v>60000</v>
      </c>
      <c r="I155" s="8"/>
      <c r="J155" s="1" t="s">
        <v>15</v>
      </c>
    </row>
    <row r="156" spans="1:10" x14ac:dyDescent="0.2">
      <c r="A156" s="5">
        <v>45708</v>
      </c>
      <c r="B156" s="1" t="s">
        <v>589</v>
      </c>
      <c r="C156" s="1" t="s">
        <v>590</v>
      </c>
      <c r="D156" s="1" t="s">
        <v>26</v>
      </c>
      <c r="E156" s="1" t="s">
        <v>13</v>
      </c>
      <c r="F156" s="1"/>
      <c r="G156" s="6" t="s">
        <v>14</v>
      </c>
      <c r="H156" s="7">
        <v>80000</v>
      </c>
      <c r="I156" s="8">
        <v>4.5999999999999996</v>
      </c>
      <c r="J156" s="1" t="s">
        <v>34</v>
      </c>
    </row>
    <row r="157" spans="1:10" x14ac:dyDescent="0.2">
      <c r="A157" s="5">
        <v>45708</v>
      </c>
      <c r="B157" s="1" t="s">
        <v>591</v>
      </c>
      <c r="C157" s="1" t="s">
        <v>592</v>
      </c>
      <c r="D157" s="1" t="s">
        <v>222</v>
      </c>
      <c r="E157" s="1" t="s">
        <v>19</v>
      </c>
      <c r="F157" s="1"/>
      <c r="G157" s="6" t="s">
        <v>23</v>
      </c>
      <c r="H157" s="7">
        <v>70000</v>
      </c>
      <c r="I157" s="8">
        <v>29</v>
      </c>
      <c r="J157" s="1" t="s">
        <v>15</v>
      </c>
    </row>
    <row r="158" spans="1:10" x14ac:dyDescent="0.2">
      <c r="A158" s="5">
        <v>45708</v>
      </c>
      <c r="B158" s="1" t="s">
        <v>593</v>
      </c>
      <c r="C158" s="1" t="s">
        <v>594</v>
      </c>
      <c r="D158" s="1" t="s">
        <v>122</v>
      </c>
      <c r="E158" s="1" t="s">
        <v>19</v>
      </c>
      <c r="F158" s="1"/>
      <c r="G158" s="6" t="s">
        <v>14</v>
      </c>
      <c r="H158" s="7">
        <v>90000</v>
      </c>
      <c r="I158" s="8">
        <v>30</v>
      </c>
      <c r="J158" s="1" t="s">
        <v>37</v>
      </c>
    </row>
    <row r="159" spans="1:10" x14ac:dyDescent="0.2">
      <c r="A159" s="5">
        <v>45708</v>
      </c>
      <c r="B159" s="1" t="s">
        <v>593</v>
      </c>
      <c r="C159" s="1" t="s">
        <v>595</v>
      </c>
      <c r="D159" s="1" t="s">
        <v>122</v>
      </c>
      <c r="E159" s="1" t="s">
        <v>19</v>
      </c>
      <c r="F159" s="1"/>
      <c r="G159" s="6" t="s">
        <v>14</v>
      </c>
      <c r="H159" s="7">
        <v>75000</v>
      </c>
      <c r="I159" s="8">
        <v>18</v>
      </c>
      <c r="J159" s="1" t="s">
        <v>15</v>
      </c>
    </row>
    <row r="160" spans="1:10" x14ac:dyDescent="0.2">
      <c r="A160" s="5">
        <v>45708</v>
      </c>
      <c r="B160" s="1" t="s">
        <v>314</v>
      </c>
      <c r="C160" s="1" t="s">
        <v>315</v>
      </c>
      <c r="D160" s="1" t="s">
        <v>26</v>
      </c>
      <c r="E160" s="1" t="s">
        <v>19</v>
      </c>
      <c r="F160" s="1"/>
      <c r="G160" s="6" t="s">
        <v>14</v>
      </c>
      <c r="H160" s="7">
        <v>65000</v>
      </c>
      <c r="I160" s="8">
        <v>10.7</v>
      </c>
      <c r="J160" s="1" t="s">
        <v>15</v>
      </c>
    </row>
    <row r="161" spans="1:10" x14ac:dyDescent="0.2">
      <c r="A161" s="5">
        <v>45708</v>
      </c>
      <c r="B161" s="1" t="s">
        <v>487</v>
      </c>
      <c r="C161" s="1" t="s">
        <v>596</v>
      </c>
      <c r="D161" s="1" t="s">
        <v>18</v>
      </c>
      <c r="E161" s="1" t="s">
        <v>13</v>
      </c>
      <c r="F161" s="1"/>
      <c r="G161" s="6" t="s">
        <v>14</v>
      </c>
      <c r="H161" s="7">
        <v>75000</v>
      </c>
      <c r="I161" s="8">
        <v>16.8</v>
      </c>
      <c r="J161" s="1" t="s">
        <v>15</v>
      </c>
    </row>
    <row r="162" spans="1:10" x14ac:dyDescent="0.2">
      <c r="A162" s="5">
        <v>45708</v>
      </c>
      <c r="B162" s="1"/>
      <c r="C162" s="1"/>
      <c r="D162" s="1"/>
      <c r="E162" s="1" t="s">
        <v>61</v>
      </c>
      <c r="F162" s="1"/>
      <c r="G162" s="6" t="s">
        <v>23</v>
      </c>
      <c r="H162" s="7">
        <v>10000</v>
      </c>
      <c r="I162" s="8"/>
      <c r="J162" s="1" t="s">
        <v>160</v>
      </c>
    </row>
    <row r="163" spans="1:10" x14ac:dyDescent="0.2">
      <c r="A163" s="5">
        <v>45709</v>
      </c>
      <c r="B163" s="1" t="s">
        <v>79</v>
      </c>
      <c r="C163" s="1" t="s">
        <v>80</v>
      </c>
      <c r="D163" s="1" t="s">
        <v>26</v>
      </c>
      <c r="E163" s="1" t="s">
        <v>13</v>
      </c>
      <c r="F163" s="1"/>
      <c r="G163" s="6" t="s">
        <v>14</v>
      </c>
      <c r="H163" s="7">
        <v>65000</v>
      </c>
      <c r="I163" s="8">
        <v>5.7</v>
      </c>
      <c r="J163" s="1" t="s">
        <v>40</v>
      </c>
    </row>
    <row r="164" spans="1:10" x14ac:dyDescent="0.2">
      <c r="A164" s="5">
        <v>45709</v>
      </c>
      <c r="B164" s="1" t="s">
        <v>597</v>
      </c>
      <c r="C164" s="1" t="s">
        <v>63</v>
      </c>
      <c r="D164" s="1" t="s">
        <v>32</v>
      </c>
      <c r="E164" s="1" t="s">
        <v>19</v>
      </c>
      <c r="F164" s="1"/>
      <c r="G164" s="6" t="s">
        <v>14</v>
      </c>
      <c r="H164" s="7">
        <v>80000</v>
      </c>
      <c r="I164" s="8">
        <v>4.7</v>
      </c>
      <c r="J164" s="1" t="s">
        <v>34</v>
      </c>
    </row>
    <row r="165" spans="1:10" x14ac:dyDescent="0.2">
      <c r="A165" s="5">
        <v>45709</v>
      </c>
      <c r="B165" s="1" t="s">
        <v>597</v>
      </c>
      <c r="C165" s="1" t="s">
        <v>598</v>
      </c>
      <c r="D165" s="1" t="s">
        <v>32</v>
      </c>
      <c r="E165" s="1" t="s">
        <v>19</v>
      </c>
      <c r="F165" s="1"/>
      <c r="G165" s="6" t="s">
        <v>14</v>
      </c>
      <c r="H165" s="7">
        <v>75000</v>
      </c>
      <c r="I165" s="8">
        <v>3.3</v>
      </c>
      <c r="J165" s="1" t="s">
        <v>34</v>
      </c>
    </row>
    <row r="166" spans="1:10" x14ac:dyDescent="0.2">
      <c r="A166" s="5">
        <v>45709</v>
      </c>
      <c r="B166" s="1" t="s">
        <v>599</v>
      </c>
      <c r="C166" s="1" t="s">
        <v>600</v>
      </c>
      <c r="D166" s="1" t="s">
        <v>32</v>
      </c>
      <c r="E166" s="1" t="s">
        <v>19</v>
      </c>
      <c r="F166" s="1"/>
      <c r="G166" s="6" t="s">
        <v>14</v>
      </c>
      <c r="H166" s="7">
        <v>60000</v>
      </c>
      <c r="I166" s="8">
        <v>3</v>
      </c>
      <c r="J166" s="1" t="s">
        <v>15</v>
      </c>
    </row>
    <row r="167" spans="1:10" x14ac:dyDescent="0.2">
      <c r="A167" s="5">
        <v>45709</v>
      </c>
      <c r="B167" s="1" t="s">
        <v>84</v>
      </c>
      <c r="C167" s="1" t="s">
        <v>85</v>
      </c>
      <c r="D167" s="1" t="s">
        <v>64</v>
      </c>
      <c r="E167" s="1" t="s">
        <v>19</v>
      </c>
      <c r="F167" s="1"/>
      <c r="G167" s="6" t="s">
        <v>23</v>
      </c>
      <c r="H167" s="7">
        <v>50000</v>
      </c>
      <c r="I167" s="8">
        <v>12</v>
      </c>
      <c r="J167" s="1" t="s">
        <v>15</v>
      </c>
    </row>
    <row r="168" spans="1:10" x14ac:dyDescent="0.2">
      <c r="A168" s="5">
        <v>45709</v>
      </c>
      <c r="B168" s="1" t="s">
        <v>306</v>
      </c>
      <c r="C168" s="1" t="s">
        <v>55</v>
      </c>
      <c r="D168" s="1" t="s">
        <v>307</v>
      </c>
      <c r="E168" s="1" t="s">
        <v>94</v>
      </c>
      <c r="F168" s="1"/>
      <c r="G168" s="6" t="s">
        <v>14</v>
      </c>
      <c r="H168" s="7">
        <v>90000</v>
      </c>
      <c r="I168" s="8"/>
      <c r="J168" s="1" t="s">
        <v>15</v>
      </c>
    </row>
    <row r="169" spans="1:10" x14ac:dyDescent="0.2">
      <c r="A169" s="5">
        <v>45709</v>
      </c>
      <c r="B169" s="1" t="s">
        <v>601</v>
      </c>
      <c r="C169" s="1" t="s">
        <v>294</v>
      </c>
      <c r="D169" s="1" t="s">
        <v>18</v>
      </c>
      <c r="E169" s="1" t="s">
        <v>19</v>
      </c>
      <c r="F169" s="1"/>
      <c r="G169" s="6" t="s">
        <v>14</v>
      </c>
      <c r="H169" s="7">
        <v>70000</v>
      </c>
      <c r="I169" s="8"/>
      <c r="J169" s="1" t="s">
        <v>15</v>
      </c>
    </row>
    <row r="170" spans="1:10" x14ac:dyDescent="0.2">
      <c r="A170" s="5">
        <v>45709</v>
      </c>
      <c r="B170" s="1" t="s">
        <v>602</v>
      </c>
      <c r="C170" s="1" t="s">
        <v>396</v>
      </c>
      <c r="D170" s="1" t="s">
        <v>32</v>
      </c>
      <c r="E170" s="1" t="s">
        <v>19</v>
      </c>
      <c r="F170" s="1"/>
      <c r="G170" s="6" t="s">
        <v>14</v>
      </c>
      <c r="H170" s="7" t="s">
        <v>114</v>
      </c>
      <c r="I170" s="8"/>
      <c r="J170" s="1" t="s">
        <v>15</v>
      </c>
    </row>
    <row r="171" spans="1:10" x14ac:dyDescent="0.2">
      <c r="A171" s="5">
        <v>45709</v>
      </c>
      <c r="B171" s="1" t="s">
        <v>111</v>
      </c>
      <c r="C171" s="1" t="s">
        <v>63</v>
      </c>
      <c r="D171" s="1" t="s">
        <v>112</v>
      </c>
      <c r="E171" s="1" t="s">
        <v>113</v>
      </c>
      <c r="F171" s="1"/>
      <c r="G171" s="6" t="s">
        <v>14</v>
      </c>
      <c r="H171" s="7" t="s">
        <v>114</v>
      </c>
      <c r="I171" s="8"/>
      <c r="J171" s="1" t="s">
        <v>34</v>
      </c>
    </row>
    <row r="172" spans="1:10" x14ac:dyDescent="0.2">
      <c r="A172" s="5">
        <v>45710</v>
      </c>
      <c r="B172" s="1" t="s">
        <v>603</v>
      </c>
      <c r="C172" s="1" t="s">
        <v>604</v>
      </c>
      <c r="D172" s="1" t="s">
        <v>18</v>
      </c>
      <c r="E172" s="1" t="s">
        <v>19</v>
      </c>
      <c r="F172" s="1"/>
      <c r="G172" s="6" t="s">
        <v>14</v>
      </c>
      <c r="H172" s="7">
        <v>50000</v>
      </c>
      <c r="I172" s="8">
        <v>7.3</v>
      </c>
      <c r="J172" s="1" t="s">
        <v>15</v>
      </c>
    </row>
    <row r="173" spans="1:10" x14ac:dyDescent="0.2">
      <c r="A173" s="5">
        <v>45710</v>
      </c>
      <c r="B173" s="1" t="s">
        <v>605</v>
      </c>
      <c r="C173" s="1" t="s">
        <v>606</v>
      </c>
      <c r="D173" s="1" t="s">
        <v>64</v>
      </c>
      <c r="E173" s="1" t="s">
        <v>19</v>
      </c>
      <c r="F173" s="1"/>
      <c r="G173" s="6" t="s">
        <v>23</v>
      </c>
      <c r="H173" s="7">
        <v>60000</v>
      </c>
      <c r="I173" s="8">
        <v>16.3</v>
      </c>
      <c r="J173" s="1" t="s">
        <v>15</v>
      </c>
    </row>
    <row r="174" spans="1:10" x14ac:dyDescent="0.2">
      <c r="A174" s="5">
        <v>45710</v>
      </c>
      <c r="B174" s="1" t="s">
        <v>607</v>
      </c>
      <c r="C174" s="1" t="s">
        <v>126</v>
      </c>
      <c r="D174" s="1" t="s">
        <v>32</v>
      </c>
      <c r="E174" s="1" t="s">
        <v>19</v>
      </c>
      <c r="F174" s="1"/>
      <c r="G174" s="6" t="s">
        <v>14</v>
      </c>
      <c r="H174" s="7">
        <v>55000</v>
      </c>
      <c r="I174" s="8"/>
      <c r="J174" s="1" t="s">
        <v>15</v>
      </c>
    </row>
    <row r="175" spans="1:10" x14ac:dyDescent="0.2">
      <c r="A175" s="5">
        <v>45710</v>
      </c>
      <c r="B175" s="1" t="s">
        <v>608</v>
      </c>
      <c r="C175" s="1" t="s">
        <v>609</v>
      </c>
      <c r="D175" s="1" t="s">
        <v>18</v>
      </c>
      <c r="E175" s="1" t="s">
        <v>13</v>
      </c>
      <c r="F175" s="1"/>
      <c r="G175" s="6" t="s">
        <v>14</v>
      </c>
      <c r="H175" s="7">
        <v>85000</v>
      </c>
      <c r="I175" s="8">
        <v>7.8</v>
      </c>
      <c r="J175" s="1" t="s">
        <v>34</v>
      </c>
    </row>
    <row r="176" spans="1:10" x14ac:dyDescent="0.2">
      <c r="A176" s="5">
        <v>45710</v>
      </c>
      <c r="B176" s="1" t="s">
        <v>132</v>
      </c>
      <c r="C176" s="1" t="s">
        <v>133</v>
      </c>
      <c r="D176" s="1" t="s">
        <v>18</v>
      </c>
      <c r="E176" s="1" t="s">
        <v>19</v>
      </c>
      <c r="F176" s="1"/>
      <c r="G176" s="6" t="s">
        <v>14</v>
      </c>
      <c r="H176" s="7" t="s">
        <v>114</v>
      </c>
      <c r="I176" s="8"/>
      <c r="J176" s="1" t="s">
        <v>15</v>
      </c>
    </row>
    <row r="177" spans="1:10" x14ac:dyDescent="0.2">
      <c r="A177" s="5">
        <v>45710</v>
      </c>
      <c r="B177" s="1" t="s">
        <v>545</v>
      </c>
      <c r="C177" s="1" t="s">
        <v>546</v>
      </c>
      <c r="D177" s="1" t="s">
        <v>32</v>
      </c>
      <c r="E177" s="1" t="s">
        <v>13</v>
      </c>
      <c r="F177" s="1"/>
      <c r="G177" s="6" t="s">
        <v>14</v>
      </c>
      <c r="H177" s="7" t="s">
        <v>114</v>
      </c>
      <c r="I177" s="8">
        <v>2.4</v>
      </c>
      <c r="J177" s="1" t="s">
        <v>34</v>
      </c>
    </row>
    <row r="178" spans="1:10" x14ac:dyDescent="0.2">
      <c r="A178" s="5">
        <v>45710</v>
      </c>
      <c r="B178" s="1" t="s">
        <v>236</v>
      </c>
      <c r="C178" s="1" t="s">
        <v>237</v>
      </c>
      <c r="D178" s="1" t="s">
        <v>18</v>
      </c>
      <c r="E178" s="1" t="s">
        <v>13</v>
      </c>
      <c r="F178" s="1"/>
      <c r="G178" s="6" t="s">
        <v>14</v>
      </c>
      <c r="H178" s="7">
        <v>75000</v>
      </c>
      <c r="I178" s="8">
        <v>17</v>
      </c>
      <c r="J178" s="1" t="s">
        <v>15</v>
      </c>
    </row>
    <row r="179" spans="1:10" x14ac:dyDescent="0.2">
      <c r="A179" s="5">
        <v>45710</v>
      </c>
      <c r="B179" s="1" t="s">
        <v>610</v>
      </c>
      <c r="C179" s="1" t="s">
        <v>611</v>
      </c>
      <c r="D179" s="1" t="s">
        <v>32</v>
      </c>
      <c r="E179" s="1" t="s">
        <v>19</v>
      </c>
      <c r="F179" s="1"/>
      <c r="G179" s="6" t="s">
        <v>14</v>
      </c>
      <c r="H179" s="7">
        <v>60000</v>
      </c>
      <c r="I179" s="8">
        <v>7.4</v>
      </c>
      <c r="J179" s="1" t="s">
        <v>15</v>
      </c>
    </row>
    <row r="180" spans="1:10" x14ac:dyDescent="0.2">
      <c r="A180" s="5">
        <v>45710</v>
      </c>
      <c r="B180" s="1" t="s">
        <v>610</v>
      </c>
      <c r="C180" s="1" t="s">
        <v>612</v>
      </c>
      <c r="D180" s="1" t="s">
        <v>32</v>
      </c>
      <c r="E180" s="1" t="s">
        <v>19</v>
      </c>
      <c r="F180" s="1"/>
      <c r="G180" s="6" t="s">
        <v>14</v>
      </c>
      <c r="H180" s="7">
        <v>50000</v>
      </c>
      <c r="I180" s="8">
        <v>4.5</v>
      </c>
      <c r="J180" s="1" t="s">
        <v>15</v>
      </c>
    </row>
    <row r="181" spans="1:10" x14ac:dyDescent="0.2">
      <c r="A181" s="5">
        <v>45710</v>
      </c>
      <c r="B181" s="1" t="s">
        <v>610</v>
      </c>
      <c r="C181" s="1" t="s">
        <v>613</v>
      </c>
      <c r="D181" s="1" t="s">
        <v>32</v>
      </c>
      <c r="E181" s="1" t="s">
        <v>19</v>
      </c>
      <c r="F181" s="1"/>
      <c r="G181" s="6" t="s">
        <v>14</v>
      </c>
      <c r="H181" s="7">
        <v>45000</v>
      </c>
      <c r="I181" s="8">
        <v>3.9</v>
      </c>
      <c r="J181" s="1" t="s">
        <v>15</v>
      </c>
    </row>
    <row r="182" spans="1:10" x14ac:dyDescent="0.2">
      <c r="A182" s="5">
        <v>45710</v>
      </c>
      <c r="B182" s="1" t="s">
        <v>610</v>
      </c>
      <c r="C182" s="1" t="s">
        <v>614</v>
      </c>
      <c r="D182" s="1" t="s">
        <v>32</v>
      </c>
      <c r="E182" s="1" t="s">
        <v>19</v>
      </c>
      <c r="F182" s="1"/>
      <c r="G182" s="6" t="s">
        <v>14</v>
      </c>
      <c r="H182" s="7">
        <v>45000</v>
      </c>
      <c r="I182" s="8">
        <v>3.2</v>
      </c>
      <c r="J182" s="1" t="s">
        <v>15</v>
      </c>
    </row>
    <row r="183" spans="1:10" x14ac:dyDescent="0.2">
      <c r="A183" s="5">
        <v>45710</v>
      </c>
      <c r="B183" s="1" t="s">
        <v>158</v>
      </c>
      <c r="C183" s="1" t="s">
        <v>159</v>
      </c>
      <c r="D183" s="1" t="s">
        <v>49</v>
      </c>
      <c r="E183" s="1" t="s">
        <v>61</v>
      </c>
      <c r="F183" s="1"/>
      <c r="G183" s="6" t="s">
        <v>23</v>
      </c>
      <c r="H183" s="7">
        <v>10000</v>
      </c>
      <c r="I183" s="8" t="s">
        <v>114</v>
      </c>
      <c r="J183" s="1" t="s">
        <v>160</v>
      </c>
    </row>
    <row r="184" spans="1:10" x14ac:dyDescent="0.2">
      <c r="A184" s="5">
        <v>45710</v>
      </c>
      <c r="B184" s="1"/>
      <c r="C184" s="1"/>
      <c r="D184" s="1"/>
      <c r="E184" s="1"/>
      <c r="F184" s="1" t="s">
        <v>615</v>
      </c>
      <c r="G184" s="6" t="s">
        <v>14</v>
      </c>
      <c r="H184" s="7">
        <v>10000</v>
      </c>
      <c r="I184" s="8" t="s">
        <v>114</v>
      </c>
      <c r="J184" s="1" t="s">
        <v>160</v>
      </c>
    </row>
    <row r="185" spans="1:10" x14ac:dyDescent="0.2">
      <c r="A185" s="5">
        <v>45712</v>
      </c>
      <c r="B185" s="1" t="s">
        <v>616</v>
      </c>
      <c r="C185" s="1" t="s">
        <v>617</v>
      </c>
      <c r="D185" s="1" t="s">
        <v>64</v>
      </c>
      <c r="E185" s="1" t="s">
        <v>19</v>
      </c>
      <c r="F185" s="1"/>
      <c r="G185" s="6" t="s">
        <v>23</v>
      </c>
      <c r="H185" s="7">
        <v>70000</v>
      </c>
      <c r="I185" s="8">
        <v>30</v>
      </c>
      <c r="J185" s="1" t="s">
        <v>15</v>
      </c>
    </row>
    <row r="186" spans="1:10" x14ac:dyDescent="0.2">
      <c r="A186" s="5">
        <v>45712</v>
      </c>
      <c r="B186" s="1" t="s">
        <v>316</v>
      </c>
      <c r="C186" s="1" t="s">
        <v>317</v>
      </c>
      <c r="D186" s="1" t="s">
        <v>26</v>
      </c>
      <c r="E186" s="1" t="s">
        <v>13</v>
      </c>
      <c r="F186" s="1"/>
      <c r="G186" s="6" t="s">
        <v>14</v>
      </c>
      <c r="H186" s="7">
        <v>75000</v>
      </c>
      <c r="I186" s="8">
        <v>5.5</v>
      </c>
      <c r="J186" s="1" t="s">
        <v>15</v>
      </c>
    </row>
    <row r="187" spans="1:10" x14ac:dyDescent="0.2">
      <c r="A187" s="5">
        <v>45712</v>
      </c>
      <c r="B187" s="1" t="s">
        <v>618</v>
      </c>
      <c r="C187" s="1" t="s">
        <v>619</v>
      </c>
      <c r="D187" s="1" t="s">
        <v>88</v>
      </c>
      <c r="E187" s="1" t="s">
        <v>94</v>
      </c>
      <c r="F187" s="1"/>
      <c r="G187" s="6" t="s">
        <v>14</v>
      </c>
      <c r="H187" s="7">
        <v>60000</v>
      </c>
      <c r="I187" s="8">
        <v>5.9</v>
      </c>
      <c r="J187" s="1" t="s">
        <v>15</v>
      </c>
    </row>
    <row r="188" spans="1:10" x14ac:dyDescent="0.2">
      <c r="A188" s="5">
        <v>45712</v>
      </c>
      <c r="B188" s="1" t="s">
        <v>620</v>
      </c>
      <c r="C188" s="1" t="s">
        <v>621</v>
      </c>
      <c r="D188" s="1" t="s">
        <v>64</v>
      </c>
      <c r="E188" s="1" t="s">
        <v>19</v>
      </c>
      <c r="F188" s="1"/>
      <c r="G188" s="6" t="s">
        <v>23</v>
      </c>
      <c r="H188" s="7">
        <v>70000</v>
      </c>
      <c r="I188" s="8">
        <v>21</v>
      </c>
      <c r="J188" s="1" t="s">
        <v>15</v>
      </c>
    </row>
    <row r="189" spans="1:10" x14ac:dyDescent="0.2">
      <c r="A189" s="5">
        <v>45712</v>
      </c>
      <c r="B189" s="1" t="s">
        <v>620</v>
      </c>
      <c r="C189" s="1" t="s">
        <v>356</v>
      </c>
      <c r="D189" s="1" t="s">
        <v>64</v>
      </c>
      <c r="E189" s="1" t="s">
        <v>19</v>
      </c>
      <c r="F189" s="1"/>
      <c r="G189" s="6" t="s">
        <v>23</v>
      </c>
      <c r="H189" s="7">
        <v>75000</v>
      </c>
      <c r="I189" s="8">
        <v>20</v>
      </c>
      <c r="J189" s="1" t="s">
        <v>15</v>
      </c>
    </row>
    <row r="190" spans="1:10" x14ac:dyDescent="0.2">
      <c r="A190" s="5">
        <v>45712</v>
      </c>
      <c r="B190" s="1" t="s">
        <v>622</v>
      </c>
      <c r="C190" s="1" t="s">
        <v>623</v>
      </c>
      <c r="D190" s="1" t="s">
        <v>18</v>
      </c>
      <c r="E190" s="1" t="s">
        <v>19</v>
      </c>
      <c r="F190" s="1"/>
      <c r="G190" s="6" t="s">
        <v>14</v>
      </c>
      <c r="H190" s="7">
        <v>75000</v>
      </c>
      <c r="I190" s="8">
        <v>14</v>
      </c>
      <c r="J190" s="1" t="s">
        <v>15</v>
      </c>
    </row>
    <row r="191" spans="1:10" x14ac:dyDescent="0.2">
      <c r="A191" s="5">
        <v>45712</v>
      </c>
      <c r="B191" s="1" t="s">
        <v>60</v>
      </c>
      <c r="C191" s="1" t="s">
        <v>55</v>
      </c>
      <c r="D191" s="1" t="s">
        <v>32</v>
      </c>
      <c r="E191" s="1" t="s">
        <v>19</v>
      </c>
      <c r="F191" s="1"/>
      <c r="G191" s="6" t="s">
        <v>14</v>
      </c>
      <c r="H191" s="7">
        <v>48000</v>
      </c>
      <c r="I191" s="8">
        <v>6.1</v>
      </c>
      <c r="J191" s="1" t="s">
        <v>34</v>
      </c>
    </row>
    <row r="192" spans="1:10" x14ac:dyDescent="0.2">
      <c r="A192" s="5">
        <v>45712</v>
      </c>
      <c r="B192" s="1" t="s">
        <v>624</v>
      </c>
      <c r="C192" s="1" t="s">
        <v>625</v>
      </c>
      <c r="D192" s="1" t="s">
        <v>64</v>
      </c>
      <c r="E192" s="1" t="s">
        <v>19</v>
      </c>
      <c r="F192" s="1"/>
      <c r="G192" s="6" t="s">
        <v>23</v>
      </c>
      <c r="H192" s="7">
        <v>60000</v>
      </c>
      <c r="I192" s="8" t="s">
        <v>114</v>
      </c>
      <c r="J192" s="1" t="s">
        <v>15</v>
      </c>
    </row>
    <row r="193" spans="1:10" x14ac:dyDescent="0.2">
      <c r="A193" s="5">
        <v>45712</v>
      </c>
      <c r="B193" s="1" t="s">
        <v>626</v>
      </c>
      <c r="C193" s="1" t="s">
        <v>627</v>
      </c>
      <c r="D193" s="1" t="s">
        <v>628</v>
      </c>
      <c r="E193" s="1" t="s">
        <v>19</v>
      </c>
      <c r="F193" s="1"/>
      <c r="G193" s="6" t="s">
        <v>23</v>
      </c>
      <c r="H193" s="7">
        <v>75000</v>
      </c>
      <c r="I193" s="8">
        <v>24</v>
      </c>
      <c r="J193" s="1" t="s">
        <v>15</v>
      </c>
    </row>
    <row r="194" spans="1:10" x14ac:dyDescent="0.2">
      <c r="A194" s="5">
        <v>45712</v>
      </c>
      <c r="B194" s="1" t="s">
        <v>626</v>
      </c>
      <c r="C194" s="1" t="s">
        <v>629</v>
      </c>
      <c r="D194" s="1" t="s">
        <v>628</v>
      </c>
      <c r="E194" s="1" t="s">
        <v>19</v>
      </c>
      <c r="F194" s="1"/>
      <c r="G194" s="6" t="s">
        <v>23</v>
      </c>
      <c r="H194" s="7">
        <v>75000</v>
      </c>
      <c r="I194" s="8">
        <v>25</v>
      </c>
      <c r="J194" s="1" t="s">
        <v>15</v>
      </c>
    </row>
    <row r="195" spans="1:10" x14ac:dyDescent="0.2">
      <c r="A195" s="5">
        <v>45713</v>
      </c>
      <c r="B195" s="1" t="s">
        <v>630</v>
      </c>
      <c r="C195" s="1" t="s">
        <v>631</v>
      </c>
      <c r="D195" s="1" t="s">
        <v>165</v>
      </c>
      <c r="E195" s="1" t="s">
        <v>13</v>
      </c>
      <c r="F195" s="1"/>
      <c r="G195" s="6" t="s">
        <v>14</v>
      </c>
      <c r="H195" s="7">
        <v>85000</v>
      </c>
      <c r="I195" s="8">
        <v>6</v>
      </c>
      <c r="J195" s="1" t="s">
        <v>15</v>
      </c>
    </row>
    <row r="196" spans="1:10" x14ac:dyDescent="0.2">
      <c r="A196" s="5">
        <v>45713</v>
      </c>
      <c r="B196" s="1" t="s">
        <v>632</v>
      </c>
      <c r="C196" s="1" t="s">
        <v>110</v>
      </c>
      <c r="D196" s="1" t="s">
        <v>88</v>
      </c>
      <c r="E196" s="1" t="s">
        <v>94</v>
      </c>
      <c r="F196" s="1"/>
      <c r="G196" s="6" t="s">
        <v>14</v>
      </c>
      <c r="H196" s="7">
        <v>70000</v>
      </c>
      <c r="I196" s="8">
        <v>8.6999999999999993</v>
      </c>
      <c r="J196" s="1" t="s">
        <v>15</v>
      </c>
    </row>
    <row r="197" spans="1:10" x14ac:dyDescent="0.2">
      <c r="A197" s="5">
        <v>45713</v>
      </c>
      <c r="B197" s="1" t="s">
        <v>633</v>
      </c>
      <c r="C197" s="1" t="s">
        <v>469</v>
      </c>
      <c r="D197" s="1" t="s">
        <v>26</v>
      </c>
      <c r="E197" s="1" t="s">
        <v>13</v>
      </c>
      <c r="F197" s="1"/>
      <c r="G197" s="6" t="s">
        <v>14</v>
      </c>
      <c r="H197" s="7">
        <v>80000</v>
      </c>
      <c r="I197" s="8">
        <v>6.4</v>
      </c>
      <c r="J197" s="1" t="s">
        <v>37</v>
      </c>
    </row>
    <row r="198" spans="1:10" x14ac:dyDescent="0.2">
      <c r="A198" s="5">
        <v>45713</v>
      </c>
      <c r="B198" s="1" t="s">
        <v>633</v>
      </c>
      <c r="C198" s="1" t="s">
        <v>634</v>
      </c>
      <c r="D198" s="1" t="s">
        <v>26</v>
      </c>
      <c r="E198" s="1" t="s">
        <v>13</v>
      </c>
      <c r="F198" s="1"/>
      <c r="G198" s="6" t="s">
        <v>14</v>
      </c>
      <c r="H198" s="7">
        <v>80000</v>
      </c>
      <c r="I198" s="1">
        <v>6.9</v>
      </c>
      <c r="J198" s="1" t="s">
        <v>37</v>
      </c>
    </row>
    <row r="199" spans="1:10" x14ac:dyDescent="0.2">
      <c r="A199" s="5">
        <v>45713</v>
      </c>
      <c r="B199" s="1" t="s">
        <v>635</v>
      </c>
      <c r="C199" s="1" t="s">
        <v>301</v>
      </c>
      <c r="D199" s="1" t="s">
        <v>32</v>
      </c>
      <c r="E199" s="1" t="s">
        <v>13</v>
      </c>
      <c r="F199" s="1"/>
      <c r="G199" s="6" t="s">
        <v>14</v>
      </c>
      <c r="H199" s="7">
        <v>70000</v>
      </c>
      <c r="I199" s="8">
        <v>1.4</v>
      </c>
      <c r="J199" s="1" t="s">
        <v>34</v>
      </c>
    </row>
    <row r="200" spans="1:10" x14ac:dyDescent="0.2">
      <c r="A200" s="5">
        <v>45713</v>
      </c>
      <c r="B200" s="1" t="s">
        <v>636</v>
      </c>
      <c r="C200" s="1" t="s">
        <v>275</v>
      </c>
      <c r="D200" s="1" t="s">
        <v>165</v>
      </c>
      <c r="E200" s="1" t="s">
        <v>19</v>
      </c>
      <c r="F200" s="1"/>
      <c r="G200" s="6" t="s">
        <v>14</v>
      </c>
      <c r="H200" s="7">
        <v>60000</v>
      </c>
      <c r="I200" s="8">
        <v>6.8</v>
      </c>
      <c r="J200" s="1" t="s">
        <v>15</v>
      </c>
    </row>
    <row r="201" spans="1:10" x14ac:dyDescent="0.2">
      <c r="A201" s="5">
        <v>45713</v>
      </c>
      <c r="B201" s="1" t="s">
        <v>636</v>
      </c>
      <c r="C201" s="1" t="s">
        <v>637</v>
      </c>
      <c r="D201" s="1" t="s">
        <v>165</v>
      </c>
      <c r="E201" s="1" t="s">
        <v>19</v>
      </c>
      <c r="F201" s="1"/>
      <c r="G201" s="6" t="s">
        <v>14</v>
      </c>
      <c r="H201" s="7">
        <v>60000</v>
      </c>
      <c r="I201" s="8">
        <v>8</v>
      </c>
      <c r="J201" s="1" t="s">
        <v>15</v>
      </c>
    </row>
    <row r="202" spans="1:10" x14ac:dyDescent="0.2">
      <c r="A202" s="5">
        <v>45713</v>
      </c>
      <c r="B202" s="1" t="s">
        <v>242</v>
      </c>
      <c r="C202" s="1" t="s">
        <v>243</v>
      </c>
      <c r="D202" s="1" t="s">
        <v>49</v>
      </c>
      <c r="E202" s="1" t="s">
        <v>19</v>
      </c>
      <c r="F202" s="1"/>
      <c r="G202" s="6" t="s">
        <v>23</v>
      </c>
      <c r="H202" s="7">
        <v>20000</v>
      </c>
      <c r="I202" s="8" t="s">
        <v>114</v>
      </c>
      <c r="J202" s="1" t="s">
        <v>15</v>
      </c>
    </row>
    <row r="203" spans="1:10" x14ac:dyDescent="0.2">
      <c r="A203" s="5">
        <v>45714</v>
      </c>
      <c r="B203" s="1" t="s">
        <v>638</v>
      </c>
      <c r="C203" s="1" t="s">
        <v>639</v>
      </c>
      <c r="D203" s="1" t="s">
        <v>64</v>
      </c>
      <c r="E203" s="1" t="s">
        <v>13</v>
      </c>
      <c r="F203" s="1"/>
      <c r="G203" s="6" t="s">
        <v>14</v>
      </c>
      <c r="H203" s="7">
        <v>75000</v>
      </c>
      <c r="I203" s="8">
        <v>5.5</v>
      </c>
      <c r="J203" s="1" t="s">
        <v>40</v>
      </c>
    </row>
    <row r="204" spans="1:10" x14ac:dyDescent="0.2">
      <c r="A204" s="5">
        <v>45714</v>
      </c>
      <c r="B204" s="1" t="s">
        <v>67</v>
      </c>
      <c r="C204" s="1" t="s">
        <v>68</v>
      </c>
      <c r="D204" s="1" t="s">
        <v>26</v>
      </c>
      <c r="E204" s="1" t="s">
        <v>19</v>
      </c>
      <c r="F204" s="1"/>
      <c r="G204" s="6" t="s">
        <v>14</v>
      </c>
      <c r="H204" s="7">
        <v>65000</v>
      </c>
      <c r="I204" s="8">
        <v>6.4</v>
      </c>
      <c r="J204" s="1" t="s">
        <v>40</v>
      </c>
    </row>
    <row r="205" spans="1:10" x14ac:dyDescent="0.2">
      <c r="A205" s="5">
        <v>45714</v>
      </c>
      <c r="B205" s="1" t="s">
        <v>640</v>
      </c>
      <c r="C205" s="1" t="s">
        <v>641</v>
      </c>
      <c r="D205" s="1" t="s">
        <v>165</v>
      </c>
      <c r="E205" s="1" t="s">
        <v>19</v>
      </c>
      <c r="F205" s="1" t="s">
        <v>642</v>
      </c>
      <c r="G205" s="6" t="s">
        <v>14</v>
      </c>
      <c r="H205" s="7">
        <v>80000</v>
      </c>
      <c r="I205" s="8">
        <v>4.9000000000000004</v>
      </c>
      <c r="J205" s="1" t="s">
        <v>15</v>
      </c>
    </row>
    <row r="206" spans="1:10" x14ac:dyDescent="0.2">
      <c r="A206" s="5">
        <v>45714</v>
      </c>
      <c r="B206" s="1" t="s">
        <v>643</v>
      </c>
      <c r="C206" s="1" t="s">
        <v>644</v>
      </c>
      <c r="D206" s="1" t="s">
        <v>32</v>
      </c>
      <c r="E206" s="1" t="s">
        <v>19</v>
      </c>
      <c r="F206" s="1"/>
      <c r="G206" s="6" t="s">
        <v>14</v>
      </c>
      <c r="H206" s="7">
        <v>65000</v>
      </c>
      <c r="I206" s="8">
        <v>5.2</v>
      </c>
      <c r="J206" s="1" t="s">
        <v>15</v>
      </c>
    </row>
    <row r="207" spans="1:10" x14ac:dyDescent="0.2">
      <c r="A207" s="5">
        <v>45714</v>
      </c>
      <c r="B207" s="1" t="s">
        <v>334</v>
      </c>
      <c r="C207" s="1" t="s">
        <v>335</v>
      </c>
      <c r="D207" s="1" t="s">
        <v>26</v>
      </c>
      <c r="E207" s="1" t="s">
        <v>19</v>
      </c>
      <c r="F207" s="1"/>
      <c r="G207" s="6" t="s">
        <v>14</v>
      </c>
      <c r="H207" s="7">
        <v>65000</v>
      </c>
      <c r="I207" s="1">
        <v>5.6</v>
      </c>
      <c r="J207" s="1" t="s">
        <v>34</v>
      </c>
    </row>
    <row r="208" spans="1:10" x14ac:dyDescent="0.2">
      <c r="A208" s="5">
        <v>45714</v>
      </c>
      <c r="B208" s="1" t="s">
        <v>645</v>
      </c>
      <c r="C208" s="1" t="s">
        <v>646</v>
      </c>
      <c r="D208" s="1" t="s">
        <v>18</v>
      </c>
      <c r="E208" s="1" t="s">
        <v>13</v>
      </c>
      <c r="F208" s="1"/>
      <c r="G208" s="6" t="s">
        <v>14</v>
      </c>
      <c r="H208" s="7">
        <v>85000</v>
      </c>
      <c r="I208" s="8">
        <v>12</v>
      </c>
      <c r="J208" s="1" t="s">
        <v>15</v>
      </c>
    </row>
    <row r="209" spans="1:10" x14ac:dyDescent="0.2">
      <c r="A209" s="5">
        <v>45714</v>
      </c>
      <c r="B209" s="1" t="s">
        <v>647</v>
      </c>
      <c r="C209" s="1" t="s">
        <v>251</v>
      </c>
      <c r="D209" s="1" t="s">
        <v>196</v>
      </c>
      <c r="E209" s="1" t="s">
        <v>94</v>
      </c>
      <c r="F209" s="1"/>
      <c r="G209" s="6" t="s">
        <v>14</v>
      </c>
      <c r="H209" s="7">
        <v>90000</v>
      </c>
      <c r="I209" s="8">
        <v>32.6</v>
      </c>
      <c r="J209" s="1" t="s">
        <v>15</v>
      </c>
    </row>
    <row r="210" spans="1:10" x14ac:dyDescent="0.2">
      <c r="A210" s="5">
        <v>45714</v>
      </c>
      <c r="B210" s="1" t="s">
        <v>648</v>
      </c>
      <c r="C210" s="1" t="s">
        <v>649</v>
      </c>
      <c r="D210" s="1" t="s">
        <v>42</v>
      </c>
      <c r="E210" s="1" t="s">
        <v>19</v>
      </c>
      <c r="F210" s="1"/>
      <c r="G210" s="6" t="s">
        <v>23</v>
      </c>
      <c r="H210" s="7">
        <v>50000</v>
      </c>
      <c r="I210" s="8">
        <v>3.1</v>
      </c>
      <c r="J210" s="1" t="s">
        <v>15</v>
      </c>
    </row>
    <row r="211" spans="1:10" x14ac:dyDescent="0.2">
      <c r="A211" s="5">
        <v>45715</v>
      </c>
      <c r="B211" s="1" t="s">
        <v>650</v>
      </c>
      <c r="C211" s="1" t="s">
        <v>623</v>
      </c>
      <c r="D211" s="1" t="s">
        <v>88</v>
      </c>
      <c r="E211" s="1" t="s">
        <v>13</v>
      </c>
      <c r="F211" s="1"/>
      <c r="G211" s="6" t="s">
        <v>14</v>
      </c>
      <c r="H211" s="7">
        <v>65000</v>
      </c>
      <c r="I211" s="8">
        <v>5.0999999999999996</v>
      </c>
      <c r="J211" s="1" t="s">
        <v>15</v>
      </c>
    </row>
    <row r="212" spans="1:10" x14ac:dyDescent="0.2">
      <c r="A212" s="5">
        <v>45715</v>
      </c>
      <c r="B212" s="1" t="s">
        <v>650</v>
      </c>
      <c r="C212" s="1" t="s">
        <v>651</v>
      </c>
      <c r="D212" s="1" t="s">
        <v>49</v>
      </c>
      <c r="E212" s="1" t="s">
        <v>19</v>
      </c>
      <c r="F212" s="1"/>
      <c r="G212" s="6" t="s">
        <v>23</v>
      </c>
      <c r="H212" s="7">
        <v>30000</v>
      </c>
      <c r="I212" s="8">
        <v>3.6</v>
      </c>
      <c r="J212" s="1" t="s">
        <v>15</v>
      </c>
    </row>
    <row r="213" spans="1:10" x14ac:dyDescent="0.2">
      <c r="A213" s="5">
        <v>45715</v>
      </c>
      <c r="B213" s="1" t="s">
        <v>650</v>
      </c>
      <c r="C213" s="1" t="s">
        <v>652</v>
      </c>
      <c r="D213" s="1" t="s">
        <v>119</v>
      </c>
      <c r="E213" s="1" t="s">
        <v>19</v>
      </c>
      <c r="F213" s="1"/>
      <c r="G213" s="6" t="s">
        <v>23</v>
      </c>
      <c r="H213" s="7">
        <v>50000</v>
      </c>
      <c r="I213" s="1">
        <v>9.1</v>
      </c>
      <c r="J213" s="1" t="s">
        <v>15</v>
      </c>
    </row>
    <row r="214" spans="1:10" x14ac:dyDescent="0.2">
      <c r="A214" s="5">
        <v>45715</v>
      </c>
      <c r="B214" s="1" t="s">
        <v>653</v>
      </c>
      <c r="C214" s="1" t="s">
        <v>654</v>
      </c>
      <c r="D214" s="1" t="s">
        <v>18</v>
      </c>
      <c r="E214" s="1" t="s">
        <v>19</v>
      </c>
      <c r="F214" s="1"/>
      <c r="G214" s="6" t="s">
        <v>14</v>
      </c>
      <c r="H214" s="7">
        <v>60000</v>
      </c>
      <c r="I214" s="8">
        <v>16.8</v>
      </c>
      <c r="J214" s="1" t="s">
        <v>15</v>
      </c>
    </row>
    <row r="215" spans="1:10" x14ac:dyDescent="0.2">
      <c r="A215" s="5">
        <v>45715</v>
      </c>
      <c r="B215" s="1" t="s">
        <v>653</v>
      </c>
      <c r="C215" s="1" t="s">
        <v>655</v>
      </c>
      <c r="D215" s="1" t="s">
        <v>32</v>
      </c>
      <c r="E215" s="1" t="s">
        <v>13</v>
      </c>
      <c r="F215" s="1"/>
      <c r="G215" s="6" t="s">
        <v>14</v>
      </c>
      <c r="H215" s="7">
        <v>65000</v>
      </c>
      <c r="I215" s="8">
        <v>3.5</v>
      </c>
      <c r="J215" s="1" t="s">
        <v>15</v>
      </c>
    </row>
    <row r="216" spans="1:10" x14ac:dyDescent="0.2">
      <c r="A216" s="5">
        <v>45715</v>
      </c>
      <c r="B216" s="1" t="s">
        <v>141</v>
      </c>
      <c r="C216" s="1" t="s">
        <v>142</v>
      </c>
      <c r="D216" s="1" t="s">
        <v>26</v>
      </c>
      <c r="E216" s="1" t="s">
        <v>13</v>
      </c>
      <c r="F216" s="1"/>
      <c r="G216" s="6" t="s">
        <v>14</v>
      </c>
      <c r="H216" s="7">
        <v>80000</v>
      </c>
      <c r="I216" s="8">
        <v>4.2</v>
      </c>
      <c r="J216" s="1" t="s">
        <v>15</v>
      </c>
    </row>
    <row r="217" spans="1:10" x14ac:dyDescent="0.2">
      <c r="A217" s="5">
        <v>45715</v>
      </c>
      <c r="B217" s="1" t="s">
        <v>656</v>
      </c>
      <c r="C217" s="1" t="s">
        <v>657</v>
      </c>
      <c r="D217" s="1" t="s">
        <v>64</v>
      </c>
      <c r="E217" s="1" t="s">
        <v>19</v>
      </c>
      <c r="F217" s="1"/>
      <c r="G217" s="6" t="s">
        <v>23</v>
      </c>
      <c r="H217" s="7">
        <v>60000</v>
      </c>
      <c r="I217" s="8">
        <v>10.5</v>
      </c>
      <c r="J217" s="1" t="s">
        <v>15</v>
      </c>
    </row>
    <row r="218" spans="1:10" x14ac:dyDescent="0.2">
      <c r="A218" s="5">
        <v>45715</v>
      </c>
      <c r="B218" s="1" t="s">
        <v>658</v>
      </c>
      <c r="C218" s="1" t="s">
        <v>51</v>
      </c>
      <c r="D218" s="1" t="s">
        <v>26</v>
      </c>
      <c r="E218" s="1" t="s">
        <v>19</v>
      </c>
      <c r="F218" s="1"/>
      <c r="G218" s="6" t="s">
        <v>14</v>
      </c>
      <c r="H218" s="7">
        <v>65000</v>
      </c>
      <c r="I218" s="8">
        <v>9.3000000000000007</v>
      </c>
      <c r="J218" s="1" t="s">
        <v>15</v>
      </c>
    </row>
    <row r="219" spans="1:10" x14ac:dyDescent="0.2">
      <c r="A219" s="5">
        <v>45716</v>
      </c>
      <c r="B219" s="1" t="s">
        <v>659</v>
      </c>
      <c r="C219" s="1" t="s">
        <v>389</v>
      </c>
      <c r="D219" s="1" t="s">
        <v>196</v>
      </c>
      <c r="E219" s="1" t="s">
        <v>94</v>
      </c>
      <c r="F219" s="1"/>
      <c r="G219" s="6" t="s">
        <v>14</v>
      </c>
      <c r="H219" s="7">
        <v>85000</v>
      </c>
      <c r="I219" s="8">
        <v>25.8</v>
      </c>
      <c r="J219" s="1" t="s">
        <v>15</v>
      </c>
    </row>
    <row r="220" spans="1:10" x14ac:dyDescent="0.2">
      <c r="A220" s="5">
        <v>45716</v>
      </c>
      <c r="B220" s="1" t="s">
        <v>256</v>
      </c>
      <c r="C220" s="1" t="s">
        <v>116</v>
      </c>
      <c r="D220" s="1" t="s">
        <v>32</v>
      </c>
      <c r="E220" s="1" t="s">
        <v>19</v>
      </c>
      <c r="F220" s="1"/>
      <c r="G220" s="6" t="s">
        <v>14</v>
      </c>
      <c r="H220" s="7" t="s">
        <v>114</v>
      </c>
      <c r="I220" s="8"/>
      <c r="J220" s="1" t="s">
        <v>160</v>
      </c>
    </row>
    <row r="221" spans="1:10" x14ac:dyDescent="0.2">
      <c r="A221" s="5">
        <v>45716</v>
      </c>
      <c r="B221" s="1" t="s">
        <v>134</v>
      </c>
      <c r="C221" s="1" t="s">
        <v>135</v>
      </c>
      <c r="D221" s="1" t="s">
        <v>88</v>
      </c>
      <c r="E221" s="1" t="s">
        <v>19</v>
      </c>
      <c r="F221" s="1"/>
      <c r="G221" s="6" t="s">
        <v>14</v>
      </c>
      <c r="H221" s="7" t="s">
        <v>114</v>
      </c>
      <c r="I221" s="8"/>
      <c r="J221" s="1" t="s">
        <v>15</v>
      </c>
    </row>
    <row r="222" spans="1:10" x14ac:dyDescent="0.2">
      <c r="A222" s="5">
        <v>45716</v>
      </c>
      <c r="B222" s="1" t="s">
        <v>660</v>
      </c>
      <c r="C222" s="1" t="s">
        <v>506</v>
      </c>
      <c r="D222" s="1" t="s">
        <v>18</v>
      </c>
      <c r="E222" s="1" t="s">
        <v>19</v>
      </c>
      <c r="F222" s="1"/>
      <c r="G222" s="6" t="s">
        <v>14</v>
      </c>
      <c r="H222" s="7">
        <v>70000</v>
      </c>
      <c r="I222" s="8">
        <v>14</v>
      </c>
      <c r="J222" s="1" t="s">
        <v>15</v>
      </c>
    </row>
    <row r="223" spans="1:10" x14ac:dyDescent="0.2">
      <c r="A223" s="5">
        <v>45716</v>
      </c>
      <c r="B223" s="1" t="s">
        <v>54</v>
      </c>
      <c r="C223" s="1" t="s">
        <v>55</v>
      </c>
      <c r="D223" s="1" t="s">
        <v>32</v>
      </c>
      <c r="E223" s="1" t="s">
        <v>19</v>
      </c>
      <c r="F223" s="1"/>
      <c r="G223" s="6" t="s">
        <v>14</v>
      </c>
      <c r="H223" s="7">
        <v>60000</v>
      </c>
      <c r="I223" s="8">
        <v>4</v>
      </c>
      <c r="J223" s="1" t="s">
        <v>15</v>
      </c>
    </row>
    <row r="224" spans="1:10" x14ac:dyDescent="0.2">
      <c r="A224" s="5">
        <v>45716</v>
      </c>
      <c r="B224" s="1" t="s">
        <v>324</v>
      </c>
      <c r="C224" s="1" t="s">
        <v>325</v>
      </c>
      <c r="D224" s="1" t="s">
        <v>165</v>
      </c>
      <c r="E224" s="1" t="s">
        <v>13</v>
      </c>
      <c r="F224" s="1" t="s">
        <v>91</v>
      </c>
      <c r="G224" s="6" t="s">
        <v>14</v>
      </c>
      <c r="H224" s="7">
        <f>70000+80000</f>
        <v>150000</v>
      </c>
      <c r="I224" s="8">
        <v>4.5999999999999996</v>
      </c>
      <c r="J224" s="1" t="s">
        <v>15</v>
      </c>
    </row>
    <row r="225" spans="1:10" x14ac:dyDescent="0.2">
      <c r="A225" s="5">
        <v>45716</v>
      </c>
      <c r="B225" s="1" t="s">
        <v>661</v>
      </c>
      <c r="C225" s="1" t="s">
        <v>662</v>
      </c>
      <c r="D225" s="1" t="s">
        <v>12</v>
      </c>
      <c r="E225" s="1" t="s">
        <v>13</v>
      </c>
      <c r="F225" s="1"/>
      <c r="G225" s="6" t="s">
        <v>14</v>
      </c>
      <c r="H225" s="7">
        <v>85000</v>
      </c>
      <c r="I225" s="8">
        <v>8.1999999999999993</v>
      </c>
      <c r="J225" s="1" t="s">
        <v>15</v>
      </c>
    </row>
    <row r="226" spans="1:10" x14ac:dyDescent="0.2">
      <c r="A226" s="5">
        <v>45716</v>
      </c>
      <c r="B226" s="1" t="s">
        <v>111</v>
      </c>
      <c r="C226" s="1" t="s">
        <v>63</v>
      </c>
      <c r="D226" s="1" t="s">
        <v>112</v>
      </c>
      <c r="E226" s="1" t="s">
        <v>19</v>
      </c>
      <c r="F226" s="1"/>
      <c r="G226" s="6" t="s">
        <v>14</v>
      </c>
      <c r="H226" s="7">
        <v>90000</v>
      </c>
      <c r="I226" s="8">
        <v>2.4</v>
      </c>
      <c r="J226" s="1" t="s">
        <v>34</v>
      </c>
    </row>
    <row r="227" spans="1:10" x14ac:dyDescent="0.2">
      <c r="A227" s="5">
        <v>45716</v>
      </c>
      <c r="B227" s="1" t="s">
        <v>143</v>
      </c>
      <c r="C227" s="1" t="s">
        <v>663</v>
      </c>
      <c r="D227" s="1" t="s">
        <v>49</v>
      </c>
      <c r="E227" s="1" t="s">
        <v>19</v>
      </c>
      <c r="F227" s="1"/>
      <c r="G227" s="6" t="s">
        <v>23</v>
      </c>
      <c r="H227" s="7">
        <v>25000</v>
      </c>
      <c r="I227" s="8">
        <v>2.9</v>
      </c>
      <c r="J227" s="1" t="s">
        <v>15</v>
      </c>
    </row>
    <row r="228" spans="1:10" x14ac:dyDescent="0.2">
      <c r="A228" s="5"/>
      <c r="B228" s="1"/>
      <c r="C228" s="1"/>
      <c r="D228" s="1"/>
      <c r="E228" s="1"/>
      <c r="F228" s="1"/>
      <c r="G228" s="6"/>
      <c r="H228" s="7"/>
      <c r="I228" s="8"/>
      <c r="J228" s="1"/>
    </row>
    <row r="229" spans="1:10" x14ac:dyDescent="0.2">
      <c r="A229" s="5"/>
      <c r="B229" s="1"/>
      <c r="C229" s="1"/>
      <c r="D229" s="1"/>
      <c r="E229" s="1"/>
      <c r="F229" s="1"/>
      <c r="G229" s="6"/>
      <c r="H229" s="7"/>
      <c r="I229" s="8"/>
      <c r="J229" s="1"/>
    </row>
    <row r="230" spans="1:10" x14ac:dyDescent="0.2">
      <c r="A230" s="5"/>
      <c r="B230" s="1"/>
      <c r="C230" s="1"/>
      <c r="D230" s="1"/>
      <c r="E230" s="1"/>
      <c r="F230" s="1"/>
      <c r="G230" s="6"/>
      <c r="H230" s="7"/>
      <c r="I230" s="8"/>
      <c r="J230" s="1"/>
    </row>
    <row r="231" spans="1:10" x14ac:dyDescent="0.2">
      <c r="A231" s="5"/>
      <c r="B231" s="1"/>
      <c r="C231" s="1"/>
      <c r="D231" s="1"/>
      <c r="E231" s="1"/>
      <c r="F231" s="1"/>
      <c r="G231" s="6"/>
      <c r="H231" s="7"/>
      <c r="I231" s="8"/>
      <c r="J231" s="1"/>
    </row>
    <row r="232" spans="1:10" x14ac:dyDescent="0.2">
      <c r="A232" s="5"/>
      <c r="B232" s="1"/>
      <c r="C232" s="1"/>
      <c r="D232" s="1"/>
      <c r="E232" s="1"/>
      <c r="F232" s="1"/>
      <c r="G232" s="6"/>
      <c r="H232" s="7"/>
      <c r="I232" s="8"/>
      <c r="J232" s="1"/>
    </row>
    <row r="233" spans="1:10" x14ac:dyDescent="0.2">
      <c r="A233" s="1"/>
      <c r="B233" s="1"/>
      <c r="C233" s="1"/>
      <c r="D233" s="1"/>
      <c r="E233" s="1"/>
      <c r="F233" s="1"/>
      <c r="G233" s="6"/>
      <c r="H233" s="7"/>
      <c r="I233" s="8"/>
      <c r="J233" s="1"/>
    </row>
    <row r="234" spans="1:10" x14ac:dyDescent="0.2">
      <c r="A234" s="1"/>
      <c r="B234" s="1"/>
      <c r="C234" s="1"/>
      <c r="D234" s="1"/>
      <c r="E234" s="1"/>
      <c r="F234" s="1"/>
      <c r="G234" s="6"/>
      <c r="H234" s="7"/>
      <c r="I234" s="8"/>
      <c r="J234" s="1"/>
    </row>
    <row r="235" spans="1:10" x14ac:dyDescent="0.2">
      <c r="A235" s="1"/>
      <c r="B235" s="1"/>
      <c r="C235" s="1"/>
      <c r="D235" s="1"/>
      <c r="E235" s="1"/>
      <c r="F235" s="1"/>
      <c r="G235" s="6"/>
      <c r="H235" s="7"/>
      <c r="I235" s="8"/>
      <c r="J235" s="1"/>
    </row>
    <row r="236" spans="1:10" x14ac:dyDescent="0.2">
      <c r="A236" s="1"/>
      <c r="B236" s="1"/>
      <c r="C236" s="1"/>
      <c r="D236" s="1"/>
      <c r="E236" s="1"/>
      <c r="F236" s="1"/>
      <c r="G236" s="6"/>
      <c r="H236" s="7"/>
      <c r="I236" s="8"/>
      <c r="J236" s="1"/>
    </row>
    <row r="237" spans="1:10" x14ac:dyDescent="0.2">
      <c r="A237" s="1"/>
      <c r="B237" s="1"/>
      <c r="C237" s="1"/>
      <c r="D237" s="1"/>
      <c r="E237" s="1"/>
      <c r="F237" s="1"/>
      <c r="G237" s="6"/>
      <c r="H237" s="7"/>
      <c r="I237" s="8"/>
      <c r="J237" s="1"/>
    </row>
    <row r="238" spans="1:10" x14ac:dyDescent="0.2">
      <c r="A238" s="1"/>
      <c r="B238" s="1"/>
      <c r="C238" s="1"/>
      <c r="D238" s="1"/>
      <c r="E238" s="1"/>
      <c r="F238" s="1"/>
      <c r="G238" s="6"/>
      <c r="H238" s="7"/>
      <c r="I238" s="8"/>
      <c r="J238" s="1"/>
    </row>
    <row r="239" spans="1:10" x14ac:dyDescent="0.2">
      <c r="A239" s="1"/>
      <c r="B239" s="1"/>
      <c r="C239" s="1"/>
      <c r="D239" s="1"/>
      <c r="E239" s="1"/>
      <c r="F239" s="1"/>
      <c r="G239" s="6"/>
      <c r="H239" s="7"/>
      <c r="I239" s="8"/>
      <c r="J239" s="1"/>
    </row>
    <row r="240" spans="1:10" x14ac:dyDescent="0.2">
      <c r="A240" s="1"/>
      <c r="B240" s="1"/>
      <c r="C240" s="1"/>
      <c r="D240" s="1"/>
      <c r="E240" s="1"/>
      <c r="F240" s="1"/>
      <c r="G240" s="6"/>
      <c r="H240" s="7"/>
      <c r="I240" s="8"/>
      <c r="J240" s="1"/>
    </row>
    <row r="241" spans="1:10" x14ac:dyDescent="0.2">
      <c r="A241" s="1"/>
      <c r="B241" s="1"/>
      <c r="C241" s="1"/>
      <c r="D241" s="1"/>
      <c r="E241" s="1"/>
      <c r="F241" s="1"/>
      <c r="G241" s="6"/>
      <c r="H241" s="7"/>
      <c r="I241" s="8"/>
      <c r="J241" s="1"/>
    </row>
    <row r="242" spans="1:10" x14ac:dyDescent="0.2">
      <c r="A242" s="1"/>
      <c r="B242" s="1"/>
      <c r="C242" s="1"/>
      <c r="D242" s="1"/>
      <c r="E242" s="1"/>
      <c r="F242" s="1"/>
      <c r="G242" s="6"/>
      <c r="H242" s="7"/>
      <c r="I242" s="8"/>
      <c r="J242" s="1"/>
    </row>
  </sheetData>
  <autoFilter ref="A1:J227" xr:uid="{00000000-0009-0000-0000-000001000000}"/>
  <dataValidations count="6">
    <dataValidation type="list" allowBlank="1" showErrorMessage="1" sqref="D2:D94 D96:D140 D142:D242" xr:uid="{00000000-0002-0000-01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42" xr:uid="{00000000-0002-0000-0100-000001000000}">
      <formula1>"LARGO,CORTO"</formula1>
    </dataValidation>
    <dataValidation type="list" allowBlank="1" showErrorMessage="1" sqref="D95" xr:uid="{00000000-0002-0000-0100-000002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FRISE,SPRINGEL SPANIEL"</formula1>
    </dataValidation>
    <dataValidation type="list" allowBlank="1" showErrorMessage="1" sqref="D141" xr:uid="{00000000-0002-0000-0100-000003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42" xr:uid="{00000000-0002-0000-0100-000004000000}">
      <formula1>"MOÑO,MOÑOS,CORBATÍN,PAÑOLETA,NO"</formula1>
    </dataValidation>
    <dataValidation type="list" allowBlank="1" showErrorMessage="1" sqref="E2:E242" xr:uid="{00000000-0002-0000-0100-000005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55"/>
  <sheetViews>
    <sheetView workbookViewId="0"/>
  </sheetViews>
  <sheetFormatPr baseColWidth="10" defaultColWidth="12.6640625" defaultRowHeight="15.75" customHeight="1" x14ac:dyDescent="0.15"/>
  <cols>
    <col min="2" max="2" width="29.6640625" customWidth="1"/>
    <col min="3" max="3" width="16" customWidth="1"/>
    <col min="4" max="4" width="25.1640625" customWidth="1"/>
    <col min="5" max="5" width="25.6640625" customWidth="1"/>
    <col min="6" max="6" width="23.6640625" customWidth="1"/>
    <col min="7" max="7" width="13.6640625" customWidth="1"/>
    <col min="10" max="10" width="26.6640625" customWidth="1"/>
  </cols>
  <sheetData>
    <row r="1" spans="1:10" x14ac:dyDescent="0.2">
      <c r="A1" s="2" t="s">
        <v>664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45717</v>
      </c>
      <c r="B2" s="1" t="s">
        <v>354</v>
      </c>
      <c r="C2" s="1" t="s">
        <v>563</v>
      </c>
      <c r="D2" s="1" t="s">
        <v>64</v>
      </c>
      <c r="E2" s="1" t="s">
        <v>19</v>
      </c>
      <c r="F2" s="1"/>
      <c r="G2" s="6" t="s">
        <v>23</v>
      </c>
      <c r="H2" s="7">
        <v>50000</v>
      </c>
      <c r="I2" s="8">
        <v>14</v>
      </c>
      <c r="J2" s="1" t="s">
        <v>15</v>
      </c>
    </row>
    <row r="3" spans="1:10" x14ac:dyDescent="0.2">
      <c r="A3" s="5">
        <v>45717</v>
      </c>
      <c r="B3" s="1" t="s">
        <v>665</v>
      </c>
      <c r="C3" s="1" t="s">
        <v>433</v>
      </c>
      <c r="D3" s="1" t="s">
        <v>64</v>
      </c>
      <c r="E3" s="1" t="s">
        <v>13</v>
      </c>
      <c r="F3" s="1"/>
      <c r="G3" s="6" t="s">
        <v>14</v>
      </c>
      <c r="H3" s="7">
        <v>75000</v>
      </c>
      <c r="I3" s="8">
        <v>8.3000000000000007</v>
      </c>
      <c r="J3" s="1" t="s">
        <v>15</v>
      </c>
    </row>
    <row r="4" spans="1:10" x14ac:dyDescent="0.2">
      <c r="A4" s="5">
        <v>45717</v>
      </c>
      <c r="B4" s="1" t="s">
        <v>666</v>
      </c>
      <c r="C4" s="1" t="s">
        <v>486</v>
      </c>
      <c r="D4" s="1" t="s">
        <v>58</v>
      </c>
      <c r="E4" s="1" t="s">
        <v>59</v>
      </c>
      <c r="F4" s="1"/>
      <c r="G4" s="6" t="s">
        <v>14</v>
      </c>
      <c r="H4" s="7">
        <v>95000</v>
      </c>
      <c r="I4" s="1"/>
      <c r="J4" s="1" t="s">
        <v>15</v>
      </c>
    </row>
    <row r="5" spans="1:10" x14ac:dyDescent="0.2">
      <c r="A5" s="5">
        <v>45717</v>
      </c>
      <c r="B5" s="1" t="s">
        <v>132</v>
      </c>
      <c r="C5" s="1" t="s">
        <v>36</v>
      </c>
      <c r="D5" s="1" t="s">
        <v>18</v>
      </c>
      <c r="E5" s="1" t="s">
        <v>19</v>
      </c>
      <c r="F5" s="1"/>
      <c r="G5" s="6" t="s">
        <v>14</v>
      </c>
      <c r="H5" s="7">
        <v>180000</v>
      </c>
      <c r="I5" s="1"/>
      <c r="J5" s="1" t="s">
        <v>15</v>
      </c>
    </row>
    <row r="6" spans="1:10" x14ac:dyDescent="0.2">
      <c r="A6" s="5">
        <v>45717</v>
      </c>
      <c r="B6" s="1" t="s">
        <v>158</v>
      </c>
      <c r="C6" s="1" t="s">
        <v>46</v>
      </c>
      <c r="D6" s="1" t="s">
        <v>49</v>
      </c>
      <c r="E6" s="1" t="s">
        <v>19</v>
      </c>
      <c r="F6" s="1"/>
      <c r="G6" s="6" t="s">
        <v>23</v>
      </c>
      <c r="H6" s="7">
        <v>25000</v>
      </c>
      <c r="I6" s="8">
        <v>3</v>
      </c>
      <c r="J6" s="1" t="s">
        <v>15</v>
      </c>
    </row>
    <row r="7" spans="1:10" x14ac:dyDescent="0.2">
      <c r="A7" s="5">
        <v>45717</v>
      </c>
      <c r="B7" s="1" t="s">
        <v>154</v>
      </c>
      <c r="C7" s="1" t="s">
        <v>667</v>
      </c>
      <c r="D7" s="1" t="s">
        <v>26</v>
      </c>
      <c r="E7" s="1" t="s">
        <v>19</v>
      </c>
      <c r="F7" s="1"/>
      <c r="G7" s="6" t="s">
        <v>14</v>
      </c>
      <c r="H7" s="7">
        <v>65000</v>
      </c>
      <c r="I7" s="8">
        <v>6.8</v>
      </c>
      <c r="J7" s="1" t="s">
        <v>15</v>
      </c>
    </row>
    <row r="8" spans="1:10" x14ac:dyDescent="0.2">
      <c r="A8" s="5">
        <v>45717</v>
      </c>
      <c r="B8" s="1" t="s">
        <v>668</v>
      </c>
      <c r="C8" s="1" t="s">
        <v>669</v>
      </c>
      <c r="D8" s="1"/>
      <c r="E8" s="1" t="s">
        <v>13</v>
      </c>
      <c r="F8" s="1"/>
      <c r="G8" s="6" t="s">
        <v>14</v>
      </c>
      <c r="H8" s="7">
        <v>50000</v>
      </c>
      <c r="I8" s="8"/>
      <c r="J8" s="1" t="s">
        <v>15</v>
      </c>
    </row>
    <row r="9" spans="1:10" x14ac:dyDescent="0.2">
      <c r="A9" s="5">
        <v>45717</v>
      </c>
      <c r="B9" s="1" t="s">
        <v>599</v>
      </c>
      <c r="C9" s="1" t="s">
        <v>150</v>
      </c>
      <c r="D9" s="1" t="s">
        <v>32</v>
      </c>
      <c r="E9" s="1" t="s">
        <v>19</v>
      </c>
      <c r="F9" s="1"/>
      <c r="G9" s="6" t="s">
        <v>14</v>
      </c>
      <c r="H9" s="7">
        <v>140000</v>
      </c>
      <c r="I9" s="8">
        <v>3</v>
      </c>
      <c r="J9" s="1" t="s">
        <v>15</v>
      </c>
    </row>
    <row r="10" spans="1:10" x14ac:dyDescent="0.2">
      <c r="A10" s="5">
        <v>45717</v>
      </c>
      <c r="B10" s="1" t="s">
        <v>670</v>
      </c>
      <c r="C10" s="1" t="s">
        <v>671</v>
      </c>
      <c r="D10" s="1" t="s">
        <v>88</v>
      </c>
      <c r="E10" s="1" t="s">
        <v>19</v>
      </c>
      <c r="F10" s="1"/>
      <c r="G10" s="6" t="s">
        <v>14</v>
      </c>
      <c r="H10" s="7">
        <v>50000</v>
      </c>
      <c r="I10" s="8">
        <v>2.2999999999999998</v>
      </c>
      <c r="J10" s="1" t="s">
        <v>15</v>
      </c>
    </row>
    <row r="11" spans="1:10" x14ac:dyDescent="0.2">
      <c r="A11" s="5">
        <v>45717</v>
      </c>
      <c r="B11" s="1" t="s">
        <v>290</v>
      </c>
      <c r="C11" s="1" t="s">
        <v>291</v>
      </c>
      <c r="D11" s="1" t="s">
        <v>26</v>
      </c>
      <c r="E11" s="1" t="s">
        <v>19</v>
      </c>
      <c r="F11" s="1"/>
      <c r="G11" s="6" t="s">
        <v>14</v>
      </c>
      <c r="H11" s="7">
        <v>75000</v>
      </c>
      <c r="I11" s="1">
        <v>4.4000000000000004</v>
      </c>
      <c r="J11" s="1" t="s">
        <v>15</v>
      </c>
    </row>
    <row r="12" spans="1:10" x14ac:dyDescent="0.2">
      <c r="A12" s="5">
        <v>45717</v>
      </c>
      <c r="B12" s="1" t="s">
        <v>672</v>
      </c>
      <c r="C12" s="1" t="s">
        <v>185</v>
      </c>
      <c r="D12" s="1" t="s">
        <v>119</v>
      </c>
      <c r="E12" s="1" t="s">
        <v>19</v>
      </c>
      <c r="F12" s="1"/>
      <c r="G12" s="6" t="s">
        <v>23</v>
      </c>
      <c r="H12" s="7">
        <v>50000</v>
      </c>
      <c r="I12" s="8">
        <v>5.3</v>
      </c>
      <c r="J12" s="1" t="s">
        <v>15</v>
      </c>
    </row>
    <row r="13" spans="1:10" x14ac:dyDescent="0.2">
      <c r="A13" s="5">
        <v>45717</v>
      </c>
      <c r="B13" s="1" t="s">
        <v>672</v>
      </c>
      <c r="C13" s="1" t="s">
        <v>673</v>
      </c>
      <c r="D13" s="1" t="s">
        <v>64</v>
      </c>
      <c r="E13" s="1" t="s">
        <v>19</v>
      </c>
      <c r="F13" s="1"/>
      <c r="G13" s="6" t="s">
        <v>23</v>
      </c>
      <c r="H13" s="7">
        <v>60000</v>
      </c>
      <c r="I13" s="8">
        <v>7.3</v>
      </c>
      <c r="J13" s="1" t="s">
        <v>15</v>
      </c>
    </row>
    <row r="14" spans="1:10" x14ac:dyDescent="0.2">
      <c r="A14" s="5">
        <v>45717</v>
      </c>
      <c r="B14" s="1" t="s">
        <v>674</v>
      </c>
      <c r="C14" s="1" t="s">
        <v>437</v>
      </c>
      <c r="D14" s="1" t="s">
        <v>58</v>
      </c>
      <c r="E14" s="1" t="s">
        <v>59</v>
      </c>
      <c r="F14" s="1"/>
      <c r="G14" s="6" t="s">
        <v>14</v>
      </c>
      <c r="H14" s="7">
        <v>75000</v>
      </c>
      <c r="I14" s="8"/>
      <c r="J14" s="1" t="s">
        <v>15</v>
      </c>
    </row>
    <row r="15" spans="1:10" x14ac:dyDescent="0.2">
      <c r="A15" s="5">
        <v>45717</v>
      </c>
      <c r="B15" s="1" t="s">
        <v>675</v>
      </c>
      <c r="C15" s="1" t="s">
        <v>676</v>
      </c>
      <c r="D15" s="1" t="s">
        <v>49</v>
      </c>
      <c r="E15" s="1" t="s">
        <v>19</v>
      </c>
      <c r="F15" s="1"/>
      <c r="G15" s="6" t="s">
        <v>23</v>
      </c>
      <c r="H15" s="7">
        <v>30000</v>
      </c>
      <c r="I15" s="8">
        <v>3</v>
      </c>
      <c r="J15" s="1" t="s">
        <v>15</v>
      </c>
    </row>
    <row r="16" spans="1:10" x14ac:dyDescent="0.2">
      <c r="A16" s="5">
        <v>45717</v>
      </c>
      <c r="B16" s="1" t="s">
        <v>677</v>
      </c>
      <c r="C16" s="1" t="s">
        <v>157</v>
      </c>
      <c r="D16" s="1" t="s">
        <v>64</v>
      </c>
      <c r="E16" s="1" t="s">
        <v>19</v>
      </c>
      <c r="F16" s="1"/>
      <c r="G16" s="6" t="s">
        <v>23</v>
      </c>
      <c r="H16" s="7">
        <v>65000</v>
      </c>
      <c r="I16" s="8">
        <v>29</v>
      </c>
      <c r="J16" s="1" t="s">
        <v>15</v>
      </c>
    </row>
    <row r="17" spans="1:10" x14ac:dyDescent="0.2">
      <c r="A17" s="5">
        <v>45717</v>
      </c>
      <c r="B17" s="1"/>
      <c r="C17" s="1"/>
      <c r="D17" s="1"/>
      <c r="E17" s="1" t="s">
        <v>61</v>
      </c>
      <c r="F17" s="1"/>
      <c r="G17" s="6" t="s">
        <v>23</v>
      </c>
      <c r="H17" s="7">
        <v>10000</v>
      </c>
      <c r="I17" s="8"/>
      <c r="J17" s="1" t="s">
        <v>160</v>
      </c>
    </row>
    <row r="18" spans="1:10" x14ac:dyDescent="0.2">
      <c r="A18" s="5">
        <v>45717</v>
      </c>
      <c r="B18" s="1"/>
      <c r="C18" s="1"/>
      <c r="D18" s="1"/>
      <c r="E18" s="1" t="s">
        <v>61</v>
      </c>
      <c r="F18" s="1"/>
      <c r="G18" s="6" t="s">
        <v>23</v>
      </c>
      <c r="H18" s="7">
        <v>10000</v>
      </c>
      <c r="I18" s="8"/>
      <c r="J18" s="1" t="s">
        <v>160</v>
      </c>
    </row>
    <row r="19" spans="1:10" x14ac:dyDescent="0.2">
      <c r="A19" s="5">
        <v>45719</v>
      </c>
      <c r="B19" s="1" t="s">
        <v>678</v>
      </c>
      <c r="C19" s="1" t="s">
        <v>679</v>
      </c>
      <c r="D19" s="1" t="s">
        <v>196</v>
      </c>
      <c r="E19" s="1" t="s">
        <v>94</v>
      </c>
      <c r="F19" s="1"/>
      <c r="G19" s="6" t="s">
        <v>14</v>
      </c>
      <c r="H19" s="7">
        <v>90000</v>
      </c>
      <c r="I19" s="8">
        <v>18</v>
      </c>
      <c r="J19" s="1" t="s">
        <v>15</v>
      </c>
    </row>
    <row r="20" spans="1:10" x14ac:dyDescent="0.2">
      <c r="A20" s="5">
        <v>45719</v>
      </c>
      <c r="B20" s="1" t="s">
        <v>680</v>
      </c>
      <c r="C20" s="1" t="s">
        <v>681</v>
      </c>
      <c r="D20" s="1" t="s">
        <v>26</v>
      </c>
      <c r="E20" s="1" t="s">
        <v>13</v>
      </c>
      <c r="F20" s="1"/>
      <c r="G20" s="6" t="s">
        <v>14</v>
      </c>
      <c r="H20" s="7">
        <v>100000</v>
      </c>
      <c r="I20" s="8"/>
      <c r="J20" s="1" t="s">
        <v>15</v>
      </c>
    </row>
    <row r="21" spans="1:10" x14ac:dyDescent="0.2">
      <c r="A21" s="5">
        <v>45719</v>
      </c>
      <c r="B21" s="1" t="s">
        <v>682</v>
      </c>
      <c r="C21" s="1" t="s">
        <v>164</v>
      </c>
      <c r="D21" s="1" t="s">
        <v>165</v>
      </c>
      <c r="E21" s="1" t="s">
        <v>13</v>
      </c>
      <c r="F21" s="1"/>
      <c r="G21" s="6" t="s">
        <v>14</v>
      </c>
      <c r="H21" s="7">
        <v>80000</v>
      </c>
      <c r="I21" s="8">
        <v>8.1</v>
      </c>
      <c r="J21" s="1" t="s">
        <v>15</v>
      </c>
    </row>
    <row r="22" spans="1:10" x14ac:dyDescent="0.2">
      <c r="A22" s="5">
        <v>45719</v>
      </c>
      <c r="B22" s="1" t="s">
        <v>683</v>
      </c>
      <c r="C22" s="1" t="s">
        <v>572</v>
      </c>
      <c r="D22" s="1" t="s">
        <v>119</v>
      </c>
      <c r="E22" s="1" t="s">
        <v>19</v>
      </c>
      <c r="F22" s="1"/>
      <c r="G22" s="6" t="s">
        <v>23</v>
      </c>
      <c r="H22" s="7">
        <v>55000</v>
      </c>
      <c r="I22" s="8">
        <v>13.2</v>
      </c>
      <c r="J22" s="1" t="s">
        <v>15</v>
      </c>
    </row>
    <row r="23" spans="1:10" x14ac:dyDescent="0.2">
      <c r="A23" s="5">
        <v>45719</v>
      </c>
      <c r="B23" s="1" t="s">
        <v>684</v>
      </c>
      <c r="C23" s="1" t="s">
        <v>17</v>
      </c>
      <c r="D23" s="1" t="s">
        <v>18</v>
      </c>
      <c r="E23" s="1" t="s">
        <v>19</v>
      </c>
      <c r="F23" s="1"/>
      <c r="G23" s="6" t="s">
        <v>14</v>
      </c>
      <c r="H23" s="7">
        <v>50000</v>
      </c>
      <c r="I23" s="8">
        <v>15.7</v>
      </c>
      <c r="J23" s="1" t="s">
        <v>15</v>
      </c>
    </row>
    <row r="24" spans="1:10" x14ac:dyDescent="0.2">
      <c r="A24" s="5">
        <v>45719</v>
      </c>
      <c r="B24" s="1" t="s">
        <v>355</v>
      </c>
      <c r="C24" s="1" t="s">
        <v>356</v>
      </c>
      <c r="D24" s="1" t="s">
        <v>32</v>
      </c>
      <c r="E24" s="1" t="s">
        <v>13</v>
      </c>
      <c r="F24" s="1"/>
      <c r="G24" s="6" t="s">
        <v>14</v>
      </c>
      <c r="H24" s="7">
        <v>60000</v>
      </c>
      <c r="I24" s="8">
        <v>3.9</v>
      </c>
      <c r="J24" s="1" t="s">
        <v>15</v>
      </c>
    </row>
    <row r="25" spans="1:10" x14ac:dyDescent="0.2">
      <c r="A25" s="5">
        <v>45719</v>
      </c>
      <c r="B25" s="1" t="s">
        <v>355</v>
      </c>
      <c r="C25" s="1" t="s">
        <v>685</v>
      </c>
      <c r="D25" s="1" t="s">
        <v>32</v>
      </c>
      <c r="E25" s="1" t="s">
        <v>13</v>
      </c>
      <c r="F25" s="1"/>
      <c r="G25" s="6" t="s">
        <v>14</v>
      </c>
      <c r="H25" s="7">
        <v>60000</v>
      </c>
      <c r="I25" s="8">
        <v>3.1</v>
      </c>
      <c r="J25" s="1" t="s">
        <v>15</v>
      </c>
    </row>
    <row r="26" spans="1:10" x14ac:dyDescent="0.2">
      <c r="A26" s="5">
        <v>45719</v>
      </c>
      <c r="B26" s="1" t="s">
        <v>355</v>
      </c>
      <c r="C26" s="1" t="s">
        <v>686</v>
      </c>
      <c r="D26" s="1" t="s">
        <v>32</v>
      </c>
      <c r="E26" s="1" t="s">
        <v>13</v>
      </c>
      <c r="F26" s="1"/>
      <c r="G26" s="6" t="s">
        <v>14</v>
      </c>
      <c r="H26" s="7">
        <v>60000</v>
      </c>
      <c r="I26" s="8">
        <v>4</v>
      </c>
      <c r="J26" s="1" t="s">
        <v>15</v>
      </c>
    </row>
    <row r="27" spans="1:10" x14ac:dyDescent="0.2">
      <c r="A27" s="5">
        <v>45719</v>
      </c>
      <c r="B27" s="1" t="s">
        <v>518</v>
      </c>
      <c r="C27" s="1" t="s">
        <v>519</v>
      </c>
      <c r="D27" s="1" t="s">
        <v>26</v>
      </c>
      <c r="E27" s="1" t="s">
        <v>19</v>
      </c>
      <c r="F27" s="1"/>
      <c r="G27" s="6" t="s">
        <v>14</v>
      </c>
      <c r="H27" s="7">
        <v>65000</v>
      </c>
      <c r="I27" s="8">
        <v>8.8000000000000007</v>
      </c>
      <c r="J27" s="1" t="s">
        <v>15</v>
      </c>
    </row>
    <row r="28" spans="1:10" x14ac:dyDescent="0.2">
      <c r="A28" s="5">
        <v>45720</v>
      </c>
      <c r="B28" s="1" t="s">
        <v>687</v>
      </c>
      <c r="C28" s="1" t="s">
        <v>130</v>
      </c>
      <c r="D28" s="1" t="s">
        <v>688</v>
      </c>
      <c r="E28" s="1" t="s">
        <v>19</v>
      </c>
      <c r="F28" s="1"/>
      <c r="G28" s="6" t="s">
        <v>14</v>
      </c>
      <c r="H28" s="7">
        <v>150000</v>
      </c>
      <c r="I28" s="8">
        <v>28</v>
      </c>
      <c r="J28" s="1" t="s">
        <v>15</v>
      </c>
    </row>
    <row r="29" spans="1:10" x14ac:dyDescent="0.2">
      <c r="A29" s="5">
        <v>45720</v>
      </c>
      <c r="B29" s="1" t="s">
        <v>689</v>
      </c>
      <c r="C29" s="1" t="s">
        <v>126</v>
      </c>
      <c r="D29" s="1" t="s">
        <v>165</v>
      </c>
      <c r="E29" s="1" t="s">
        <v>13</v>
      </c>
      <c r="F29" s="1"/>
      <c r="G29" s="6" t="s">
        <v>14</v>
      </c>
      <c r="H29" s="7">
        <v>75000</v>
      </c>
      <c r="I29" s="8">
        <v>7</v>
      </c>
      <c r="J29" s="1" t="s">
        <v>15</v>
      </c>
    </row>
    <row r="30" spans="1:10" x14ac:dyDescent="0.2">
      <c r="A30" s="5">
        <v>45720</v>
      </c>
      <c r="B30" s="1" t="s">
        <v>355</v>
      </c>
      <c r="C30" s="1" t="s">
        <v>280</v>
      </c>
      <c r="D30" s="1" t="s">
        <v>32</v>
      </c>
      <c r="E30" s="1" t="s">
        <v>13</v>
      </c>
      <c r="F30" s="1"/>
      <c r="G30" s="6" t="s">
        <v>14</v>
      </c>
      <c r="H30" s="7">
        <v>60000</v>
      </c>
      <c r="I30" s="8">
        <v>3.3</v>
      </c>
      <c r="J30" s="1" t="s">
        <v>15</v>
      </c>
    </row>
    <row r="31" spans="1:10" x14ac:dyDescent="0.2">
      <c r="A31" s="5">
        <v>45720</v>
      </c>
      <c r="B31" s="1" t="s">
        <v>355</v>
      </c>
      <c r="C31" s="1" t="s">
        <v>198</v>
      </c>
      <c r="D31" s="1" t="s">
        <v>32</v>
      </c>
      <c r="E31" s="1" t="s">
        <v>13</v>
      </c>
      <c r="F31" s="1"/>
      <c r="G31" s="6" t="s">
        <v>14</v>
      </c>
      <c r="H31" s="7">
        <v>60000</v>
      </c>
      <c r="I31" s="8">
        <v>2.7</v>
      </c>
      <c r="J31" s="1" t="s">
        <v>15</v>
      </c>
    </row>
    <row r="32" spans="1:10" x14ac:dyDescent="0.2">
      <c r="A32" s="5">
        <v>45720</v>
      </c>
      <c r="B32" s="1" t="s">
        <v>497</v>
      </c>
      <c r="C32" s="1" t="s">
        <v>498</v>
      </c>
      <c r="D32" s="1" t="s">
        <v>26</v>
      </c>
      <c r="E32" s="1" t="s">
        <v>19</v>
      </c>
      <c r="F32" s="1"/>
      <c r="G32" s="6" t="s">
        <v>14</v>
      </c>
      <c r="H32" s="7">
        <v>65000</v>
      </c>
      <c r="I32" s="8">
        <v>4.2</v>
      </c>
      <c r="J32" s="1" t="s">
        <v>40</v>
      </c>
    </row>
    <row r="33" spans="1:10" x14ac:dyDescent="0.2">
      <c r="A33" s="5">
        <v>45720</v>
      </c>
      <c r="B33" s="1"/>
      <c r="C33" s="1"/>
      <c r="D33" s="1"/>
      <c r="E33" s="1" t="s">
        <v>61</v>
      </c>
      <c r="F33" s="1"/>
      <c r="G33" s="6"/>
      <c r="H33" s="7">
        <v>10000</v>
      </c>
      <c r="I33" s="8"/>
      <c r="J33" s="1" t="s">
        <v>160</v>
      </c>
    </row>
    <row r="34" spans="1:10" x14ac:dyDescent="0.2">
      <c r="A34" s="5">
        <v>45721</v>
      </c>
      <c r="B34" s="1" t="s">
        <v>690</v>
      </c>
      <c r="C34" s="1" t="s">
        <v>370</v>
      </c>
      <c r="D34" s="1" t="s">
        <v>371</v>
      </c>
      <c r="E34" s="1" t="s">
        <v>19</v>
      </c>
      <c r="F34" s="1"/>
      <c r="G34" s="6" t="s">
        <v>23</v>
      </c>
      <c r="H34" s="7">
        <v>70000</v>
      </c>
      <c r="I34" s="8">
        <v>27.6</v>
      </c>
      <c r="J34" s="1"/>
    </row>
    <row r="35" spans="1:10" x14ac:dyDescent="0.2">
      <c r="A35" s="5">
        <v>45721</v>
      </c>
      <c r="B35" s="1" t="s">
        <v>691</v>
      </c>
      <c r="C35" s="1" t="s">
        <v>692</v>
      </c>
      <c r="D35" s="1" t="s">
        <v>26</v>
      </c>
      <c r="E35" s="1" t="s">
        <v>13</v>
      </c>
      <c r="F35" s="1"/>
      <c r="G35" s="6" t="s">
        <v>14</v>
      </c>
      <c r="H35" s="7">
        <v>85000</v>
      </c>
      <c r="I35" s="8">
        <v>4.2</v>
      </c>
      <c r="J35" s="1"/>
    </row>
    <row r="36" spans="1:10" x14ac:dyDescent="0.2">
      <c r="A36" s="5">
        <v>45721</v>
      </c>
      <c r="B36" s="1" t="s">
        <v>151</v>
      </c>
      <c r="C36" s="1" t="s">
        <v>152</v>
      </c>
      <c r="D36" s="1" t="s">
        <v>153</v>
      </c>
      <c r="E36" s="1" t="s">
        <v>78</v>
      </c>
      <c r="F36" s="1"/>
      <c r="G36" s="6" t="s">
        <v>14</v>
      </c>
      <c r="H36" s="7">
        <v>70000</v>
      </c>
      <c r="I36" s="8">
        <v>4.0999999999999996</v>
      </c>
      <c r="J36" s="1"/>
    </row>
    <row r="37" spans="1:10" x14ac:dyDescent="0.2">
      <c r="A37" s="5">
        <v>45721</v>
      </c>
      <c r="B37" s="1" t="s">
        <v>67</v>
      </c>
      <c r="C37" s="1" t="s">
        <v>183</v>
      </c>
      <c r="D37" s="1" t="s">
        <v>26</v>
      </c>
      <c r="E37" s="1" t="s">
        <v>19</v>
      </c>
      <c r="F37" s="1"/>
      <c r="G37" s="6" t="s">
        <v>14</v>
      </c>
      <c r="H37" s="7">
        <v>70000</v>
      </c>
      <c r="I37" s="8">
        <v>6.4</v>
      </c>
      <c r="J37" s="1"/>
    </row>
    <row r="38" spans="1:10" x14ac:dyDescent="0.2">
      <c r="A38" s="5">
        <v>45721</v>
      </c>
      <c r="B38" s="1" t="s">
        <v>693</v>
      </c>
      <c r="C38" s="1" t="s">
        <v>83</v>
      </c>
      <c r="D38" s="1" t="s">
        <v>196</v>
      </c>
      <c r="E38" s="1" t="s">
        <v>94</v>
      </c>
      <c r="F38" s="1"/>
      <c r="G38" s="6" t="s">
        <v>14</v>
      </c>
      <c r="H38" s="7">
        <v>90000</v>
      </c>
      <c r="I38" s="8">
        <v>21</v>
      </c>
      <c r="J38" s="1"/>
    </row>
    <row r="39" spans="1:10" x14ac:dyDescent="0.2">
      <c r="A39" s="5">
        <v>45721</v>
      </c>
      <c r="B39" s="1" t="s">
        <v>694</v>
      </c>
      <c r="C39" s="1" t="s">
        <v>695</v>
      </c>
      <c r="D39" s="1" t="s">
        <v>131</v>
      </c>
      <c r="E39" s="1" t="s">
        <v>19</v>
      </c>
      <c r="F39" s="1"/>
      <c r="G39" s="6" t="s">
        <v>14</v>
      </c>
      <c r="H39" s="7">
        <v>80000</v>
      </c>
      <c r="I39" s="8">
        <v>36</v>
      </c>
      <c r="J39" s="1"/>
    </row>
    <row r="40" spans="1:10" x14ac:dyDescent="0.2">
      <c r="A40" s="5">
        <v>45721</v>
      </c>
      <c r="B40" s="1" t="s">
        <v>696</v>
      </c>
      <c r="C40" s="1" t="s">
        <v>697</v>
      </c>
      <c r="D40" s="1" t="s">
        <v>32</v>
      </c>
      <c r="E40" s="1" t="s">
        <v>13</v>
      </c>
      <c r="F40" s="1"/>
      <c r="G40" s="6" t="s">
        <v>14</v>
      </c>
      <c r="H40" s="7">
        <v>90000</v>
      </c>
      <c r="I40" s="8">
        <v>7.1</v>
      </c>
      <c r="J40" s="1"/>
    </row>
    <row r="41" spans="1:10" x14ac:dyDescent="0.2">
      <c r="A41" s="5">
        <v>45721</v>
      </c>
      <c r="B41" s="1" t="s">
        <v>353</v>
      </c>
      <c r="C41" s="1" t="s">
        <v>162</v>
      </c>
      <c r="D41" s="1" t="s">
        <v>26</v>
      </c>
      <c r="E41" s="1" t="s">
        <v>13</v>
      </c>
      <c r="F41" s="1"/>
      <c r="G41" s="6" t="s">
        <v>14</v>
      </c>
      <c r="H41" s="7">
        <v>90000</v>
      </c>
      <c r="I41" s="8">
        <v>5.7</v>
      </c>
      <c r="J41" s="1"/>
    </row>
    <row r="42" spans="1:10" x14ac:dyDescent="0.2">
      <c r="A42" s="5">
        <v>45721</v>
      </c>
      <c r="B42" s="1" t="s">
        <v>353</v>
      </c>
      <c r="C42" s="1" t="s">
        <v>567</v>
      </c>
      <c r="D42" s="1" t="s">
        <v>64</v>
      </c>
      <c r="E42" s="1" t="s">
        <v>19</v>
      </c>
      <c r="F42" s="1"/>
      <c r="G42" s="6" t="s">
        <v>23</v>
      </c>
      <c r="H42" s="7">
        <v>60000</v>
      </c>
      <c r="I42" s="1">
        <v>9.5</v>
      </c>
      <c r="J42" s="1"/>
    </row>
    <row r="43" spans="1:10" x14ac:dyDescent="0.2">
      <c r="A43" s="5">
        <v>45721</v>
      </c>
      <c r="B43" s="1" t="s">
        <v>698</v>
      </c>
      <c r="C43" s="1" t="s">
        <v>699</v>
      </c>
      <c r="D43" s="1" t="s">
        <v>165</v>
      </c>
      <c r="E43" s="1" t="s">
        <v>13</v>
      </c>
      <c r="F43" s="1"/>
      <c r="G43" s="6" t="s">
        <v>14</v>
      </c>
      <c r="H43" s="7">
        <v>70000</v>
      </c>
      <c r="I43" s="8">
        <v>4.5</v>
      </c>
      <c r="J43" s="1"/>
    </row>
    <row r="44" spans="1:10" x14ac:dyDescent="0.2">
      <c r="A44" s="5">
        <v>45721</v>
      </c>
      <c r="B44" s="1" t="s">
        <v>700</v>
      </c>
      <c r="C44" s="1" t="s">
        <v>41</v>
      </c>
      <c r="D44" s="1" t="s">
        <v>64</v>
      </c>
      <c r="E44" s="1" t="s">
        <v>13</v>
      </c>
      <c r="F44" s="1"/>
      <c r="G44" s="6" t="s">
        <v>14</v>
      </c>
      <c r="H44" s="7">
        <v>80000</v>
      </c>
      <c r="I44" s="8">
        <v>3.9</v>
      </c>
      <c r="J44" s="1"/>
    </row>
    <row r="45" spans="1:10" x14ac:dyDescent="0.2">
      <c r="A45" s="5">
        <v>45721</v>
      </c>
      <c r="B45" s="1" t="s">
        <v>701</v>
      </c>
      <c r="C45" s="1" t="s">
        <v>702</v>
      </c>
      <c r="D45" s="1" t="s">
        <v>64</v>
      </c>
      <c r="E45" s="1" t="s">
        <v>13</v>
      </c>
      <c r="F45" s="1"/>
      <c r="G45" s="6" t="s">
        <v>14</v>
      </c>
      <c r="H45" s="7">
        <v>80000</v>
      </c>
      <c r="I45" s="8">
        <v>11.1</v>
      </c>
      <c r="J45" s="1"/>
    </row>
    <row r="46" spans="1:10" x14ac:dyDescent="0.2">
      <c r="A46" s="5">
        <v>45721</v>
      </c>
      <c r="B46" s="1"/>
      <c r="C46" s="1"/>
      <c r="D46" s="1"/>
      <c r="E46" s="1" t="s">
        <v>61</v>
      </c>
      <c r="F46" s="1"/>
      <c r="G46" s="6"/>
      <c r="H46" s="7">
        <v>10000</v>
      </c>
      <c r="I46" s="8"/>
      <c r="J46" s="1"/>
    </row>
    <row r="47" spans="1:10" x14ac:dyDescent="0.2">
      <c r="A47" s="5">
        <v>45721</v>
      </c>
      <c r="B47" s="1" t="s">
        <v>545</v>
      </c>
      <c r="C47" s="1" t="s">
        <v>362</v>
      </c>
      <c r="D47" s="1" t="s">
        <v>32</v>
      </c>
      <c r="E47" s="1" t="s">
        <v>19</v>
      </c>
      <c r="F47" s="1"/>
      <c r="G47" s="6" t="s">
        <v>14</v>
      </c>
      <c r="H47" s="7">
        <v>55000</v>
      </c>
      <c r="I47" s="8">
        <v>2.4</v>
      </c>
      <c r="J47" s="1"/>
    </row>
    <row r="48" spans="1:10" x14ac:dyDescent="0.2">
      <c r="A48" s="5">
        <v>45722</v>
      </c>
      <c r="B48" s="1" t="s">
        <v>703</v>
      </c>
      <c r="C48" s="1" t="s">
        <v>704</v>
      </c>
      <c r="D48" s="1" t="s">
        <v>196</v>
      </c>
      <c r="E48" s="1" t="s">
        <v>94</v>
      </c>
      <c r="F48" s="1"/>
      <c r="G48" s="6" t="s">
        <v>14</v>
      </c>
      <c r="H48" s="7">
        <v>130000</v>
      </c>
      <c r="I48" s="8">
        <v>23.5</v>
      </c>
      <c r="J48" s="1"/>
    </row>
    <row r="49" spans="1:10" x14ac:dyDescent="0.2">
      <c r="A49" s="5">
        <v>45722</v>
      </c>
      <c r="B49" s="1" t="s">
        <v>705</v>
      </c>
      <c r="C49" s="1" t="s">
        <v>706</v>
      </c>
      <c r="D49" s="1" t="s">
        <v>45</v>
      </c>
      <c r="E49" s="1" t="s">
        <v>19</v>
      </c>
      <c r="F49" s="1"/>
      <c r="G49" s="6" t="s">
        <v>23</v>
      </c>
      <c r="H49" s="7">
        <v>55000</v>
      </c>
      <c r="I49" s="8">
        <v>12.9</v>
      </c>
      <c r="J49" s="1"/>
    </row>
    <row r="50" spans="1:10" x14ac:dyDescent="0.2">
      <c r="A50" s="5">
        <v>45722</v>
      </c>
      <c r="B50" s="1" t="s">
        <v>102</v>
      </c>
      <c r="C50" s="1" t="s">
        <v>103</v>
      </c>
      <c r="D50" s="1" t="s">
        <v>64</v>
      </c>
      <c r="E50" s="1" t="s">
        <v>13</v>
      </c>
      <c r="F50" s="1"/>
      <c r="G50" s="6" t="s">
        <v>14</v>
      </c>
      <c r="H50" s="7">
        <v>80000</v>
      </c>
      <c r="I50" s="8">
        <v>7.8</v>
      </c>
      <c r="J50" s="1"/>
    </row>
    <row r="51" spans="1:10" x14ac:dyDescent="0.2">
      <c r="A51" s="5">
        <v>45722</v>
      </c>
      <c r="B51" s="1" t="s">
        <v>102</v>
      </c>
      <c r="C51" s="1" t="s">
        <v>349</v>
      </c>
      <c r="D51" s="1" t="s">
        <v>26</v>
      </c>
      <c r="E51" s="1" t="s">
        <v>19</v>
      </c>
      <c r="F51" s="1"/>
      <c r="G51" s="6" t="s">
        <v>14</v>
      </c>
      <c r="H51" s="7">
        <v>65000</v>
      </c>
      <c r="I51" s="8"/>
      <c r="J51" s="1"/>
    </row>
    <row r="52" spans="1:10" x14ac:dyDescent="0.2">
      <c r="A52" s="5">
        <v>45722</v>
      </c>
      <c r="B52" s="1" t="s">
        <v>707</v>
      </c>
      <c r="C52" s="1" t="s">
        <v>708</v>
      </c>
      <c r="D52" s="1" t="s">
        <v>196</v>
      </c>
      <c r="E52" s="1" t="s">
        <v>94</v>
      </c>
      <c r="F52" s="1"/>
      <c r="G52" s="6"/>
      <c r="H52" s="7">
        <v>130000</v>
      </c>
      <c r="I52" s="8">
        <v>39</v>
      </c>
      <c r="J52" s="1"/>
    </row>
    <row r="53" spans="1:10" x14ac:dyDescent="0.2">
      <c r="A53" s="5">
        <v>45722</v>
      </c>
      <c r="B53" s="1" t="s">
        <v>709</v>
      </c>
      <c r="C53" s="1" t="s">
        <v>710</v>
      </c>
      <c r="D53" s="1" t="s">
        <v>64</v>
      </c>
      <c r="E53" s="1" t="s">
        <v>13</v>
      </c>
      <c r="F53" s="1"/>
      <c r="G53" s="6" t="s">
        <v>14</v>
      </c>
      <c r="H53" s="7">
        <v>90000</v>
      </c>
      <c r="I53" s="8">
        <v>16</v>
      </c>
      <c r="J53" s="1"/>
    </row>
    <row r="54" spans="1:10" x14ac:dyDescent="0.2">
      <c r="A54" s="5">
        <v>45722</v>
      </c>
      <c r="B54" s="1" t="s">
        <v>711</v>
      </c>
      <c r="C54" s="1" t="s">
        <v>712</v>
      </c>
      <c r="D54" s="1" t="s">
        <v>49</v>
      </c>
      <c r="E54" s="1" t="s">
        <v>19</v>
      </c>
      <c r="F54" s="1"/>
      <c r="G54" s="6" t="s">
        <v>23</v>
      </c>
      <c r="H54" s="7">
        <v>25000</v>
      </c>
      <c r="I54" s="8">
        <v>3.1</v>
      </c>
      <c r="J54" s="1"/>
    </row>
    <row r="55" spans="1:10" x14ac:dyDescent="0.2">
      <c r="A55" s="5">
        <v>45722</v>
      </c>
      <c r="B55" s="1" t="s">
        <v>713</v>
      </c>
      <c r="C55" s="1" t="s">
        <v>157</v>
      </c>
      <c r="D55" s="1" t="s">
        <v>64</v>
      </c>
      <c r="E55" s="1"/>
      <c r="F55" s="1"/>
      <c r="G55" s="6"/>
      <c r="H55" s="7">
        <v>68000</v>
      </c>
      <c r="I55" s="8">
        <v>18.2</v>
      </c>
      <c r="J55" s="1"/>
    </row>
    <row r="56" spans="1:10" x14ac:dyDescent="0.2">
      <c r="A56" s="5">
        <v>45723</v>
      </c>
      <c r="B56" s="1" t="s">
        <v>256</v>
      </c>
      <c r="C56" s="1" t="s">
        <v>257</v>
      </c>
      <c r="D56" s="1" t="s">
        <v>32</v>
      </c>
      <c r="E56" s="1" t="s">
        <v>113</v>
      </c>
      <c r="F56" s="1" t="s">
        <v>109</v>
      </c>
      <c r="G56" s="6" t="s">
        <v>14</v>
      </c>
      <c r="H56" s="7">
        <v>100000</v>
      </c>
      <c r="I56" s="8"/>
      <c r="J56" s="1"/>
    </row>
    <row r="57" spans="1:10" x14ac:dyDescent="0.2">
      <c r="A57" s="5">
        <v>45723</v>
      </c>
      <c r="B57" s="1" t="s">
        <v>114</v>
      </c>
      <c r="C57" s="1" t="s">
        <v>114</v>
      </c>
      <c r="D57" s="1" t="s">
        <v>49</v>
      </c>
      <c r="E57" s="1" t="s">
        <v>61</v>
      </c>
      <c r="F57" s="1"/>
      <c r="G57" s="6" t="s">
        <v>23</v>
      </c>
      <c r="H57" s="7">
        <v>10000</v>
      </c>
      <c r="I57" s="8"/>
      <c r="J57" s="1"/>
    </row>
    <row r="58" spans="1:10" x14ac:dyDescent="0.2">
      <c r="A58" s="5">
        <v>45723</v>
      </c>
      <c r="B58" s="1" t="s">
        <v>714</v>
      </c>
      <c r="C58" s="1" t="s">
        <v>715</v>
      </c>
      <c r="D58" s="1" t="s">
        <v>229</v>
      </c>
      <c r="E58" s="1" t="s">
        <v>19</v>
      </c>
      <c r="F58" s="1"/>
      <c r="G58" s="6" t="s">
        <v>14</v>
      </c>
      <c r="H58" s="7">
        <v>100000</v>
      </c>
      <c r="I58" s="8">
        <v>34</v>
      </c>
      <c r="J58" s="1" t="s">
        <v>15</v>
      </c>
    </row>
    <row r="59" spans="1:10" x14ac:dyDescent="0.2">
      <c r="A59" s="5">
        <v>45723</v>
      </c>
      <c r="B59" s="1" t="s">
        <v>286</v>
      </c>
      <c r="C59" s="1" t="s">
        <v>287</v>
      </c>
      <c r="D59" s="1" t="s">
        <v>26</v>
      </c>
      <c r="E59" s="1" t="s">
        <v>181</v>
      </c>
      <c r="F59" s="1" t="s">
        <v>448</v>
      </c>
      <c r="G59" s="6" t="s">
        <v>14</v>
      </c>
      <c r="H59" s="7">
        <v>90000</v>
      </c>
      <c r="I59" s="8">
        <v>6.6</v>
      </c>
      <c r="J59" s="1" t="s">
        <v>15</v>
      </c>
    </row>
    <row r="60" spans="1:10" x14ac:dyDescent="0.2">
      <c r="A60" s="5">
        <v>45723</v>
      </c>
      <c r="B60" s="1" t="s">
        <v>202</v>
      </c>
      <c r="C60" s="1" t="s">
        <v>203</v>
      </c>
      <c r="D60" s="1" t="s">
        <v>88</v>
      </c>
      <c r="E60" s="1" t="s">
        <v>19</v>
      </c>
      <c r="F60" s="1"/>
      <c r="G60" s="6" t="s">
        <v>14</v>
      </c>
      <c r="H60" s="7">
        <v>60000</v>
      </c>
      <c r="I60" s="8">
        <v>3.9</v>
      </c>
      <c r="J60" s="1" t="s">
        <v>15</v>
      </c>
    </row>
    <row r="61" spans="1:10" x14ac:dyDescent="0.2">
      <c r="A61" s="5">
        <v>45723</v>
      </c>
      <c r="B61" s="1" t="s">
        <v>395</v>
      </c>
      <c r="C61" s="1" t="s">
        <v>396</v>
      </c>
      <c r="D61" s="1" t="s">
        <v>32</v>
      </c>
      <c r="E61" s="1" t="s">
        <v>13</v>
      </c>
      <c r="F61" s="1" t="s">
        <v>716</v>
      </c>
      <c r="G61" s="6" t="s">
        <v>14</v>
      </c>
      <c r="H61" s="7">
        <v>120000</v>
      </c>
      <c r="I61" s="8"/>
      <c r="J61" s="1" t="s">
        <v>15</v>
      </c>
    </row>
    <row r="62" spans="1:10" x14ac:dyDescent="0.2">
      <c r="A62" s="5">
        <v>45723</v>
      </c>
      <c r="B62" s="1" t="s">
        <v>717</v>
      </c>
      <c r="C62" s="1" t="s">
        <v>433</v>
      </c>
      <c r="D62" s="1" t="s">
        <v>119</v>
      </c>
      <c r="E62" s="1" t="s">
        <v>19</v>
      </c>
      <c r="F62" s="1"/>
      <c r="G62" s="6" t="s">
        <v>23</v>
      </c>
      <c r="H62" s="7">
        <v>55000</v>
      </c>
      <c r="I62" s="8"/>
      <c r="J62" s="1" t="s">
        <v>15</v>
      </c>
    </row>
    <row r="63" spans="1:10" x14ac:dyDescent="0.2">
      <c r="A63" s="5">
        <v>45723</v>
      </c>
      <c r="B63" s="1" t="s">
        <v>718</v>
      </c>
      <c r="C63" s="1" t="s">
        <v>719</v>
      </c>
      <c r="D63" s="1" t="s">
        <v>131</v>
      </c>
      <c r="E63" s="1" t="s">
        <v>19</v>
      </c>
      <c r="F63" s="1"/>
      <c r="G63" s="6" t="s">
        <v>14</v>
      </c>
      <c r="H63" s="7">
        <v>75000</v>
      </c>
      <c r="I63" s="8"/>
      <c r="J63" s="1" t="s">
        <v>15</v>
      </c>
    </row>
    <row r="64" spans="1:10" x14ac:dyDescent="0.2">
      <c r="A64" s="5">
        <v>45723</v>
      </c>
      <c r="B64" s="1" t="s">
        <v>114</v>
      </c>
      <c r="C64" s="1" t="s">
        <v>114</v>
      </c>
      <c r="D64" s="1" t="s">
        <v>49</v>
      </c>
      <c r="E64" s="1" t="s">
        <v>61</v>
      </c>
      <c r="F64" s="1"/>
      <c r="G64" s="6" t="s">
        <v>23</v>
      </c>
      <c r="H64" s="7">
        <v>10000</v>
      </c>
      <c r="I64" s="8"/>
      <c r="J64" s="1"/>
    </row>
    <row r="65" spans="1:10" x14ac:dyDescent="0.2">
      <c r="A65" s="5">
        <v>45723</v>
      </c>
      <c r="B65" s="1" t="s">
        <v>114</v>
      </c>
      <c r="C65" s="1" t="s">
        <v>114</v>
      </c>
      <c r="D65" s="1" t="s">
        <v>49</v>
      </c>
      <c r="E65" s="1" t="s">
        <v>61</v>
      </c>
      <c r="F65" s="1"/>
      <c r="G65" s="6" t="s">
        <v>23</v>
      </c>
      <c r="H65" s="7">
        <v>10000</v>
      </c>
      <c r="I65" s="8"/>
      <c r="J65" s="1"/>
    </row>
    <row r="66" spans="1:10" x14ac:dyDescent="0.2">
      <c r="A66" s="5">
        <v>45723</v>
      </c>
      <c r="B66" s="1" t="s">
        <v>114</v>
      </c>
      <c r="C66" s="1" t="s">
        <v>114</v>
      </c>
      <c r="D66" s="1" t="s">
        <v>49</v>
      </c>
      <c r="E66" s="1" t="s">
        <v>61</v>
      </c>
      <c r="F66" s="1"/>
      <c r="G66" s="6" t="s">
        <v>23</v>
      </c>
      <c r="H66" s="7">
        <v>10000</v>
      </c>
      <c r="I66" s="8"/>
      <c r="J66" s="1"/>
    </row>
    <row r="67" spans="1:10" x14ac:dyDescent="0.2">
      <c r="A67" s="5">
        <v>45723</v>
      </c>
      <c r="B67" s="1" t="s">
        <v>114</v>
      </c>
      <c r="C67" s="1" t="s">
        <v>114</v>
      </c>
      <c r="D67" s="1" t="s">
        <v>64</v>
      </c>
      <c r="E67" s="1" t="s">
        <v>61</v>
      </c>
      <c r="F67" s="1"/>
      <c r="G67" s="6" t="s">
        <v>23</v>
      </c>
      <c r="H67" s="7">
        <v>15000</v>
      </c>
      <c r="I67" s="8"/>
      <c r="J67" s="1"/>
    </row>
    <row r="68" spans="1:10" x14ac:dyDescent="0.2">
      <c r="A68" s="5">
        <v>45724</v>
      </c>
      <c r="B68" s="1" t="s">
        <v>720</v>
      </c>
      <c r="C68" s="1" t="s">
        <v>721</v>
      </c>
      <c r="D68" s="1" t="s">
        <v>131</v>
      </c>
      <c r="E68" s="1" t="s">
        <v>19</v>
      </c>
      <c r="F68" s="1"/>
      <c r="G68" s="6" t="s">
        <v>14</v>
      </c>
      <c r="H68" s="7">
        <v>90000</v>
      </c>
      <c r="I68" s="8">
        <v>42</v>
      </c>
      <c r="J68" s="1" t="s">
        <v>15</v>
      </c>
    </row>
    <row r="69" spans="1:10" x14ac:dyDescent="0.2">
      <c r="A69" s="5">
        <v>45724</v>
      </c>
      <c r="B69" s="1" t="s">
        <v>720</v>
      </c>
      <c r="C69" s="1" t="s">
        <v>373</v>
      </c>
      <c r="D69" s="1" t="s">
        <v>131</v>
      </c>
      <c r="E69" s="1" t="s">
        <v>19</v>
      </c>
      <c r="F69" s="1"/>
      <c r="G69" s="6" t="s">
        <v>14</v>
      </c>
      <c r="H69" s="7">
        <v>60000</v>
      </c>
      <c r="I69" s="8">
        <v>23</v>
      </c>
      <c r="J69" s="1" t="s">
        <v>15</v>
      </c>
    </row>
    <row r="70" spans="1:10" x14ac:dyDescent="0.2">
      <c r="A70" s="5">
        <v>45724</v>
      </c>
      <c r="B70" s="1" t="s">
        <v>722</v>
      </c>
      <c r="C70" s="1" t="s">
        <v>484</v>
      </c>
      <c r="D70" s="1" t="s">
        <v>45</v>
      </c>
      <c r="E70" s="1" t="s">
        <v>19</v>
      </c>
      <c r="F70" s="1"/>
      <c r="G70" s="6" t="s">
        <v>23</v>
      </c>
      <c r="H70" s="7">
        <v>55000</v>
      </c>
      <c r="I70" s="8">
        <v>16.899999999999999</v>
      </c>
      <c r="J70" s="1" t="s">
        <v>15</v>
      </c>
    </row>
    <row r="71" spans="1:10" x14ac:dyDescent="0.2">
      <c r="A71" s="5">
        <v>45724</v>
      </c>
      <c r="B71" s="1" t="s">
        <v>607</v>
      </c>
      <c r="C71" s="1" t="s">
        <v>211</v>
      </c>
      <c r="D71" s="1" t="s">
        <v>32</v>
      </c>
      <c r="E71" s="1" t="s">
        <v>78</v>
      </c>
      <c r="F71" s="1"/>
      <c r="G71" s="6" t="s">
        <v>14</v>
      </c>
      <c r="H71" s="7">
        <v>55000</v>
      </c>
      <c r="I71" s="8">
        <v>3.7</v>
      </c>
      <c r="J71" s="1" t="s">
        <v>15</v>
      </c>
    </row>
    <row r="72" spans="1:10" x14ac:dyDescent="0.2">
      <c r="A72" s="5">
        <v>45724</v>
      </c>
      <c r="B72" s="1" t="s">
        <v>263</v>
      </c>
      <c r="C72" s="1" t="s">
        <v>264</v>
      </c>
      <c r="D72" s="1" t="s">
        <v>88</v>
      </c>
      <c r="E72" s="1" t="s">
        <v>94</v>
      </c>
      <c r="F72" s="1" t="s">
        <v>723</v>
      </c>
      <c r="G72" s="6" t="s">
        <v>14</v>
      </c>
      <c r="H72" s="7">
        <v>140000</v>
      </c>
      <c r="I72" s="8">
        <v>3.6</v>
      </c>
      <c r="J72" s="1" t="s">
        <v>15</v>
      </c>
    </row>
    <row r="73" spans="1:10" x14ac:dyDescent="0.2">
      <c r="A73" s="5">
        <v>45724</v>
      </c>
      <c r="B73" s="1" t="s">
        <v>35</v>
      </c>
      <c r="C73" s="1" t="s">
        <v>36</v>
      </c>
      <c r="D73" s="1" t="s">
        <v>18</v>
      </c>
      <c r="E73" s="1" t="s">
        <v>19</v>
      </c>
      <c r="F73" s="1"/>
      <c r="G73" s="6" t="s">
        <v>14</v>
      </c>
      <c r="H73" s="7" t="s">
        <v>114</v>
      </c>
      <c r="I73" s="8"/>
      <c r="J73" s="1" t="s">
        <v>15</v>
      </c>
    </row>
    <row r="74" spans="1:10" x14ac:dyDescent="0.2">
      <c r="A74" s="5">
        <v>45724</v>
      </c>
      <c r="B74" s="1" t="s">
        <v>724</v>
      </c>
      <c r="C74" s="1" t="s">
        <v>484</v>
      </c>
      <c r="D74" s="1" t="s">
        <v>131</v>
      </c>
      <c r="E74" s="1" t="s">
        <v>13</v>
      </c>
      <c r="F74" s="1"/>
      <c r="G74" s="6" t="s">
        <v>14</v>
      </c>
      <c r="H74" s="7">
        <v>85000</v>
      </c>
      <c r="I74" s="8">
        <v>42</v>
      </c>
      <c r="J74" s="1" t="s">
        <v>15</v>
      </c>
    </row>
    <row r="75" spans="1:10" x14ac:dyDescent="0.2">
      <c r="A75" s="5">
        <v>45724</v>
      </c>
      <c r="B75" s="1" t="s">
        <v>553</v>
      </c>
      <c r="C75" s="1" t="s">
        <v>554</v>
      </c>
      <c r="D75" s="1" t="s">
        <v>18</v>
      </c>
      <c r="E75" s="1" t="s">
        <v>13</v>
      </c>
      <c r="F75" s="1"/>
      <c r="G75" s="6" t="s">
        <v>14</v>
      </c>
      <c r="H75" s="7">
        <v>75000</v>
      </c>
      <c r="I75" s="8">
        <v>9.6</v>
      </c>
      <c r="J75" s="1" t="s">
        <v>15</v>
      </c>
    </row>
    <row r="76" spans="1:10" x14ac:dyDescent="0.2">
      <c r="A76" s="5">
        <v>45724</v>
      </c>
      <c r="B76" s="1" t="s">
        <v>725</v>
      </c>
      <c r="C76" s="1" t="s">
        <v>168</v>
      </c>
      <c r="D76" s="1" t="s">
        <v>196</v>
      </c>
      <c r="E76" s="1" t="s">
        <v>94</v>
      </c>
      <c r="F76" s="1"/>
      <c r="G76" s="6" t="s">
        <v>14</v>
      </c>
      <c r="H76" s="7">
        <v>85000</v>
      </c>
      <c r="I76" s="8">
        <v>34.799999999999997</v>
      </c>
      <c r="J76" s="1" t="s">
        <v>15</v>
      </c>
    </row>
    <row r="77" spans="1:10" x14ac:dyDescent="0.2">
      <c r="A77" s="5">
        <v>45724</v>
      </c>
      <c r="B77" s="1" t="s">
        <v>726</v>
      </c>
      <c r="C77" s="1" t="s">
        <v>727</v>
      </c>
      <c r="D77" s="1" t="s">
        <v>360</v>
      </c>
      <c r="E77" s="1" t="s">
        <v>19</v>
      </c>
      <c r="F77" s="1"/>
      <c r="G77" s="6" t="s">
        <v>23</v>
      </c>
      <c r="H77" s="7">
        <v>70000</v>
      </c>
      <c r="I77" s="8">
        <v>31</v>
      </c>
      <c r="J77" s="1"/>
    </row>
    <row r="78" spans="1:10" x14ac:dyDescent="0.2">
      <c r="A78" s="5">
        <v>45724</v>
      </c>
      <c r="B78" s="1" t="s">
        <v>464</v>
      </c>
      <c r="C78" s="1" t="s">
        <v>465</v>
      </c>
      <c r="D78" s="1" t="s">
        <v>153</v>
      </c>
      <c r="E78" s="1" t="s">
        <v>19</v>
      </c>
      <c r="F78" s="1"/>
      <c r="G78" s="6" t="s">
        <v>14</v>
      </c>
      <c r="H78" s="7">
        <v>65000</v>
      </c>
      <c r="I78" s="8">
        <v>5.9</v>
      </c>
      <c r="J78" s="1" t="s">
        <v>15</v>
      </c>
    </row>
    <row r="79" spans="1:10" x14ac:dyDescent="0.2">
      <c r="A79" s="5">
        <v>45724</v>
      </c>
      <c r="B79" s="1" t="s">
        <v>728</v>
      </c>
      <c r="C79" s="1" t="s">
        <v>313</v>
      </c>
      <c r="D79" s="1" t="s">
        <v>196</v>
      </c>
      <c r="E79" s="1" t="s">
        <v>94</v>
      </c>
      <c r="F79" s="1"/>
      <c r="G79" s="6" t="s">
        <v>14</v>
      </c>
      <c r="H79" s="7">
        <v>65000</v>
      </c>
      <c r="I79" s="8">
        <v>18</v>
      </c>
      <c r="J79" s="1" t="s">
        <v>15</v>
      </c>
    </row>
    <row r="80" spans="1:10" x14ac:dyDescent="0.2">
      <c r="A80" s="5">
        <v>45724</v>
      </c>
      <c r="B80" s="1"/>
      <c r="C80" s="1"/>
      <c r="D80" s="1"/>
      <c r="E80" s="1" t="s">
        <v>61</v>
      </c>
      <c r="F80" s="1"/>
      <c r="G80" s="6" t="s">
        <v>23</v>
      </c>
      <c r="H80" s="7">
        <v>15000</v>
      </c>
      <c r="I80" s="8"/>
      <c r="J80" s="1" t="s">
        <v>160</v>
      </c>
    </row>
    <row r="81" spans="1:10" x14ac:dyDescent="0.2">
      <c r="A81" s="5">
        <v>45724</v>
      </c>
      <c r="B81" s="1"/>
      <c r="C81" s="1"/>
      <c r="D81" s="1"/>
      <c r="E81" s="1" t="s">
        <v>61</v>
      </c>
      <c r="F81" s="1"/>
      <c r="G81" s="6" t="s">
        <v>23</v>
      </c>
      <c r="H81" s="7">
        <v>10000</v>
      </c>
      <c r="I81" s="8"/>
      <c r="J81" s="1" t="s">
        <v>160</v>
      </c>
    </row>
    <row r="82" spans="1:10" x14ac:dyDescent="0.2">
      <c r="A82" s="5">
        <v>45726</v>
      </c>
      <c r="B82" s="1" t="s">
        <v>374</v>
      </c>
      <c r="C82" s="1" t="s">
        <v>375</v>
      </c>
      <c r="D82" s="1" t="s">
        <v>131</v>
      </c>
      <c r="E82" s="1" t="s">
        <v>19</v>
      </c>
      <c r="F82" s="1"/>
      <c r="G82" s="6" t="s">
        <v>14</v>
      </c>
      <c r="H82" s="7">
        <v>70000</v>
      </c>
      <c r="I82" s="8">
        <v>29</v>
      </c>
      <c r="J82" s="1" t="s">
        <v>15</v>
      </c>
    </row>
    <row r="83" spans="1:10" x14ac:dyDescent="0.2">
      <c r="A83" s="5">
        <v>45726</v>
      </c>
      <c r="B83" s="1" t="s">
        <v>729</v>
      </c>
      <c r="C83" s="1" t="s">
        <v>730</v>
      </c>
      <c r="D83" s="1" t="s">
        <v>32</v>
      </c>
      <c r="E83" s="1" t="s">
        <v>19</v>
      </c>
      <c r="F83" s="1"/>
      <c r="G83" s="6" t="s">
        <v>14</v>
      </c>
      <c r="H83" s="7">
        <v>70000</v>
      </c>
      <c r="I83" s="8">
        <v>2.7</v>
      </c>
      <c r="J83" s="1" t="s">
        <v>160</v>
      </c>
    </row>
    <row r="84" spans="1:10" x14ac:dyDescent="0.2">
      <c r="A84" s="5">
        <v>45726</v>
      </c>
      <c r="B84" s="1" t="s">
        <v>729</v>
      </c>
      <c r="C84" s="1" t="s">
        <v>452</v>
      </c>
      <c r="D84" s="1" t="s">
        <v>32</v>
      </c>
      <c r="E84" s="1" t="s">
        <v>13</v>
      </c>
      <c r="F84" s="1"/>
      <c r="G84" s="6" t="s">
        <v>14</v>
      </c>
      <c r="H84" s="7">
        <v>70000</v>
      </c>
      <c r="I84" s="1">
        <v>2.2000000000000002</v>
      </c>
      <c r="J84" s="1" t="s">
        <v>160</v>
      </c>
    </row>
    <row r="85" spans="1:10" x14ac:dyDescent="0.2">
      <c r="A85" s="5">
        <v>45726</v>
      </c>
      <c r="B85" s="1" t="s">
        <v>481</v>
      </c>
      <c r="C85" s="1" t="s">
        <v>482</v>
      </c>
      <c r="D85" s="1" t="s">
        <v>371</v>
      </c>
      <c r="E85" s="1" t="s">
        <v>19</v>
      </c>
      <c r="F85" s="1"/>
      <c r="G85" s="6" t="s">
        <v>23</v>
      </c>
      <c r="H85" s="7">
        <v>60000</v>
      </c>
      <c r="I85" s="8">
        <v>42.7</v>
      </c>
      <c r="J85" s="1" t="s">
        <v>15</v>
      </c>
    </row>
    <row r="86" spans="1:10" x14ac:dyDescent="0.2">
      <c r="A86" s="5">
        <v>45726</v>
      </c>
      <c r="B86" s="1" t="s">
        <v>149</v>
      </c>
      <c r="C86" s="1" t="s">
        <v>150</v>
      </c>
      <c r="D86" s="1" t="s">
        <v>32</v>
      </c>
      <c r="E86" s="1" t="s">
        <v>19</v>
      </c>
      <c r="F86" s="1"/>
      <c r="G86" s="6" t="s">
        <v>14</v>
      </c>
      <c r="H86" s="7" t="s">
        <v>114</v>
      </c>
      <c r="I86" s="1">
        <v>3.1</v>
      </c>
      <c r="J86" s="1" t="s">
        <v>15</v>
      </c>
    </row>
    <row r="87" spans="1:10" x14ac:dyDescent="0.2">
      <c r="A87" s="5">
        <v>45726</v>
      </c>
      <c r="B87" s="1" t="s">
        <v>397</v>
      </c>
      <c r="C87" s="1" t="s">
        <v>398</v>
      </c>
      <c r="D87" s="1" t="s">
        <v>112</v>
      </c>
      <c r="E87" s="1" t="s">
        <v>113</v>
      </c>
      <c r="F87" s="1"/>
      <c r="G87" s="6" t="s">
        <v>14</v>
      </c>
      <c r="H87" s="7" t="s">
        <v>114</v>
      </c>
      <c r="I87" s="1"/>
      <c r="J87" s="1" t="s">
        <v>34</v>
      </c>
    </row>
    <row r="88" spans="1:10" x14ac:dyDescent="0.2">
      <c r="A88" s="5">
        <v>45726</v>
      </c>
      <c r="B88" s="1" t="s">
        <v>471</v>
      </c>
      <c r="C88" s="1" t="s">
        <v>472</v>
      </c>
      <c r="D88" s="1" t="s">
        <v>88</v>
      </c>
      <c r="E88" s="1" t="s">
        <v>94</v>
      </c>
      <c r="F88" s="1"/>
      <c r="G88" s="6" t="s">
        <v>14</v>
      </c>
      <c r="H88" s="7">
        <v>70000</v>
      </c>
      <c r="I88" s="8">
        <v>6.1</v>
      </c>
      <c r="J88" s="1" t="s">
        <v>15</v>
      </c>
    </row>
    <row r="89" spans="1:10" x14ac:dyDescent="0.2">
      <c r="A89" s="5">
        <v>45726</v>
      </c>
      <c r="B89" s="1" t="s">
        <v>731</v>
      </c>
      <c r="C89" s="1" t="s">
        <v>349</v>
      </c>
      <c r="D89" s="1" t="s">
        <v>88</v>
      </c>
      <c r="E89" s="1" t="s">
        <v>94</v>
      </c>
      <c r="F89" s="1"/>
      <c r="G89" s="6" t="s">
        <v>14</v>
      </c>
      <c r="H89" s="7">
        <v>70000</v>
      </c>
      <c r="I89" s="8">
        <v>3.2</v>
      </c>
      <c r="J89" s="1" t="s">
        <v>15</v>
      </c>
    </row>
    <row r="90" spans="1:10" x14ac:dyDescent="0.2">
      <c r="A90" s="5">
        <v>45726</v>
      </c>
      <c r="B90" s="1" t="s">
        <v>114</v>
      </c>
      <c r="C90" s="1" t="s">
        <v>114</v>
      </c>
      <c r="D90" s="1"/>
      <c r="E90" s="1" t="s">
        <v>61</v>
      </c>
      <c r="F90" s="1"/>
      <c r="G90" s="6" t="s">
        <v>23</v>
      </c>
      <c r="H90" s="7">
        <v>10000</v>
      </c>
      <c r="I90" s="8" t="s">
        <v>114</v>
      </c>
      <c r="J90" s="1" t="s">
        <v>160</v>
      </c>
    </row>
    <row r="91" spans="1:10" x14ac:dyDescent="0.2">
      <c r="A91" s="5">
        <v>45727</v>
      </c>
      <c r="B91" s="1" t="s">
        <v>732</v>
      </c>
      <c r="C91" s="1" t="s">
        <v>733</v>
      </c>
      <c r="D91" s="1" t="s">
        <v>32</v>
      </c>
      <c r="E91" s="1" t="s">
        <v>19</v>
      </c>
      <c r="F91" s="1"/>
      <c r="G91" s="6" t="s">
        <v>14</v>
      </c>
      <c r="H91" s="7">
        <v>55000</v>
      </c>
      <c r="I91" s="8">
        <v>5</v>
      </c>
      <c r="J91" s="1" t="s">
        <v>15</v>
      </c>
    </row>
    <row r="92" spans="1:10" x14ac:dyDescent="0.2">
      <c r="A92" s="5">
        <v>45727</v>
      </c>
      <c r="B92" s="1" t="s">
        <v>734</v>
      </c>
      <c r="C92" s="1" t="s">
        <v>735</v>
      </c>
      <c r="D92" s="1" t="s">
        <v>165</v>
      </c>
      <c r="E92" s="1" t="s">
        <v>13</v>
      </c>
      <c r="F92" s="1"/>
      <c r="G92" s="6" t="s">
        <v>14</v>
      </c>
      <c r="H92" s="7" t="s">
        <v>114</v>
      </c>
      <c r="I92" s="8"/>
      <c r="J92" s="1" t="s">
        <v>160</v>
      </c>
    </row>
    <row r="93" spans="1:10" x14ac:dyDescent="0.2">
      <c r="A93" s="5">
        <v>45727</v>
      </c>
      <c r="B93" s="1" t="s">
        <v>200</v>
      </c>
      <c r="C93" s="1" t="s">
        <v>201</v>
      </c>
      <c r="D93" s="1" t="s">
        <v>26</v>
      </c>
      <c r="E93" s="1" t="s">
        <v>19</v>
      </c>
      <c r="F93" s="1"/>
      <c r="G93" s="6" t="s">
        <v>14</v>
      </c>
      <c r="H93" s="7">
        <v>65000</v>
      </c>
      <c r="I93" s="8">
        <v>7.3</v>
      </c>
      <c r="J93" s="1" t="s">
        <v>15</v>
      </c>
    </row>
    <row r="94" spans="1:10" x14ac:dyDescent="0.2">
      <c r="A94" s="5">
        <v>45727</v>
      </c>
      <c r="B94" s="1" t="s">
        <v>736</v>
      </c>
      <c r="C94" s="1" t="s">
        <v>737</v>
      </c>
      <c r="D94" s="1" t="s">
        <v>153</v>
      </c>
      <c r="E94" s="1" t="s">
        <v>78</v>
      </c>
      <c r="F94" s="1"/>
      <c r="G94" s="6" t="s">
        <v>14</v>
      </c>
      <c r="H94" s="7">
        <v>65000</v>
      </c>
      <c r="I94" s="8">
        <v>3</v>
      </c>
      <c r="J94" s="1" t="s">
        <v>34</v>
      </c>
    </row>
    <row r="95" spans="1:10" x14ac:dyDescent="0.2">
      <c r="A95" s="5">
        <v>45727</v>
      </c>
      <c r="B95" s="1" t="s">
        <v>547</v>
      </c>
      <c r="C95" s="1" t="s">
        <v>738</v>
      </c>
      <c r="D95" s="1" t="s">
        <v>18</v>
      </c>
      <c r="E95" s="1" t="s">
        <v>13</v>
      </c>
      <c r="F95" s="1"/>
      <c r="G95" s="6" t="s">
        <v>14</v>
      </c>
      <c r="H95" s="7">
        <v>90000</v>
      </c>
      <c r="I95" s="8"/>
      <c r="J95" s="1" t="s">
        <v>15</v>
      </c>
    </row>
    <row r="96" spans="1:10" x14ac:dyDescent="0.2">
      <c r="A96" s="5">
        <v>45727</v>
      </c>
      <c r="B96" s="1" t="s">
        <v>739</v>
      </c>
      <c r="C96" s="1" t="s">
        <v>740</v>
      </c>
      <c r="D96" s="1" t="s">
        <v>26</v>
      </c>
      <c r="E96" s="1" t="s">
        <v>19</v>
      </c>
      <c r="F96" s="1"/>
      <c r="G96" s="6" t="s">
        <v>14</v>
      </c>
      <c r="H96" s="7">
        <v>70000</v>
      </c>
      <c r="I96" s="8">
        <v>4.7</v>
      </c>
      <c r="J96" s="1" t="s">
        <v>15</v>
      </c>
    </row>
    <row r="97" spans="1:10" x14ac:dyDescent="0.2">
      <c r="A97" s="5">
        <v>45727</v>
      </c>
      <c r="B97" s="1" t="s">
        <v>281</v>
      </c>
      <c r="C97" s="1" t="s">
        <v>282</v>
      </c>
      <c r="D97" s="1" t="s">
        <v>32</v>
      </c>
      <c r="E97" s="1" t="s">
        <v>19</v>
      </c>
      <c r="F97" s="1"/>
      <c r="G97" s="6" t="s">
        <v>14</v>
      </c>
      <c r="H97" s="7">
        <v>48000</v>
      </c>
      <c r="I97" s="8">
        <v>5.9</v>
      </c>
      <c r="J97" s="1" t="s">
        <v>34</v>
      </c>
    </row>
    <row r="98" spans="1:10" x14ac:dyDescent="0.2">
      <c r="A98" s="5">
        <v>45727</v>
      </c>
      <c r="B98" s="1" t="s">
        <v>741</v>
      </c>
      <c r="C98" s="1" t="s">
        <v>742</v>
      </c>
      <c r="D98" s="1" t="s">
        <v>49</v>
      </c>
      <c r="E98" s="1" t="s">
        <v>19</v>
      </c>
      <c r="F98" s="1"/>
      <c r="G98" s="6" t="s">
        <v>23</v>
      </c>
      <c r="H98" s="7">
        <v>25000</v>
      </c>
      <c r="I98" s="8">
        <v>2.2000000000000002</v>
      </c>
      <c r="J98" s="1" t="s">
        <v>15</v>
      </c>
    </row>
    <row r="99" spans="1:10" x14ac:dyDescent="0.2">
      <c r="A99" s="5">
        <v>45728</v>
      </c>
      <c r="B99" s="1" t="s">
        <v>470</v>
      </c>
      <c r="C99" s="1" t="s">
        <v>303</v>
      </c>
      <c r="D99" s="1" t="s">
        <v>101</v>
      </c>
      <c r="E99" s="1" t="s">
        <v>19</v>
      </c>
      <c r="F99" s="1"/>
      <c r="G99" s="6" t="s">
        <v>14</v>
      </c>
      <c r="H99" s="7">
        <v>65000</v>
      </c>
      <c r="I99" s="8">
        <v>9.4</v>
      </c>
      <c r="J99" s="1" t="s">
        <v>15</v>
      </c>
    </row>
    <row r="100" spans="1:10" x14ac:dyDescent="0.2">
      <c r="A100" s="5">
        <v>45728</v>
      </c>
      <c r="B100" s="1" t="s">
        <v>743</v>
      </c>
      <c r="C100" s="1" t="s">
        <v>744</v>
      </c>
      <c r="D100" s="1" t="s">
        <v>165</v>
      </c>
      <c r="E100" s="1" t="s">
        <v>13</v>
      </c>
      <c r="F100" s="1"/>
      <c r="G100" s="6" t="s">
        <v>14</v>
      </c>
      <c r="H100" s="7">
        <v>75000</v>
      </c>
      <c r="I100" s="8">
        <v>5.3</v>
      </c>
      <c r="J100" s="1" t="s">
        <v>15</v>
      </c>
    </row>
    <row r="101" spans="1:10" x14ac:dyDescent="0.2">
      <c r="A101" s="5">
        <v>45728</v>
      </c>
      <c r="B101" s="1" t="s">
        <v>743</v>
      </c>
      <c r="C101" s="1" t="s">
        <v>745</v>
      </c>
      <c r="D101" s="1" t="s">
        <v>64</v>
      </c>
      <c r="E101" s="1" t="s">
        <v>13</v>
      </c>
      <c r="F101" s="1"/>
      <c r="G101" s="6" t="s">
        <v>14</v>
      </c>
      <c r="H101" s="7">
        <v>60000</v>
      </c>
      <c r="I101" s="8">
        <v>4.7</v>
      </c>
      <c r="J101" s="1" t="s">
        <v>15</v>
      </c>
    </row>
    <row r="102" spans="1:10" x14ac:dyDescent="0.2">
      <c r="A102" s="5">
        <v>45728</v>
      </c>
      <c r="B102" s="1" t="s">
        <v>746</v>
      </c>
      <c r="C102" s="1" t="s">
        <v>452</v>
      </c>
      <c r="D102" s="1" t="s">
        <v>32</v>
      </c>
      <c r="E102" s="1" t="s">
        <v>13</v>
      </c>
      <c r="F102" s="1"/>
      <c r="G102" s="6" t="s">
        <v>14</v>
      </c>
      <c r="H102" s="7">
        <v>70000</v>
      </c>
      <c r="I102" s="8">
        <v>1.4</v>
      </c>
      <c r="J102" s="1" t="s">
        <v>34</v>
      </c>
    </row>
    <row r="103" spans="1:10" x14ac:dyDescent="0.2">
      <c r="A103" s="5">
        <v>45728</v>
      </c>
      <c r="B103" s="1" t="s">
        <v>747</v>
      </c>
      <c r="C103" s="1" t="s">
        <v>748</v>
      </c>
      <c r="D103" s="1" t="s">
        <v>18</v>
      </c>
      <c r="E103" s="1" t="s">
        <v>13</v>
      </c>
      <c r="F103" s="1"/>
      <c r="G103" s="6" t="s">
        <v>14</v>
      </c>
      <c r="H103" s="7">
        <v>95000</v>
      </c>
      <c r="I103" s="8">
        <v>15.6</v>
      </c>
      <c r="J103" s="1" t="s">
        <v>15</v>
      </c>
    </row>
    <row r="104" spans="1:10" x14ac:dyDescent="0.2">
      <c r="A104" s="5">
        <v>45728</v>
      </c>
      <c r="B104" s="1" t="s">
        <v>292</v>
      </c>
      <c r="C104" s="1" t="s">
        <v>198</v>
      </c>
      <c r="D104" s="1" t="s">
        <v>58</v>
      </c>
      <c r="E104" s="1" t="s">
        <v>59</v>
      </c>
      <c r="F104" s="1"/>
      <c r="G104" s="6" t="s">
        <v>14</v>
      </c>
      <c r="H104" s="7">
        <v>65000</v>
      </c>
      <c r="I104" s="8">
        <v>3.9</v>
      </c>
      <c r="J104" s="1" t="s">
        <v>160</v>
      </c>
    </row>
    <row r="105" spans="1:10" x14ac:dyDescent="0.2">
      <c r="A105" s="5">
        <v>45728</v>
      </c>
      <c r="B105" s="1" t="s">
        <v>749</v>
      </c>
      <c r="C105" s="1" t="s">
        <v>750</v>
      </c>
      <c r="D105" s="1" t="s">
        <v>26</v>
      </c>
      <c r="E105" s="1" t="s">
        <v>19</v>
      </c>
      <c r="F105" s="1"/>
      <c r="G105" s="6" t="s">
        <v>14</v>
      </c>
      <c r="H105" s="7">
        <v>60000</v>
      </c>
      <c r="I105" s="8"/>
      <c r="J105" s="1" t="s">
        <v>15</v>
      </c>
    </row>
    <row r="106" spans="1:10" x14ac:dyDescent="0.2">
      <c r="A106" s="5">
        <v>45729</v>
      </c>
      <c r="B106" s="1" t="s">
        <v>751</v>
      </c>
      <c r="C106" s="1" t="s">
        <v>431</v>
      </c>
      <c r="D106" s="1" t="s">
        <v>64</v>
      </c>
      <c r="E106" s="1" t="s">
        <v>19</v>
      </c>
      <c r="F106" s="1"/>
      <c r="G106" s="6" t="s">
        <v>14</v>
      </c>
      <c r="H106" s="7">
        <v>50000</v>
      </c>
      <c r="I106" s="8">
        <v>8.4</v>
      </c>
      <c r="J106" s="1" t="s">
        <v>15</v>
      </c>
    </row>
    <row r="107" spans="1:10" x14ac:dyDescent="0.2">
      <c r="A107" s="5">
        <v>45729</v>
      </c>
      <c r="B107" s="1" t="s">
        <v>508</v>
      </c>
      <c r="C107" s="1" t="s">
        <v>752</v>
      </c>
      <c r="D107" s="1" t="s">
        <v>64</v>
      </c>
      <c r="E107" s="1" t="s">
        <v>13</v>
      </c>
      <c r="F107" s="1"/>
      <c r="G107" s="6" t="s">
        <v>14</v>
      </c>
      <c r="H107" s="7">
        <v>70000</v>
      </c>
      <c r="I107" s="8">
        <v>14.1</v>
      </c>
      <c r="J107" s="1" t="s">
        <v>15</v>
      </c>
    </row>
    <row r="108" spans="1:10" x14ac:dyDescent="0.2">
      <c r="A108" s="5">
        <v>45729</v>
      </c>
      <c r="B108" s="1" t="s">
        <v>753</v>
      </c>
      <c r="C108" s="1" t="s">
        <v>754</v>
      </c>
      <c r="D108" s="1" t="s">
        <v>32</v>
      </c>
      <c r="E108" s="1" t="s">
        <v>19</v>
      </c>
      <c r="F108" s="1"/>
      <c r="G108" s="6" t="s">
        <v>14</v>
      </c>
      <c r="H108" s="7">
        <v>65000</v>
      </c>
      <c r="I108" s="8"/>
      <c r="J108" s="1" t="s">
        <v>15</v>
      </c>
    </row>
    <row r="109" spans="1:10" x14ac:dyDescent="0.2">
      <c r="A109" s="5">
        <v>45729</v>
      </c>
      <c r="B109" s="1" t="s">
        <v>755</v>
      </c>
      <c r="C109" s="1" t="s">
        <v>21</v>
      </c>
      <c r="D109" s="1" t="s">
        <v>494</v>
      </c>
      <c r="E109" s="1" t="s">
        <v>59</v>
      </c>
      <c r="F109" s="1"/>
      <c r="G109" s="6" t="s">
        <v>14</v>
      </c>
      <c r="H109" s="7">
        <v>110000</v>
      </c>
      <c r="I109" s="8"/>
      <c r="J109" s="1" t="s">
        <v>15</v>
      </c>
    </row>
    <row r="110" spans="1:10" x14ac:dyDescent="0.2">
      <c r="A110" s="5">
        <v>45729</v>
      </c>
      <c r="B110" s="1" t="s">
        <v>755</v>
      </c>
      <c r="C110" s="1" t="s">
        <v>756</v>
      </c>
      <c r="D110" s="1" t="s">
        <v>494</v>
      </c>
      <c r="E110" s="1" t="s">
        <v>59</v>
      </c>
      <c r="F110" s="1"/>
      <c r="G110" s="6" t="s">
        <v>14</v>
      </c>
      <c r="H110" s="7">
        <v>110000</v>
      </c>
      <c r="I110" s="8"/>
      <c r="J110" s="1" t="s">
        <v>15</v>
      </c>
    </row>
    <row r="111" spans="1:10" x14ac:dyDescent="0.2">
      <c r="A111" s="5">
        <v>45729</v>
      </c>
      <c r="B111" s="1" t="s">
        <v>504</v>
      </c>
      <c r="C111" s="1" t="s">
        <v>522</v>
      </c>
      <c r="D111" s="1" t="s">
        <v>64</v>
      </c>
      <c r="E111" s="1" t="s">
        <v>19</v>
      </c>
      <c r="F111" s="1"/>
      <c r="G111" s="6" t="s">
        <v>23</v>
      </c>
      <c r="H111" s="7">
        <v>60000</v>
      </c>
      <c r="I111" s="8">
        <v>15.2</v>
      </c>
      <c r="J111" s="1" t="s">
        <v>15</v>
      </c>
    </row>
    <row r="112" spans="1:10" x14ac:dyDescent="0.2">
      <c r="A112" s="5">
        <v>45729</v>
      </c>
      <c r="B112" s="1"/>
      <c r="C112" s="1"/>
      <c r="D112" s="1"/>
      <c r="E112" s="1" t="s">
        <v>61</v>
      </c>
      <c r="F112" s="1"/>
      <c r="G112" s="6"/>
      <c r="H112" s="7">
        <v>10000</v>
      </c>
      <c r="I112" s="8"/>
      <c r="J112" s="1" t="s">
        <v>160</v>
      </c>
    </row>
    <row r="113" spans="1:10" x14ac:dyDescent="0.2">
      <c r="A113" s="5">
        <v>45730</v>
      </c>
      <c r="B113" s="1" t="s">
        <v>344</v>
      </c>
      <c r="C113" s="1" t="s">
        <v>25</v>
      </c>
      <c r="D113" s="1" t="s">
        <v>26</v>
      </c>
      <c r="E113" s="1" t="s">
        <v>19</v>
      </c>
      <c r="F113" s="1"/>
      <c r="G113" s="6" t="s">
        <v>14</v>
      </c>
      <c r="H113" s="7">
        <v>80000</v>
      </c>
      <c r="I113" s="8">
        <v>7.6</v>
      </c>
      <c r="J113" s="1" t="s">
        <v>15</v>
      </c>
    </row>
    <row r="114" spans="1:10" x14ac:dyDescent="0.2">
      <c r="A114" s="5">
        <v>45730</v>
      </c>
      <c r="B114" s="1" t="s">
        <v>344</v>
      </c>
      <c r="C114" s="1" t="s">
        <v>31</v>
      </c>
      <c r="D114" s="1" t="s">
        <v>64</v>
      </c>
      <c r="E114" s="1" t="s">
        <v>19</v>
      </c>
      <c r="F114" s="1"/>
      <c r="G114" s="6" t="s">
        <v>23</v>
      </c>
      <c r="H114" s="7">
        <v>55000</v>
      </c>
      <c r="I114" s="8">
        <v>14.2</v>
      </c>
      <c r="J114" s="1" t="s">
        <v>15</v>
      </c>
    </row>
    <row r="115" spans="1:10" x14ac:dyDescent="0.2">
      <c r="A115" s="5">
        <v>45730</v>
      </c>
      <c r="B115" s="1" t="s">
        <v>757</v>
      </c>
      <c r="C115" s="1" t="s">
        <v>57</v>
      </c>
      <c r="D115" s="1" t="s">
        <v>88</v>
      </c>
      <c r="E115" s="1" t="s">
        <v>94</v>
      </c>
      <c r="F115" s="1"/>
      <c r="G115" s="6" t="s">
        <v>14</v>
      </c>
      <c r="H115" s="7">
        <v>60000</v>
      </c>
      <c r="I115" s="8">
        <v>3.6</v>
      </c>
      <c r="J115" s="1" t="s">
        <v>15</v>
      </c>
    </row>
    <row r="116" spans="1:10" x14ac:dyDescent="0.2">
      <c r="A116" s="5">
        <v>45730</v>
      </c>
      <c r="B116" s="1" t="s">
        <v>758</v>
      </c>
      <c r="C116" s="1" t="s">
        <v>275</v>
      </c>
      <c r="D116" s="1" t="s">
        <v>26</v>
      </c>
      <c r="E116" s="1" t="s">
        <v>13</v>
      </c>
      <c r="F116" s="1"/>
      <c r="G116" s="6" t="s">
        <v>14</v>
      </c>
      <c r="H116" s="7">
        <v>70000</v>
      </c>
      <c r="I116" s="8">
        <v>5.4</v>
      </c>
      <c r="J116" s="1" t="s">
        <v>15</v>
      </c>
    </row>
    <row r="117" spans="1:10" x14ac:dyDescent="0.2">
      <c r="A117" s="5">
        <v>45730</v>
      </c>
      <c r="B117" s="1" t="s">
        <v>759</v>
      </c>
      <c r="C117" s="1" t="s">
        <v>760</v>
      </c>
      <c r="D117" s="1" t="s">
        <v>26</v>
      </c>
      <c r="E117" s="1" t="s">
        <v>13</v>
      </c>
      <c r="F117" s="1"/>
      <c r="G117" s="6" t="s">
        <v>14</v>
      </c>
      <c r="H117" s="7">
        <v>90000</v>
      </c>
      <c r="I117" s="8">
        <v>11.4</v>
      </c>
      <c r="J117" s="1" t="s">
        <v>15</v>
      </c>
    </row>
    <row r="118" spans="1:10" x14ac:dyDescent="0.2">
      <c r="A118" s="5">
        <v>45730</v>
      </c>
      <c r="B118" s="1" t="s">
        <v>761</v>
      </c>
      <c r="C118" s="1" t="s">
        <v>667</v>
      </c>
      <c r="D118" s="1" t="s">
        <v>26</v>
      </c>
      <c r="E118" s="1" t="s">
        <v>13</v>
      </c>
      <c r="F118" s="1" t="s">
        <v>209</v>
      </c>
      <c r="G118" s="6" t="s">
        <v>14</v>
      </c>
      <c r="H118" s="7">
        <v>145000</v>
      </c>
      <c r="I118" s="8"/>
      <c r="J118" s="1" t="s">
        <v>15</v>
      </c>
    </row>
    <row r="119" spans="1:10" x14ac:dyDescent="0.2">
      <c r="A119" s="5">
        <v>45730</v>
      </c>
      <c r="B119" s="1" t="s">
        <v>762</v>
      </c>
      <c r="C119" s="1" t="s">
        <v>396</v>
      </c>
      <c r="D119" s="1" t="s">
        <v>32</v>
      </c>
      <c r="E119" s="1" t="s">
        <v>113</v>
      </c>
      <c r="F119" s="1"/>
      <c r="G119" s="6" t="s">
        <v>14</v>
      </c>
      <c r="H119" s="7" t="s">
        <v>114</v>
      </c>
      <c r="I119" s="8"/>
      <c r="J119" s="1" t="s">
        <v>15</v>
      </c>
    </row>
    <row r="120" spans="1:10" x14ac:dyDescent="0.2">
      <c r="A120" s="5">
        <v>45731</v>
      </c>
      <c r="B120" s="1" t="s">
        <v>763</v>
      </c>
      <c r="C120" s="1" t="s">
        <v>764</v>
      </c>
      <c r="D120" s="1" t="s">
        <v>119</v>
      </c>
      <c r="E120" s="1" t="s">
        <v>19</v>
      </c>
      <c r="F120" s="1"/>
      <c r="G120" s="6" t="s">
        <v>23</v>
      </c>
      <c r="H120" s="7">
        <v>50000</v>
      </c>
      <c r="I120" s="8">
        <v>7.7</v>
      </c>
      <c r="J120" s="1" t="s">
        <v>15</v>
      </c>
    </row>
    <row r="121" spans="1:10" x14ac:dyDescent="0.2">
      <c r="A121" s="5">
        <v>45731</v>
      </c>
      <c r="B121" s="1" t="s">
        <v>765</v>
      </c>
      <c r="C121" s="1" t="s">
        <v>398</v>
      </c>
      <c r="D121" s="1" t="s">
        <v>26</v>
      </c>
      <c r="E121" s="1" t="s">
        <v>19</v>
      </c>
      <c r="F121" s="1"/>
      <c r="G121" s="6" t="s">
        <v>14</v>
      </c>
      <c r="H121" s="7">
        <v>75000</v>
      </c>
      <c r="I121" s="8">
        <v>7.2</v>
      </c>
      <c r="J121" s="1" t="s">
        <v>34</v>
      </c>
    </row>
    <row r="122" spans="1:10" x14ac:dyDescent="0.2">
      <c r="A122" s="5">
        <v>45731</v>
      </c>
      <c r="B122" s="1" t="s">
        <v>132</v>
      </c>
      <c r="C122" s="1" t="s">
        <v>36</v>
      </c>
      <c r="D122" s="1" t="s">
        <v>18</v>
      </c>
      <c r="E122" s="1" t="s">
        <v>19</v>
      </c>
      <c r="F122" s="1"/>
      <c r="G122" s="6" t="s">
        <v>14</v>
      </c>
      <c r="H122" s="7" t="s">
        <v>114</v>
      </c>
      <c r="I122" s="8"/>
      <c r="J122" s="1" t="s">
        <v>15</v>
      </c>
    </row>
    <row r="123" spans="1:10" x14ac:dyDescent="0.2">
      <c r="A123" s="5">
        <v>45731</v>
      </c>
      <c r="B123" s="1" t="s">
        <v>350</v>
      </c>
      <c r="C123" s="1" t="s">
        <v>766</v>
      </c>
      <c r="D123" s="1" t="s">
        <v>352</v>
      </c>
      <c r="E123" s="1" t="s">
        <v>19</v>
      </c>
      <c r="F123" s="1"/>
      <c r="G123" s="6" t="s">
        <v>23</v>
      </c>
      <c r="H123" s="7">
        <v>50000</v>
      </c>
      <c r="I123" s="8">
        <v>15.2</v>
      </c>
      <c r="J123" s="1" t="s">
        <v>15</v>
      </c>
    </row>
    <row r="124" spans="1:10" x14ac:dyDescent="0.2">
      <c r="A124" s="5">
        <v>45731</v>
      </c>
      <c r="B124" s="1" t="s">
        <v>584</v>
      </c>
      <c r="C124" s="1" t="s">
        <v>585</v>
      </c>
      <c r="D124" s="1" t="s">
        <v>22</v>
      </c>
      <c r="E124" s="1" t="s">
        <v>19</v>
      </c>
      <c r="F124" s="1"/>
      <c r="G124" s="6" t="s">
        <v>23</v>
      </c>
      <c r="H124" s="7">
        <v>55000</v>
      </c>
      <c r="I124" s="8"/>
      <c r="J124" s="1" t="s">
        <v>15</v>
      </c>
    </row>
    <row r="125" spans="1:10" x14ac:dyDescent="0.2">
      <c r="A125" s="5">
        <v>45731</v>
      </c>
      <c r="B125" s="1" t="s">
        <v>267</v>
      </c>
      <c r="C125" s="1" t="s">
        <v>268</v>
      </c>
      <c r="D125" s="1" t="s">
        <v>165</v>
      </c>
      <c r="E125" s="1" t="s">
        <v>19</v>
      </c>
      <c r="F125" s="1"/>
      <c r="G125" s="6" t="s">
        <v>14</v>
      </c>
      <c r="H125" s="7">
        <v>60000</v>
      </c>
      <c r="I125" s="8">
        <v>3.7</v>
      </c>
      <c r="J125" s="1" t="s">
        <v>15</v>
      </c>
    </row>
    <row r="126" spans="1:10" x14ac:dyDescent="0.2">
      <c r="A126" s="5">
        <v>45731</v>
      </c>
      <c r="B126" s="1" t="s">
        <v>473</v>
      </c>
      <c r="C126" s="1" t="s">
        <v>398</v>
      </c>
      <c r="D126" s="1" t="s">
        <v>222</v>
      </c>
      <c r="E126" s="1" t="s">
        <v>19</v>
      </c>
      <c r="F126" s="1"/>
      <c r="G126" s="6" t="s">
        <v>23</v>
      </c>
      <c r="H126" s="7">
        <v>60000</v>
      </c>
      <c r="I126" s="8">
        <v>32.4</v>
      </c>
      <c r="J126" s="1" t="s">
        <v>15</v>
      </c>
    </row>
    <row r="127" spans="1:10" x14ac:dyDescent="0.2">
      <c r="A127" s="5">
        <v>45731</v>
      </c>
      <c r="B127" s="1" t="s">
        <v>346</v>
      </c>
      <c r="C127" s="1" t="s">
        <v>176</v>
      </c>
      <c r="D127" s="1" t="s">
        <v>26</v>
      </c>
      <c r="E127" s="1" t="s">
        <v>19</v>
      </c>
      <c r="F127" s="1"/>
      <c r="G127" s="6" t="s">
        <v>14</v>
      </c>
      <c r="H127" s="7">
        <v>70000</v>
      </c>
      <c r="I127" s="8"/>
      <c r="J127" s="1" t="s">
        <v>15</v>
      </c>
    </row>
    <row r="128" spans="1:10" x14ac:dyDescent="0.2">
      <c r="A128" s="5">
        <v>45731</v>
      </c>
      <c r="B128" s="1"/>
      <c r="C128" s="1"/>
      <c r="D128" s="1"/>
      <c r="E128" s="1" t="s">
        <v>61</v>
      </c>
      <c r="F128" s="1"/>
      <c r="G128" s="6"/>
      <c r="H128" s="7">
        <v>10000</v>
      </c>
      <c r="I128" s="8"/>
      <c r="J128" s="1" t="s">
        <v>160</v>
      </c>
    </row>
    <row r="129" spans="1:10" x14ac:dyDescent="0.2">
      <c r="A129" s="5">
        <v>45731</v>
      </c>
      <c r="B129" s="1"/>
      <c r="C129" s="1"/>
      <c r="D129" s="1"/>
      <c r="E129" s="1" t="s">
        <v>61</v>
      </c>
      <c r="F129" s="1"/>
      <c r="G129" s="6"/>
      <c r="H129" s="7">
        <v>10000</v>
      </c>
      <c r="I129" s="8"/>
      <c r="J129" s="1" t="s">
        <v>160</v>
      </c>
    </row>
    <row r="130" spans="1:10" x14ac:dyDescent="0.2">
      <c r="A130" s="5">
        <v>45733</v>
      </c>
      <c r="B130" s="1" t="s">
        <v>105</v>
      </c>
      <c r="C130" s="1" t="s">
        <v>440</v>
      </c>
      <c r="D130" s="1" t="s">
        <v>88</v>
      </c>
      <c r="E130" s="1" t="s">
        <v>13</v>
      </c>
      <c r="F130" s="1"/>
      <c r="G130" s="6" t="s">
        <v>14</v>
      </c>
      <c r="H130" s="7">
        <v>70000</v>
      </c>
      <c r="I130" s="8">
        <v>3.4</v>
      </c>
      <c r="J130" s="1" t="s">
        <v>15</v>
      </c>
    </row>
    <row r="131" spans="1:10" x14ac:dyDescent="0.2">
      <c r="A131" s="5">
        <v>45733</v>
      </c>
      <c r="B131" s="1" t="s">
        <v>105</v>
      </c>
      <c r="C131" s="1" t="s">
        <v>767</v>
      </c>
      <c r="D131" s="1" t="s">
        <v>88</v>
      </c>
      <c r="E131" s="1" t="s">
        <v>13</v>
      </c>
      <c r="F131" s="1"/>
      <c r="G131" s="6" t="s">
        <v>14</v>
      </c>
      <c r="H131" s="7">
        <v>70000</v>
      </c>
      <c r="I131" s="8">
        <v>6.6</v>
      </c>
      <c r="J131" s="1" t="s">
        <v>15</v>
      </c>
    </row>
    <row r="132" spans="1:10" x14ac:dyDescent="0.2">
      <c r="A132" s="5">
        <v>45733</v>
      </c>
      <c r="B132" s="1" t="s">
        <v>105</v>
      </c>
      <c r="C132" s="1" t="s">
        <v>206</v>
      </c>
      <c r="D132" s="1" t="s">
        <v>196</v>
      </c>
      <c r="E132" s="1" t="s">
        <v>94</v>
      </c>
      <c r="F132" s="1"/>
      <c r="G132" s="6" t="s">
        <v>14</v>
      </c>
      <c r="H132" s="7">
        <v>160000</v>
      </c>
      <c r="I132" s="8">
        <v>35</v>
      </c>
      <c r="J132" s="1" t="s">
        <v>15</v>
      </c>
    </row>
    <row r="133" spans="1:10" x14ac:dyDescent="0.2">
      <c r="A133" s="5">
        <v>45733</v>
      </c>
      <c r="B133" s="1" t="s">
        <v>576</v>
      </c>
      <c r="C133" s="1" t="s">
        <v>398</v>
      </c>
      <c r="D133" s="1" t="s">
        <v>49</v>
      </c>
      <c r="E133" s="1" t="s">
        <v>19</v>
      </c>
      <c r="F133" s="1"/>
      <c r="G133" s="6" t="s">
        <v>23</v>
      </c>
      <c r="H133" s="7">
        <v>25000</v>
      </c>
      <c r="I133" s="8"/>
      <c r="J133" s="1" t="s">
        <v>15</v>
      </c>
    </row>
    <row r="134" spans="1:10" x14ac:dyDescent="0.2">
      <c r="A134" s="5">
        <v>45733</v>
      </c>
      <c r="B134" s="1" t="s">
        <v>768</v>
      </c>
      <c r="C134" s="1" t="s">
        <v>46</v>
      </c>
      <c r="D134" s="1" t="s">
        <v>26</v>
      </c>
      <c r="E134" s="1" t="s">
        <v>19</v>
      </c>
      <c r="F134" s="1"/>
      <c r="G134" s="6" t="s">
        <v>14</v>
      </c>
      <c r="H134" s="7">
        <v>60000</v>
      </c>
      <c r="I134" s="8"/>
      <c r="J134" s="1" t="s">
        <v>15</v>
      </c>
    </row>
    <row r="135" spans="1:10" x14ac:dyDescent="0.2">
      <c r="A135" s="5">
        <v>45733</v>
      </c>
      <c r="B135" s="1" t="s">
        <v>393</v>
      </c>
      <c r="C135" s="1" t="s">
        <v>275</v>
      </c>
      <c r="D135" s="1" t="s">
        <v>165</v>
      </c>
      <c r="E135" s="1" t="s">
        <v>13</v>
      </c>
      <c r="F135" s="1"/>
      <c r="G135" s="6"/>
      <c r="H135" s="7">
        <v>70000</v>
      </c>
      <c r="I135" s="8"/>
      <c r="J135" s="1" t="s">
        <v>15</v>
      </c>
    </row>
    <row r="136" spans="1:10" x14ac:dyDescent="0.2">
      <c r="A136" s="5">
        <v>45733</v>
      </c>
      <c r="B136" s="1" t="s">
        <v>393</v>
      </c>
      <c r="C136" s="1" t="s">
        <v>715</v>
      </c>
      <c r="D136" s="1" t="s">
        <v>165</v>
      </c>
      <c r="E136" s="1" t="s">
        <v>13</v>
      </c>
      <c r="F136" s="1"/>
      <c r="G136" s="6"/>
      <c r="H136" s="7">
        <v>70000</v>
      </c>
      <c r="I136" s="8"/>
      <c r="J136" s="1" t="s">
        <v>15</v>
      </c>
    </row>
    <row r="137" spans="1:10" x14ac:dyDescent="0.2">
      <c r="A137" s="5">
        <v>45733</v>
      </c>
      <c r="B137" s="1" t="s">
        <v>111</v>
      </c>
      <c r="C137" s="1" t="s">
        <v>63</v>
      </c>
      <c r="D137" s="1" t="s">
        <v>112</v>
      </c>
      <c r="E137" s="1" t="s">
        <v>19</v>
      </c>
      <c r="F137" s="1"/>
      <c r="G137" s="6" t="s">
        <v>14</v>
      </c>
      <c r="H137" s="7" t="s">
        <v>114</v>
      </c>
      <c r="I137" s="8"/>
      <c r="J137" s="1" t="s">
        <v>34</v>
      </c>
    </row>
    <row r="138" spans="1:10" x14ac:dyDescent="0.2">
      <c r="A138" s="5">
        <v>45733</v>
      </c>
      <c r="B138" s="1" t="s">
        <v>769</v>
      </c>
      <c r="C138" s="1" t="s">
        <v>382</v>
      </c>
      <c r="D138" s="1" t="s">
        <v>12</v>
      </c>
      <c r="E138" s="1" t="s">
        <v>13</v>
      </c>
      <c r="F138" s="1"/>
      <c r="G138" s="6"/>
      <c r="H138" s="7">
        <v>70000</v>
      </c>
      <c r="I138" s="8"/>
      <c r="J138" s="1" t="s">
        <v>15</v>
      </c>
    </row>
    <row r="139" spans="1:10" x14ac:dyDescent="0.2">
      <c r="A139" s="5">
        <v>45733</v>
      </c>
      <c r="B139" s="15"/>
      <c r="C139" s="15"/>
      <c r="D139" s="15"/>
      <c r="E139" s="15" t="s">
        <v>61</v>
      </c>
      <c r="F139" s="1"/>
      <c r="G139" s="6"/>
      <c r="H139" s="7">
        <v>10000</v>
      </c>
      <c r="I139" s="8"/>
      <c r="J139" s="1" t="s">
        <v>160</v>
      </c>
    </row>
    <row r="140" spans="1:10" x14ac:dyDescent="0.2">
      <c r="A140" s="5">
        <v>45734</v>
      </c>
      <c r="B140" s="1" t="s">
        <v>508</v>
      </c>
      <c r="C140" s="1" t="s">
        <v>173</v>
      </c>
      <c r="D140" s="1" t="s">
        <v>88</v>
      </c>
      <c r="E140" s="1" t="s">
        <v>94</v>
      </c>
      <c r="F140" s="1"/>
      <c r="G140" s="6" t="s">
        <v>14</v>
      </c>
      <c r="H140" s="7">
        <v>70000</v>
      </c>
      <c r="I140" s="8"/>
      <c r="J140" s="1" t="s">
        <v>15</v>
      </c>
    </row>
    <row r="141" spans="1:10" x14ac:dyDescent="0.2">
      <c r="A141" s="5">
        <v>45734</v>
      </c>
      <c r="B141" s="1" t="s">
        <v>508</v>
      </c>
      <c r="C141" s="1" t="s">
        <v>770</v>
      </c>
      <c r="D141" s="1" t="s">
        <v>88</v>
      </c>
      <c r="E141" s="1" t="s">
        <v>94</v>
      </c>
      <c r="F141" s="1"/>
      <c r="G141" s="6" t="s">
        <v>14</v>
      </c>
      <c r="H141" s="7">
        <v>70000</v>
      </c>
      <c r="I141" s="8"/>
      <c r="J141" s="1" t="s">
        <v>15</v>
      </c>
    </row>
    <row r="142" spans="1:10" x14ac:dyDescent="0.2">
      <c r="A142" s="5">
        <v>45734</v>
      </c>
      <c r="B142" s="1" t="s">
        <v>508</v>
      </c>
      <c r="C142" s="1" t="s">
        <v>219</v>
      </c>
      <c r="D142" s="1" t="s">
        <v>88</v>
      </c>
      <c r="E142" s="1" t="s">
        <v>94</v>
      </c>
      <c r="F142" s="1"/>
      <c r="G142" s="6" t="s">
        <v>14</v>
      </c>
      <c r="H142" s="7">
        <v>70000</v>
      </c>
      <c r="I142" s="8"/>
      <c r="J142" s="1" t="s">
        <v>15</v>
      </c>
    </row>
    <row r="143" spans="1:10" x14ac:dyDescent="0.2">
      <c r="A143" s="5">
        <v>45734</v>
      </c>
      <c r="B143" s="1" t="s">
        <v>508</v>
      </c>
      <c r="C143" s="1" t="s">
        <v>771</v>
      </c>
      <c r="D143" s="1" t="s">
        <v>88</v>
      </c>
      <c r="E143" s="1" t="s">
        <v>94</v>
      </c>
      <c r="F143" s="1"/>
      <c r="G143" s="6" t="s">
        <v>14</v>
      </c>
      <c r="H143" s="7">
        <v>70000</v>
      </c>
      <c r="I143" s="8"/>
      <c r="J143" s="1" t="s">
        <v>15</v>
      </c>
    </row>
    <row r="144" spans="1:10" x14ac:dyDescent="0.2">
      <c r="A144" s="5">
        <v>45734</v>
      </c>
      <c r="B144" s="1" t="s">
        <v>772</v>
      </c>
      <c r="C144" s="1" t="s">
        <v>773</v>
      </c>
      <c r="D144" s="1" t="s">
        <v>26</v>
      </c>
      <c r="E144" s="1" t="s">
        <v>13</v>
      </c>
      <c r="F144" s="1"/>
      <c r="G144" s="6" t="s">
        <v>14</v>
      </c>
      <c r="H144" s="7">
        <v>90000</v>
      </c>
      <c r="I144" s="8"/>
      <c r="J144" s="1" t="s">
        <v>15</v>
      </c>
    </row>
    <row r="145" spans="1:10" x14ac:dyDescent="0.2">
      <c r="A145" s="5">
        <v>45734</v>
      </c>
      <c r="B145" s="1" t="s">
        <v>263</v>
      </c>
      <c r="C145" s="1" t="s">
        <v>264</v>
      </c>
      <c r="D145" s="1" t="s">
        <v>88</v>
      </c>
      <c r="E145" s="1" t="s">
        <v>94</v>
      </c>
      <c r="F145" s="1"/>
      <c r="G145" s="6" t="s">
        <v>14</v>
      </c>
      <c r="H145" s="7" t="s">
        <v>114</v>
      </c>
      <c r="I145" s="8"/>
      <c r="J145" s="1" t="s">
        <v>37</v>
      </c>
    </row>
    <row r="146" spans="1:10" x14ac:dyDescent="0.2">
      <c r="A146" s="5">
        <v>45734</v>
      </c>
      <c r="B146" s="1" t="s">
        <v>774</v>
      </c>
      <c r="C146" s="1" t="s">
        <v>563</v>
      </c>
      <c r="D146" s="1" t="s">
        <v>26</v>
      </c>
      <c r="E146" s="1" t="s">
        <v>13</v>
      </c>
      <c r="F146" s="1" t="s">
        <v>775</v>
      </c>
      <c r="G146" s="6" t="s">
        <v>14</v>
      </c>
      <c r="H146" s="7">
        <v>85000</v>
      </c>
      <c r="I146" s="8"/>
      <c r="J146" s="1"/>
    </row>
    <row r="147" spans="1:10" x14ac:dyDescent="0.2">
      <c r="A147" s="5">
        <v>45734</v>
      </c>
      <c r="B147" s="1" t="s">
        <v>776</v>
      </c>
      <c r="C147" s="1" t="s">
        <v>777</v>
      </c>
      <c r="D147" s="1" t="s">
        <v>32</v>
      </c>
      <c r="E147" s="1" t="s">
        <v>19</v>
      </c>
      <c r="F147" s="1"/>
      <c r="G147" s="6" t="s">
        <v>14</v>
      </c>
      <c r="H147" s="7">
        <v>80000</v>
      </c>
      <c r="I147" s="8"/>
      <c r="J147" s="1" t="s">
        <v>15</v>
      </c>
    </row>
    <row r="148" spans="1:10" x14ac:dyDescent="0.2">
      <c r="A148" s="5">
        <v>45734</v>
      </c>
      <c r="B148" s="1" t="s">
        <v>778</v>
      </c>
      <c r="C148" s="1" t="s">
        <v>206</v>
      </c>
      <c r="D148" s="1" t="s">
        <v>779</v>
      </c>
      <c r="E148" s="1" t="s">
        <v>113</v>
      </c>
      <c r="F148" s="1"/>
      <c r="G148" s="6" t="s">
        <v>14</v>
      </c>
      <c r="H148" s="7" t="s">
        <v>114</v>
      </c>
      <c r="I148" s="8"/>
      <c r="J148" s="1" t="s">
        <v>160</v>
      </c>
    </row>
    <row r="149" spans="1:10" x14ac:dyDescent="0.2">
      <c r="A149" s="5">
        <v>45734</v>
      </c>
      <c r="B149" s="1" t="s">
        <v>204</v>
      </c>
      <c r="C149" s="1" t="s">
        <v>510</v>
      </c>
      <c r="D149" s="1" t="s">
        <v>88</v>
      </c>
      <c r="E149" s="1" t="s">
        <v>94</v>
      </c>
      <c r="F149" s="1"/>
      <c r="G149" s="6" t="s">
        <v>14</v>
      </c>
      <c r="H149" s="7">
        <v>80000</v>
      </c>
      <c r="I149" s="8"/>
      <c r="J149" s="1" t="s">
        <v>15</v>
      </c>
    </row>
    <row r="150" spans="1:10" x14ac:dyDescent="0.2">
      <c r="A150" s="5">
        <v>45734</v>
      </c>
      <c r="B150" s="1" t="s">
        <v>780</v>
      </c>
      <c r="C150" s="1" t="s">
        <v>46</v>
      </c>
      <c r="D150" s="1" t="s">
        <v>26</v>
      </c>
      <c r="E150" s="1" t="s">
        <v>113</v>
      </c>
      <c r="F150" s="1"/>
      <c r="G150" s="6" t="s">
        <v>14</v>
      </c>
      <c r="H150" s="7">
        <v>70000</v>
      </c>
      <c r="I150" s="8"/>
      <c r="J150" s="1" t="s">
        <v>15</v>
      </c>
    </row>
    <row r="151" spans="1:10" x14ac:dyDescent="0.2">
      <c r="A151" s="5">
        <v>45734</v>
      </c>
      <c r="B151" s="1" t="s">
        <v>781</v>
      </c>
      <c r="C151" s="1" t="s">
        <v>444</v>
      </c>
      <c r="D151" s="1" t="s">
        <v>340</v>
      </c>
      <c r="E151" s="1" t="s">
        <v>19</v>
      </c>
      <c r="F151" s="1" t="s">
        <v>209</v>
      </c>
      <c r="G151" s="6" t="s">
        <v>14</v>
      </c>
      <c r="H151" s="7">
        <f>70000+30000</f>
        <v>100000</v>
      </c>
      <c r="I151" s="8"/>
      <c r="J151" s="1" t="s">
        <v>15</v>
      </c>
    </row>
    <row r="152" spans="1:10" x14ac:dyDescent="0.2">
      <c r="A152" s="5">
        <v>45735</v>
      </c>
      <c r="B152" s="1" t="s">
        <v>782</v>
      </c>
      <c r="C152" s="1" t="s">
        <v>783</v>
      </c>
      <c r="D152" s="1" t="s">
        <v>18</v>
      </c>
      <c r="E152" s="1" t="s">
        <v>13</v>
      </c>
      <c r="F152" s="1"/>
      <c r="G152" s="6" t="s">
        <v>14</v>
      </c>
      <c r="H152" s="7">
        <v>65000</v>
      </c>
      <c r="I152" s="8">
        <v>13</v>
      </c>
      <c r="J152" s="1" t="s">
        <v>15</v>
      </c>
    </row>
    <row r="153" spans="1:10" x14ac:dyDescent="0.2">
      <c r="A153" s="5">
        <v>45735</v>
      </c>
      <c r="B153" s="1" t="s">
        <v>225</v>
      </c>
      <c r="C153" s="1" t="s">
        <v>226</v>
      </c>
      <c r="D153" s="1" t="s">
        <v>32</v>
      </c>
      <c r="E153" s="1" t="s">
        <v>13</v>
      </c>
      <c r="F153" s="1"/>
      <c r="G153" s="6" t="s">
        <v>14</v>
      </c>
      <c r="H153" s="7">
        <v>60000</v>
      </c>
      <c r="I153" s="8"/>
      <c r="J153" s="1" t="s">
        <v>15</v>
      </c>
    </row>
    <row r="154" spans="1:10" x14ac:dyDescent="0.2">
      <c r="A154" s="5">
        <v>45735</v>
      </c>
      <c r="B154" s="1" t="s">
        <v>784</v>
      </c>
      <c r="C154" s="1" t="s">
        <v>44</v>
      </c>
      <c r="D154" s="1" t="s">
        <v>165</v>
      </c>
      <c r="E154" s="1" t="s">
        <v>13</v>
      </c>
      <c r="F154" s="1"/>
      <c r="G154" s="6" t="s">
        <v>14</v>
      </c>
      <c r="H154" s="7">
        <v>85000</v>
      </c>
      <c r="I154" s="8">
        <v>9.3000000000000007</v>
      </c>
      <c r="J154" s="1" t="s">
        <v>15</v>
      </c>
    </row>
    <row r="155" spans="1:10" x14ac:dyDescent="0.2">
      <c r="A155" s="5">
        <v>45735</v>
      </c>
      <c r="B155" s="1" t="s">
        <v>785</v>
      </c>
      <c r="C155" s="1" t="s">
        <v>786</v>
      </c>
      <c r="D155" s="1" t="s">
        <v>64</v>
      </c>
      <c r="E155" s="1" t="s">
        <v>19</v>
      </c>
      <c r="F155" s="1"/>
      <c r="G155" s="6" t="s">
        <v>23</v>
      </c>
      <c r="H155" s="7">
        <v>65000</v>
      </c>
      <c r="I155" s="8">
        <v>20.5</v>
      </c>
      <c r="J155" s="1" t="s">
        <v>15</v>
      </c>
    </row>
    <row r="156" spans="1:10" x14ac:dyDescent="0.2">
      <c r="A156" s="5">
        <v>45735</v>
      </c>
      <c r="B156" s="1" t="s">
        <v>787</v>
      </c>
      <c r="C156" s="1" t="s">
        <v>788</v>
      </c>
      <c r="D156" s="1" t="s">
        <v>88</v>
      </c>
      <c r="E156" s="1" t="s">
        <v>94</v>
      </c>
      <c r="F156" s="1"/>
      <c r="G156" s="6" t="s">
        <v>14</v>
      </c>
      <c r="H156" s="7">
        <v>60000</v>
      </c>
      <c r="I156" s="8">
        <v>3.8</v>
      </c>
      <c r="J156" s="1" t="s">
        <v>15</v>
      </c>
    </row>
    <row r="157" spans="1:10" x14ac:dyDescent="0.2">
      <c r="A157" s="5">
        <v>45735</v>
      </c>
      <c r="B157" s="1" t="s">
        <v>254</v>
      </c>
      <c r="C157" s="1" t="s">
        <v>255</v>
      </c>
      <c r="D157" s="1" t="s">
        <v>26</v>
      </c>
      <c r="E157" s="1" t="s">
        <v>19</v>
      </c>
      <c r="F157" s="1"/>
      <c r="G157" s="6" t="s">
        <v>14</v>
      </c>
      <c r="H157" s="7">
        <v>65000</v>
      </c>
      <c r="I157" s="8">
        <v>5.8</v>
      </c>
      <c r="J157" s="1" t="s">
        <v>15</v>
      </c>
    </row>
    <row r="158" spans="1:10" x14ac:dyDescent="0.2">
      <c r="A158" s="5">
        <v>45735</v>
      </c>
      <c r="B158" s="1" t="s">
        <v>789</v>
      </c>
      <c r="C158" s="1" t="s">
        <v>382</v>
      </c>
      <c r="D158" s="1" t="s">
        <v>26</v>
      </c>
      <c r="E158" s="1" t="s">
        <v>13</v>
      </c>
      <c r="F158" s="1"/>
      <c r="G158" s="6" t="s">
        <v>14</v>
      </c>
      <c r="H158" s="7">
        <v>65000</v>
      </c>
      <c r="I158" s="8"/>
      <c r="J158" s="1"/>
    </row>
    <row r="159" spans="1:10" x14ac:dyDescent="0.2">
      <c r="A159" s="5">
        <v>45735</v>
      </c>
      <c r="B159" s="1" t="s">
        <v>790</v>
      </c>
      <c r="C159" s="1" t="s">
        <v>398</v>
      </c>
      <c r="D159" s="1" t="s">
        <v>18</v>
      </c>
      <c r="E159" s="1" t="s">
        <v>13</v>
      </c>
      <c r="F159" s="1"/>
      <c r="G159" s="6" t="s">
        <v>14</v>
      </c>
      <c r="H159" s="7">
        <v>75000</v>
      </c>
      <c r="I159" s="8"/>
      <c r="J159" s="1" t="s">
        <v>15</v>
      </c>
    </row>
    <row r="160" spans="1:10" x14ac:dyDescent="0.2">
      <c r="A160" s="5">
        <v>45735</v>
      </c>
      <c r="B160" s="1" t="s">
        <v>791</v>
      </c>
      <c r="C160" s="1" t="s">
        <v>278</v>
      </c>
      <c r="D160" s="1" t="s">
        <v>18</v>
      </c>
      <c r="E160" s="1" t="s">
        <v>13</v>
      </c>
      <c r="F160" s="1"/>
      <c r="G160" s="6" t="s">
        <v>14</v>
      </c>
      <c r="H160" s="7">
        <v>65000</v>
      </c>
      <c r="I160" s="8"/>
      <c r="J160" s="1" t="s">
        <v>15</v>
      </c>
    </row>
    <row r="161" spans="1:10" x14ac:dyDescent="0.2">
      <c r="A161" s="5">
        <v>45736</v>
      </c>
      <c r="B161" s="1" t="s">
        <v>361</v>
      </c>
      <c r="C161" s="1" t="s">
        <v>173</v>
      </c>
      <c r="D161" s="1" t="s">
        <v>119</v>
      </c>
      <c r="E161" s="1" t="s">
        <v>19</v>
      </c>
      <c r="F161" s="1"/>
      <c r="G161" s="6" t="s">
        <v>23</v>
      </c>
      <c r="H161" s="7">
        <v>60000</v>
      </c>
      <c r="I161" s="8"/>
      <c r="J161" s="1" t="s">
        <v>15</v>
      </c>
    </row>
    <row r="162" spans="1:10" x14ac:dyDescent="0.2">
      <c r="A162" s="5">
        <v>45736</v>
      </c>
      <c r="B162" s="1" t="s">
        <v>361</v>
      </c>
      <c r="C162" s="1" t="s">
        <v>362</v>
      </c>
      <c r="D162" s="1" t="s">
        <v>64</v>
      </c>
      <c r="E162" s="1" t="s">
        <v>13</v>
      </c>
      <c r="F162" s="1" t="s">
        <v>792</v>
      </c>
      <c r="G162" s="6" t="s">
        <v>23</v>
      </c>
      <c r="H162" s="7">
        <v>140000</v>
      </c>
      <c r="I162" s="8"/>
      <c r="J162" s="1" t="s">
        <v>15</v>
      </c>
    </row>
    <row r="163" spans="1:10" x14ac:dyDescent="0.2">
      <c r="A163" s="5">
        <v>45736</v>
      </c>
      <c r="B163" s="1" t="s">
        <v>793</v>
      </c>
      <c r="C163" s="1" t="s">
        <v>282</v>
      </c>
      <c r="D163" s="1" t="s">
        <v>119</v>
      </c>
      <c r="E163" s="1" t="s">
        <v>19</v>
      </c>
      <c r="F163" s="1"/>
      <c r="G163" s="6" t="s">
        <v>23</v>
      </c>
      <c r="H163" s="7">
        <v>50000</v>
      </c>
      <c r="I163" s="8"/>
      <c r="J163" s="1" t="s">
        <v>15</v>
      </c>
    </row>
    <row r="164" spans="1:10" x14ac:dyDescent="0.2">
      <c r="A164" s="5">
        <v>45736</v>
      </c>
      <c r="B164" s="1" t="s">
        <v>527</v>
      </c>
      <c r="C164" s="1" t="s">
        <v>528</v>
      </c>
      <c r="D164" s="1" t="s">
        <v>32</v>
      </c>
      <c r="E164" s="1" t="s">
        <v>13</v>
      </c>
      <c r="F164" s="1"/>
      <c r="G164" s="6" t="s">
        <v>14</v>
      </c>
      <c r="H164" s="7">
        <v>75000</v>
      </c>
      <c r="I164" s="8"/>
      <c r="J164" s="1" t="s">
        <v>15</v>
      </c>
    </row>
    <row r="165" spans="1:10" x14ac:dyDescent="0.2">
      <c r="A165" s="5">
        <v>45736</v>
      </c>
      <c r="B165" s="1" t="s">
        <v>258</v>
      </c>
      <c r="C165" s="1" t="s">
        <v>260</v>
      </c>
      <c r="D165" s="1" t="s">
        <v>32</v>
      </c>
      <c r="E165" s="1" t="s">
        <v>19</v>
      </c>
      <c r="F165" s="1"/>
      <c r="G165" s="6" t="s">
        <v>14</v>
      </c>
      <c r="H165" s="7">
        <v>60000</v>
      </c>
      <c r="I165" s="8"/>
      <c r="J165" s="1" t="s">
        <v>15</v>
      </c>
    </row>
    <row r="166" spans="1:10" x14ac:dyDescent="0.2">
      <c r="A166" s="5">
        <v>45736</v>
      </c>
      <c r="B166" s="1" t="s">
        <v>258</v>
      </c>
      <c r="C166" s="1" t="s">
        <v>259</v>
      </c>
      <c r="D166" s="1" t="s">
        <v>18</v>
      </c>
      <c r="E166" s="1" t="s">
        <v>13</v>
      </c>
      <c r="F166" s="1"/>
      <c r="G166" s="6" t="s">
        <v>14</v>
      </c>
      <c r="H166" s="7">
        <v>75000</v>
      </c>
      <c r="I166" s="8"/>
      <c r="J166" s="1" t="s">
        <v>15</v>
      </c>
    </row>
    <row r="167" spans="1:10" x14ac:dyDescent="0.2">
      <c r="A167" s="5">
        <v>45736</v>
      </c>
      <c r="B167" s="1" t="s">
        <v>794</v>
      </c>
      <c r="C167" s="1" t="s">
        <v>185</v>
      </c>
      <c r="D167" s="1" t="s">
        <v>32</v>
      </c>
      <c r="E167" s="1" t="s">
        <v>78</v>
      </c>
      <c r="F167" s="1"/>
      <c r="G167" s="6" t="s">
        <v>14</v>
      </c>
      <c r="H167" s="7">
        <v>70000</v>
      </c>
      <c r="I167" s="8"/>
      <c r="J167" s="1" t="s">
        <v>34</v>
      </c>
    </row>
    <row r="168" spans="1:10" x14ac:dyDescent="0.2">
      <c r="A168" s="5">
        <v>45736</v>
      </c>
      <c r="B168" s="1" t="s">
        <v>795</v>
      </c>
      <c r="C168" s="1" t="s">
        <v>796</v>
      </c>
      <c r="D168" s="1" t="s">
        <v>18</v>
      </c>
      <c r="E168" s="1" t="s">
        <v>19</v>
      </c>
      <c r="F168" s="1"/>
      <c r="G168" s="6" t="s">
        <v>14</v>
      </c>
      <c r="H168" s="7">
        <v>150000</v>
      </c>
      <c r="I168" s="8">
        <v>12</v>
      </c>
      <c r="J168" s="1" t="s">
        <v>40</v>
      </c>
    </row>
    <row r="169" spans="1:10" x14ac:dyDescent="0.2">
      <c r="A169" s="5">
        <v>45736</v>
      </c>
      <c r="B169" s="1" t="s">
        <v>797</v>
      </c>
      <c r="C169" s="1" t="s">
        <v>770</v>
      </c>
      <c r="D169" s="1" t="s">
        <v>371</v>
      </c>
      <c r="E169" s="1" t="s">
        <v>19</v>
      </c>
      <c r="F169" s="1"/>
      <c r="G169" s="6" t="s">
        <v>14</v>
      </c>
      <c r="H169" s="7">
        <v>70000</v>
      </c>
      <c r="I169" s="8">
        <v>31.4</v>
      </c>
      <c r="J169" s="1" t="s">
        <v>15</v>
      </c>
    </row>
    <row r="170" spans="1:10" x14ac:dyDescent="0.2">
      <c r="A170" s="5">
        <v>45736</v>
      </c>
      <c r="B170" s="1" t="s">
        <v>149</v>
      </c>
      <c r="C170" s="1" t="s">
        <v>150</v>
      </c>
      <c r="D170" s="1" t="s">
        <v>32</v>
      </c>
      <c r="E170" s="1" t="s">
        <v>19</v>
      </c>
      <c r="F170" s="1"/>
      <c r="G170" s="6" t="s">
        <v>14</v>
      </c>
      <c r="H170" s="7" t="s">
        <v>114</v>
      </c>
      <c r="I170" s="8"/>
      <c r="J170" s="1" t="s">
        <v>15</v>
      </c>
    </row>
    <row r="171" spans="1:10" x14ac:dyDescent="0.2">
      <c r="A171" s="5">
        <v>45736</v>
      </c>
      <c r="B171" s="1" t="s">
        <v>220</v>
      </c>
      <c r="C171" s="1" t="s">
        <v>221</v>
      </c>
      <c r="D171" s="1" t="s">
        <v>222</v>
      </c>
      <c r="E171" s="1" t="s">
        <v>19</v>
      </c>
      <c r="F171" s="1"/>
      <c r="G171" s="6" t="s">
        <v>23</v>
      </c>
      <c r="H171" s="7">
        <v>70000</v>
      </c>
      <c r="I171" s="8">
        <v>34</v>
      </c>
      <c r="J171" s="1" t="s">
        <v>15</v>
      </c>
    </row>
    <row r="172" spans="1:10" x14ac:dyDescent="0.2">
      <c r="A172" s="5">
        <v>45736</v>
      </c>
      <c r="B172" s="1"/>
      <c r="C172" s="1"/>
      <c r="D172" s="1"/>
      <c r="E172" s="1" t="s">
        <v>61</v>
      </c>
      <c r="F172" s="1"/>
      <c r="G172" s="6" t="s">
        <v>23</v>
      </c>
      <c r="H172" s="7">
        <v>9000</v>
      </c>
      <c r="I172" s="8"/>
      <c r="J172" s="1" t="s">
        <v>160</v>
      </c>
    </row>
    <row r="173" spans="1:10" x14ac:dyDescent="0.2">
      <c r="A173" s="5">
        <v>45736</v>
      </c>
      <c r="B173" s="1"/>
      <c r="C173" s="1"/>
      <c r="D173" s="1"/>
      <c r="E173" s="1" t="s">
        <v>61</v>
      </c>
      <c r="F173" s="1"/>
      <c r="G173" s="6"/>
      <c r="H173" s="7">
        <v>10000</v>
      </c>
      <c r="I173" s="8"/>
      <c r="J173" s="1" t="s">
        <v>160</v>
      </c>
    </row>
    <row r="174" spans="1:10" x14ac:dyDescent="0.2">
      <c r="A174" s="5">
        <v>45737</v>
      </c>
      <c r="B174" s="1" t="s">
        <v>194</v>
      </c>
      <c r="C174" s="1" t="s">
        <v>195</v>
      </c>
      <c r="D174" s="1" t="s">
        <v>196</v>
      </c>
      <c r="E174" s="1" t="s">
        <v>94</v>
      </c>
      <c r="F174" s="1"/>
      <c r="G174" s="6" t="s">
        <v>14</v>
      </c>
      <c r="H174" s="7">
        <v>90000</v>
      </c>
      <c r="I174" s="8"/>
      <c r="J174" s="1" t="s">
        <v>15</v>
      </c>
    </row>
    <row r="175" spans="1:10" x14ac:dyDescent="0.2">
      <c r="A175" s="5">
        <v>45737</v>
      </c>
      <c r="B175" s="1" t="s">
        <v>798</v>
      </c>
      <c r="C175" s="1" t="s">
        <v>522</v>
      </c>
      <c r="D175" s="1" t="s">
        <v>18</v>
      </c>
      <c r="E175" s="1" t="s">
        <v>13</v>
      </c>
      <c r="F175" s="1"/>
      <c r="G175" s="6" t="s">
        <v>14</v>
      </c>
      <c r="H175" s="7">
        <v>85000</v>
      </c>
      <c r="I175" s="8">
        <v>14.7</v>
      </c>
      <c r="J175" s="1" t="s">
        <v>15</v>
      </c>
    </row>
    <row r="176" spans="1:10" x14ac:dyDescent="0.2">
      <c r="A176" s="5">
        <v>45737</v>
      </c>
      <c r="B176" s="1" t="s">
        <v>16</v>
      </c>
      <c r="C176" s="1" t="s">
        <v>17</v>
      </c>
      <c r="D176" s="1" t="s">
        <v>18</v>
      </c>
      <c r="E176" s="1" t="s">
        <v>19</v>
      </c>
      <c r="F176" s="1"/>
      <c r="G176" s="6" t="s">
        <v>14</v>
      </c>
      <c r="H176" s="7">
        <v>50000</v>
      </c>
      <c r="I176" s="8"/>
      <c r="J176" s="1" t="s">
        <v>15</v>
      </c>
    </row>
    <row r="177" spans="1:10" x14ac:dyDescent="0.2">
      <c r="A177" s="5">
        <v>45737</v>
      </c>
      <c r="B177" s="1" t="s">
        <v>799</v>
      </c>
      <c r="C177" s="1" t="s">
        <v>737</v>
      </c>
      <c r="D177" s="1" t="s">
        <v>26</v>
      </c>
      <c r="E177" s="1" t="s">
        <v>13</v>
      </c>
      <c r="F177" s="1"/>
      <c r="G177" s="6" t="s">
        <v>14</v>
      </c>
      <c r="H177" s="7">
        <v>65000</v>
      </c>
      <c r="I177" s="8">
        <v>5.8</v>
      </c>
      <c r="J177" s="1" t="s">
        <v>40</v>
      </c>
    </row>
    <row r="178" spans="1:10" x14ac:dyDescent="0.2">
      <c r="A178" s="5">
        <v>45737</v>
      </c>
      <c r="B178" s="1" t="s">
        <v>72</v>
      </c>
      <c r="C178" s="1" t="s">
        <v>453</v>
      </c>
      <c r="D178" s="1" t="s">
        <v>58</v>
      </c>
      <c r="E178" s="1" t="s">
        <v>59</v>
      </c>
      <c r="F178" s="1"/>
      <c r="G178" s="6" t="s">
        <v>14</v>
      </c>
      <c r="H178" s="7">
        <v>80000</v>
      </c>
      <c r="I178" s="8">
        <v>5.3</v>
      </c>
      <c r="J178" s="1" t="s">
        <v>15</v>
      </c>
    </row>
    <row r="179" spans="1:10" x14ac:dyDescent="0.2">
      <c r="A179" s="5">
        <v>45737</v>
      </c>
      <c r="B179" s="1" t="s">
        <v>800</v>
      </c>
      <c r="C179" s="1" t="s">
        <v>801</v>
      </c>
      <c r="D179" s="1" t="s">
        <v>32</v>
      </c>
      <c r="E179" s="1" t="s">
        <v>78</v>
      </c>
      <c r="F179" s="1"/>
      <c r="G179" s="6" t="s">
        <v>14</v>
      </c>
      <c r="H179" s="7">
        <v>65000</v>
      </c>
      <c r="I179" s="8">
        <v>2.2999999999999998</v>
      </c>
      <c r="J179" s="1" t="s">
        <v>15</v>
      </c>
    </row>
    <row r="180" spans="1:10" x14ac:dyDescent="0.2">
      <c r="A180" s="5">
        <v>45737</v>
      </c>
      <c r="B180" s="1" t="s">
        <v>171</v>
      </c>
      <c r="C180" s="1" t="s">
        <v>172</v>
      </c>
      <c r="D180" s="1" t="s">
        <v>18</v>
      </c>
      <c r="E180" s="1" t="s">
        <v>19</v>
      </c>
      <c r="F180" s="1"/>
      <c r="G180" s="6" t="s">
        <v>14</v>
      </c>
      <c r="H180" s="7">
        <v>50000</v>
      </c>
      <c r="I180" s="8">
        <v>8.5</v>
      </c>
      <c r="J180" s="1" t="s">
        <v>15</v>
      </c>
    </row>
    <row r="181" spans="1:10" x14ac:dyDescent="0.2">
      <c r="A181" s="5">
        <v>45737</v>
      </c>
      <c r="B181" s="1" t="s">
        <v>215</v>
      </c>
      <c r="C181" s="1" t="s">
        <v>216</v>
      </c>
      <c r="D181" s="1" t="s">
        <v>165</v>
      </c>
      <c r="E181" s="1" t="s">
        <v>13</v>
      </c>
      <c r="F181" s="1"/>
      <c r="G181" s="6" t="s">
        <v>14</v>
      </c>
      <c r="H181" s="7">
        <v>60000</v>
      </c>
      <c r="I181" s="8">
        <v>5.2</v>
      </c>
      <c r="J181" s="1" t="s">
        <v>15</v>
      </c>
    </row>
    <row r="182" spans="1:10" x14ac:dyDescent="0.2">
      <c r="A182" s="5">
        <v>45737</v>
      </c>
      <c r="B182" s="1" t="s">
        <v>395</v>
      </c>
      <c r="C182" s="1" t="s">
        <v>396</v>
      </c>
      <c r="D182" s="1" t="s">
        <v>32</v>
      </c>
      <c r="E182" s="1" t="s">
        <v>19</v>
      </c>
      <c r="F182" s="1"/>
      <c r="G182" s="6" t="s">
        <v>14</v>
      </c>
      <c r="H182" s="7" t="s">
        <v>114</v>
      </c>
      <c r="I182" s="8"/>
      <c r="J182" s="1" t="s">
        <v>15</v>
      </c>
    </row>
    <row r="183" spans="1:10" x14ac:dyDescent="0.2">
      <c r="A183" s="5">
        <v>45737</v>
      </c>
      <c r="B183" s="1" t="s">
        <v>397</v>
      </c>
      <c r="C183" s="1" t="s">
        <v>398</v>
      </c>
      <c r="D183" s="1" t="s">
        <v>112</v>
      </c>
      <c r="E183" s="1" t="s">
        <v>113</v>
      </c>
      <c r="F183" s="1"/>
      <c r="G183" s="6" t="s">
        <v>14</v>
      </c>
      <c r="H183" s="7" t="s">
        <v>114</v>
      </c>
      <c r="I183" s="8"/>
      <c r="J183" s="1" t="s">
        <v>34</v>
      </c>
    </row>
    <row r="184" spans="1:10" x14ac:dyDescent="0.2">
      <c r="A184" s="5">
        <v>45737</v>
      </c>
      <c r="B184" s="1" t="s">
        <v>802</v>
      </c>
      <c r="C184" s="1" t="s">
        <v>803</v>
      </c>
      <c r="D184" s="1" t="s">
        <v>32</v>
      </c>
      <c r="E184" s="1" t="s">
        <v>78</v>
      </c>
      <c r="F184" s="1"/>
      <c r="G184" s="6" t="s">
        <v>14</v>
      </c>
      <c r="H184" s="7">
        <v>75000</v>
      </c>
      <c r="I184" s="8">
        <v>2.4</v>
      </c>
      <c r="J184" s="1" t="s">
        <v>15</v>
      </c>
    </row>
    <row r="185" spans="1:10" x14ac:dyDescent="0.2">
      <c r="A185" s="5">
        <v>45738</v>
      </c>
      <c r="B185" s="1" t="s">
        <v>804</v>
      </c>
      <c r="C185" s="1" t="s">
        <v>440</v>
      </c>
      <c r="D185" s="1" t="s">
        <v>131</v>
      </c>
      <c r="E185" s="1" t="s">
        <v>19</v>
      </c>
      <c r="F185" s="1"/>
      <c r="G185" s="6" t="s">
        <v>14</v>
      </c>
      <c r="H185" s="7">
        <v>85000</v>
      </c>
      <c r="I185" s="8">
        <v>32</v>
      </c>
      <c r="J185" s="1" t="s">
        <v>15</v>
      </c>
    </row>
    <row r="186" spans="1:10" x14ac:dyDescent="0.2">
      <c r="A186" s="5">
        <v>45738</v>
      </c>
      <c r="B186" s="1" t="s">
        <v>805</v>
      </c>
      <c r="C186" s="1" t="s">
        <v>440</v>
      </c>
      <c r="D186" s="1" t="s">
        <v>32</v>
      </c>
      <c r="E186" s="1" t="s">
        <v>13</v>
      </c>
      <c r="F186" s="1"/>
      <c r="G186" s="6" t="s">
        <v>14</v>
      </c>
      <c r="H186" s="7">
        <v>70000</v>
      </c>
      <c r="I186" s="8">
        <v>2.8</v>
      </c>
      <c r="J186" s="1" t="s">
        <v>15</v>
      </c>
    </row>
    <row r="187" spans="1:10" x14ac:dyDescent="0.2">
      <c r="A187" s="5">
        <v>45738</v>
      </c>
      <c r="B187" s="1" t="s">
        <v>806</v>
      </c>
      <c r="C187" s="1" t="s">
        <v>807</v>
      </c>
      <c r="D187" s="1" t="s">
        <v>64</v>
      </c>
      <c r="E187" s="1" t="s">
        <v>19</v>
      </c>
      <c r="F187" s="1"/>
      <c r="G187" s="6" t="s">
        <v>23</v>
      </c>
      <c r="H187" s="7">
        <v>60000</v>
      </c>
      <c r="I187" s="8">
        <v>6.7</v>
      </c>
      <c r="J187" s="1" t="s">
        <v>15</v>
      </c>
    </row>
    <row r="188" spans="1:10" x14ac:dyDescent="0.2">
      <c r="A188" s="5">
        <v>45738</v>
      </c>
      <c r="B188" s="1" t="s">
        <v>607</v>
      </c>
      <c r="C188" s="1" t="s">
        <v>211</v>
      </c>
      <c r="D188" s="1" t="s">
        <v>32</v>
      </c>
      <c r="E188" s="1" t="s">
        <v>78</v>
      </c>
      <c r="F188" s="1"/>
      <c r="G188" s="6" t="s">
        <v>14</v>
      </c>
      <c r="H188" s="7">
        <v>65000</v>
      </c>
      <c r="I188" s="8"/>
      <c r="J188" s="1" t="s">
        <v>15</v>
      </c>
    </row>
    <row r="189" spans="1:10" x14ac:dyDescent="0.2">
      <c r="A189" s="5">
        <v>45738</v>
      </c>
      <c r="B189" s="1" t="s">
        <v>571</v>
      </c>
      <c r="C189" s="1" t="s">
        <v>572</v>
      </c>
      <c r="D189" s="1" t="s">
        <v>119</v>
      </c>
      <c r="E189" s="1" t="s">
        <v>19</v>
      </c>
      <c r="F189" s="1"/>
      <c r="G189" s="6" t="s">
        <v>23</v>
      </c>
      <c r="H189" s="7">
        <v>55000</v>
      </c>
      <c r="I189" s="8">
        <v>13</v>
      </c>
      <c r="J189" s="1" t="s">
        <v>15</v>
      </c>
    </row>
    <row r="190" spans="1:10" x14ac:dyDescent="0.2">
      <c r="A190" s="5">
        <v>45738</v>
      </c>
      <c r="B190" s="1" t="s">
        <v>35</v>
      </c>
      <c r="C190" s="1" t="s">
        <v>36</v>
      </c>
      <c r="D190" s="1" t="s">
        <v>18</v>
      </c>
      <c r="E190" s="1" t="s">
        <v>19</v>
      </c>
      <c r="F190" s="1"/>
      <c r="G190" s="6" t="s">
        <v>14</v>
      </c>
      <c r="H190" s="7" t="s">
        <v>114</v>
      </c>
      <c r="I190" s="8"/>
      <c r="J190" s="1" t="s">
        <v>15</v>
      </c>
    </row>
    <row r="191" spans="1:10" x14ac:dyDescent="0.2">
      <c r="A191" s="5">
        <v>45738</v>
      </c>
      <c r="B191" s="1" t="s">
        <v>562</v>
      </c>
      <c r="C191" s="1" t="s">
        <v>563</v>
      </c>
      <c r="D191" s="1" t="s">
        <v>32</v>
      </c>
      <c r="E191" s="1" t="s">
        <v>19</v>
      </c>
      <c r="F191" s="1"/>
      <c r="G191" s="6" t="s">
        <v>14</v>
      </c>
      <c r="H191" s="7">
        <v>55000</v>
      </c>
      <c r="I191" s="8">
        <v>2.4</v>
      </c>
      <c r="J191" s="1" t="s">
        <v>34</v>
      </c>
    </row>
    <row r="192" spans="1:10" x14ac:dyDescent="0.2">
      <c r="A192" s="5">
        <v>45738</v>
      </c>
      <c r="B192" s="1" t="s">
        <v>423</v>
      </c>
      <c r="C192" s="1" t="s">
        <v>808</v>
      </c>
      <c r="D192" s="1" t="s">
        <v>64</v>
      </c>
      <c r="E192" s="1" t="s">
        <v>19</v>
      </c>
      <c r="F192" s="1"/>
      <c r="G192" s="6" t="s">
        <v>23</v>
      </c>
      <c r="H192" s="7">
        <v>50000</v>
      </c>
      <c r="I192" s="8">
        <v>11.8</v>
      </c>
      <c r="J192" s="1" t="s">
        <v>15</v>
      </c>
    </row>
    <row r="193" spans="1:10" x14ac:dyDescent="0.2">
      <c r="A193" s="5">
        <v>45738</v>
      </c>
      <c r="B193" s="1" t="s">
        <v>809</v>
      </c>
      <c r="C193" s="1" t="s">
        <v>21</v>
      </c>
      <c r="D193" s="1" t="s">
        <v>18</v>
      </c>
      <c r="E193" s="1" t="s">
        <v>13</v>
      </c>
      <c r="F193" s="1"/>
      <c r="G193" s="6" t="s">
        <v>14</v>
      </c>
      <c r="H193" s="7">
        <v>75000</v>
      </c>
      <c r="I193" s="8">
        <v>17</v>
      </c>
      <c r="J193" s="1" t="s">
        <v>15</v>
      </c>
    </row>
    <row r="194" spans="1:10" x14ac:dyDescent="0.2">
      <c r="A194" s="5">
        <v>45738</v>
      </c>
      <c r="B194" s="1" t="s">
        <v>485</v>
      </c>
      <c r="C194" s="1" t="s">
        <v>486</v>
      </c>
      <c r="D194" s="1" t="s">
        <v>32</v>
      </c>
      <c r="E194" s="1" t="s">
        <v>19</v>
      </c>
      <c r="F194" s="1"/>
      <c r="G194" s="6" t="s">
        <v>14</v>
      </c>
      <c r="H194" s="7">
        <v>75000</v>
      </c>
      <c r="I194" s="8">
        <v>4.5999999999999996</v>
      </c>
      <c r="J194" s="1" t="s">
        <v>34</v>
      </c>
    </row>
    <row r="195" spans="1:10" x14ac:dyDescent="0.2">
      <c r="A195" s="5">
        <v>45738</v>
      </c>
      <c r="B195" s="1" t="s">
        <v>810</v>
      </c>
      <c r="C195" s="1" t="s">
        <v>811</v>
      </c>
      <c r="D195" s="1" t="s">
        <v>812</v>
      </c>
      <c r="E195" s="1" t="s">
        <v>19</v>
      </c>
      <c r="F195" s="1"/>
      <c r="G195" s="6" t="s">
        <v>23</v>
      </c>
      <c r="H195" s="7">
        <v>70000</v>
      </c>
      <c r="I195" s="1">
        <v>32</v>
      </c>
      <c r="J195" s="1" t="s">
        <v>15</v>
      </c>
    </row>
    <row r="196" spans="1:10" x14ac:dyDescent="0.2">
      <c r="A196" s="5">
        <v>45738</v>
      </c>
      <c r="B196" s="1" t="s">
        <v>263</v>
      </c>
      <c r="C196" s="1" t="s">
        <v>264</v>
      </c>
      <c r="D196" s="1" t="s">
        <v>88</v>
      </c>
      <c r="E196" s="1" t="s">
        <v>94</v>
      </c>
      <c r="F196" s="1"/>
      <c r="G196" s="6" t="s">
        <v>14</v>
      </c>
      <c r="H196" s="7" t="s">
        <v>114</v>
      </c>
      <c r="I196" s="8">
        <v>3.5</v>
      </c>
      <c r="J196" s="1" t="s">
        <v>15</v>
      </c>
    </row>
    <row r="197" spans="1:10" x14ac:dyDescent="0.2">
      <c r="A197" s="5">
        <v>45738</v>
      </c>
      <c r="B197" s="1" t="s">
        <v>136</v>
      </c>
      <c r="C197" s="1" t="s">
        <v>282</v>
      </c>
      <c r="D197" s="1" t="s">
        <v>119</v>
      </c>
      <c r="E197" s="1" t="s">
        <v>19</v>
      </c>
      <c r="F197" s="1"/>
      <c r="G197" s="6" t="s">
        <v>23</v>
      </c>
      <c r="H197" s="7">
        <v>50000</v>
      </c>
      <c r="I197" s="8">
        <v>9.3000000000000007</v>
      </c>
      <c r="J197" s="1" t="s">
        <v>15</v>
      </c>
    </row>
    <row r="198" spans="1:10" x14ac:dyDescent="0.2">
      <c r="A198" s="5">
        <v>45738</v>
      </c>
      <c r="B198" s="1" t="s">
        <v>813</v>
      </c>
      <c r="C198" s="1" t="s">
        <v>469</v>
      </c>
      <c r="D198" s="1" t="s">
        <v>32</v>
      </c>
      <c r="E198" s="1" t="s">
        <v>13</v>
      </c>
      <c r="F198" s="1"/>
      <c r="G198" s="6" t="s">
        <v>14</v>
      </c>
      <c r="H198" s="7">
        <v>75000</v>
      </c>
      <c r="I198" s="8">
        <v>3.3</v>
      </c>
      <c r="J198" s="1" t="s">
        <v>15</v>
      </c>
    </row>
    <row r="199" spans="1:10" x14ac:dyDescent="0.2">
      <c r="A199" s="5">
        <v>45738</v>
      </c>
      <c r="B199" s="1"/>
      <c r="C199" s="1"/>
      <c r="D199" s="1" t="s">
        <v>119</v>
      </c>
      <c r="E199" s="1" t="s">
        <v>61</v>
      </c>
      <c r="F199" s="1"/>
      <c r="G199" s="6" t="s">
        <v>23</v>
      </c>
      <c r="H199" s="7">
        <v>10000</v>
      </c>
      <c r="I199" s="8"/>
      <c r="J199" s="1" t="s">
        <v>160</v>
      </c>
    </row>
    <row r="200" spans="1:10" x14ac:dyDescent="0.2">
      <c r="A200" s="5">
        <v>45738</v>
      </c>
      <c r="B200" s="1"/>
      <c r="C200" s="1"/>
      <c r="D200" s="1" t="s">
        <v>42</v>
      </c>
      <c r="E200" s="1" t="s">
        <v>61</v>
      </c>
      <c r="F200" s="1"/>
      <c r="G200" s="6" t="s">
        <v>23</v>
      </c>
      <c r="H200" s="7">
        <v>10000</v>
      </c>
      <c r="I200" s="8"/>
      <c r="J200" s="1" t="s">
        <v>160</v>
      </c>
    </row>
    <row r="201" spans="1:10" x14ac:dyDescent="0.2">
      <c r="A201" s="5">
        <v>45738</v>
      </c>
      <c r="B201" s="1"/>
      <c r="C201" s="1"/>
      <c r="D201" s="1" t="s">
        <v>42</v>
      </c>
      <c r="E201" s="1" t="s">
        <v>61</v>
      </c>
      <c r="F201" s="1"/>
      <c r="G201" s="6" t="s">
        <v>23</v>
      </c>
      <c r="H201" s="7">
        <v>10000</v>
      </c>
      <c r="I201" s="8"/>
      <c r="J201" s="1" t="s">
        <v>160</v>
      </c>
    </row>
    <row r="202" spans="1:10" x14ac:dyDescent="0.2">
      <c r="A202" s="5">
        <v>45738</v>
      </c>
      <c r="B202" s="1"/>
      <c r="C202" s="1"/>
      <c r="D202" s="1" t="s">
        <v>42</v>
      </c>
      <c r="E202" s="1" t="s">
        <v>61</v>
      </c>
      <c r="F202" s="1"/>
      <c r="G202" s="6" t="s">
        <v>23</v>
      </c>
      <c r="H202" s="7">
        <v>10000</v>
      </c>
      <c r="I202" s="8"/>
      <c r="J202" s="1" t="s">
        <v>160</v>
      </c>
    </row>
    <row r="203" spans="1:10" x14ac:dyDescent="0.2">
      <c r="A203" s="5">
        <v>45738</v>
      </c>
      <c r="B203" s="1"/>
      <c r="C203" s="1"/>
      <c r="D203" s="1" t="s">
        <v>42</v>
      </c>
      <c r="E203" s="1" t="s">
        <v>61</v>
      </c>
      <c r="F203" s="1"/>
      <c r="G203" s="6" t="s">
        <v>23</v>
      </c>
      <c r="H203" s="7">
        <v>10000</v>
      </c>
      <c r="I203" s="1"/>
      <c r="J203" s="1" t="s">
        <v>160</v>
      </c>
    </row>
    <row r="204" spans="1:10" x14ac:dyDescent="0.2">
      <c r="A204" s="5">
        <v>45738</v>
      </c>
      <c r="B204" s="1"/>
      <c r="C204" s="1"/>
      <c r="D204" s="1" t="s">
        <v>119</v>
      </c>
      <c r="E204" s="1" t="s">
        <v>61</v>
      </c>
      <c r="F204" s="1"/>
      <c r="G204" s="6" t="s">
        <v>23</v>
      </c>
      <c r="H204" s="7">
        <v>10000</v>
      </c>
      <c r="I204" s="8"/>
      <c r="J204" s="1" t="s">
        <v>160</v>
      </c>
    </row>
    <row r="205" spans="1:10" x14ac:dyDescent="0.2">
      <c r="A205" s="5">
        <v>45741</v>
      </c>
      <c r="B205" s="1" t="s">
        <v>814</v>
      </c>
      <c r="C205" s="1" t="s">
        <v>146</v>
      </c>
      <c r="D205" s="1" t="s">
        <v>165</v>
      </c>
      <c r="E205" s="1" t="s">
        <v>13</v>
      </c>
      <c r="F205" s="1"/>
      <c r="G205" s="6" t="s">
        <v>14</v>
      </c>
      <c r="H205" s="7">
        <v>100000</v>
      </c>
      <c r="I205" s="8">
        <v>18.7</v>
      </c>
      <c r="J205" s="1" t="s">
        <v>15</v>
      </c>
    </row>
    <row r="206" spans="1:10" x14ac:dyDescent="0.2">
      <c r="A206" s="5">
        <v>45741</v>
      </c>
      <c r="B206" s="1" t="s">
        <v>814</v>
      </c>
      <c r="C206" s="1" t="s">
        <v>815</v>
      </c>
      <c r="D206" s="1" t="s">
        <v>165</v>
      </c>
      <c r="E206" s="1" t="s">
        <v>13</v>
      </c>
      <c r="F206" s="1"/>
      <c r="G206" s="6" t="s">
        <v>14</v>
      </c>
      <c r="H206" s="7">
        <v>100000</v>
      </c>
      <c r="I206" s="8">
        <v>13</v>
      </c>
      <c r="J206" s="1" t="s">
        <v>15</v>
      </c>
    </row>
    <row r="207" spans="1:10" x14ac:dyDescent="0.2">
      <c r="A207" s="5">
        <v>45741</v>
      </c>
      <c r="B207" s="1" t="s">
        <v>647</v>
      </c>
      <c r="C207" s="1" t="s">
        <v>251</v>
      </c>
      <c r="D207" s="1" t="s">
        <v>196</v>
      </c>
      <c r="E207" s="1" t="s">
        <v>94</v>
      </c>
      <c r="F207" s="1"/>
      <c r="G207" s="6" t="s">
        <v>14</v>
      </c>
      <c r="H207" s="7">
        <v>90000</v>
      </c>
      <c r="I207" s="8"/>
      <c r="J207" s="1" t="s">
        <v>15</v>
      </c>
    </row>
    <row r="208" spans="1:10" x14ac:dyDescent="0.2">
      <c r="A208" s="5">
        <v>45741</v>
      </c>
      <c r="B208" s="1" t="s">
        <v>816</v>
      </c>
      <c r="C208" s="1" t="s">
        <v>817</v>
      </c>
      <c r="D208" s="1" t="s">
        <v>64</v>
      </c>
      <c r="E208" s="1" t="s">
        <v>13</v>
      </c>
      <c r="F208" s="1" t="s">
        <v>448</v>
      </c>
      <c r="G208" s="6" t="s">
        <v>14</v>
      </c>
      <c r="H208" s="7">
        <v>85000</v>
      </c>
      <c r="I208" s="8">
        <v>7.5</v>
      </c>
      <c r="J208" s="1" t="s">
        <v>15</v>
      </c>
    </row>
    <row r="209" spans="1:10" x14ac:dyDescent="0.2">
      <c r="A209" s="5">
        <v>45741</v>
      </c>
      <c r="B209" s="1" t="s">
        <v>818</v>
      </c>
      <c r="C209" s="1" t="s">
        <v>819</v>
      </c>
      <c r="D209" s="1" t="s">
        <v>64</v>
      </c>
      <c r="E209" s="1" t="s">
        <v>13</v>
      </c>
      <c r="F209" s="1"/>
      <c r="G209" s="6" t="s">
        <v>14</v>
      </c>
      <c r="H209" s="7">
        <v>80000</v>
      </c>
      <c r="I209" s="8">
        <v>10.4</v>
      </c>
      <c r="J209" s="1" t="s">
        <v>15</v>
      </c>
    </row>
    <row r="210" spans="1:10" x14ac:dyDescent="0.2">
      <c r="A210" s="5">
        <v>45742</v>
      </c>
      <c r="B210" s="1" t="s">
        <v>381</v>
      </c>
      <c r="C210" s="1" t="s">
        <v>385</v>
      </c>
      <c r="D210" s="1" t="s">
        <v>119</v>
      </c>
      <c r="E210" s="1" t="s">
        <v>19</v>
      </c>
      <c r="F210" s="1"/>
      <c r="G210" s="6" t="s">
        <v>23</v>
      </c>
      <c r="H210" s="7">
        <v>50000</v>
      </c>
      <c r="I210" s="1">
        <v>8.1999999999999993</v>
      </c>
      <c r="J210" s="1" t="s">
        <v>15</v>
      </c>
    </row>
    <row r="211" spans="1:10" x14ac:dyDescent="0.2">
      <c r="A211" s="5">
        <v>45742</v>
      </c>
      <c r="B211" s="1" t="s">
        <v>381</v>
      </c>
      <c r="C211" s="1" t="s">
        <v>233</v>
      </c>
      <c r="D211" s="1" t="s">
        <v>165</v>
      </c>
      <c r="E211" s="1" t="s">
        <v>13</v>
      </c>
      <c r="F211" s="1"/>
      <c r="G211" s="6" t="s">
        <v>14</v>
      </c>
      <c r="H211" s="7">
        <v>85000</v>
      </c>
      <c r="I211" s="8">
        <v>8.8000000000000007</v>
      </c>
      <c r="J211" s="1" t="s">
        <v>15</v>
      </c>
    </row>
    <row r="212" spans="1:10" x14ac:dyDescent="0.2">
      <c r="A212" s="5">
        <v>45742</v>
      </c>
      <c r="B212" s="1" t="s">
        <v>820</v>
      </c>
      <c r="C212" s="1" t="s">
        <v>821</v>
      </c>
      <c r="D212" s="1" t="s">
        <v>88</v>
      </c>
      <c r="E212" s="1" t="s">
        <v>94</v>
      </c>
      <c r="F212" s="1"/>
      <c r="G212" s="6" t="s">
        <v>14</v>
      </c>
      <c r="H212" s="7">
        <v>65000</v>
      </c>
      <c r="I212" s="8">
        <v>3.4</v>
      </c>
      <c r="J212" s="1" t="s">
        <v>15</v>
      </c>
    </row>
    <row r="213" spans="1:10" x14ac:dyDescent="0.2">
      <c r="A213" s="5">
        <v>45742</v>
      </c>
      <c r="B213" s="1" t="s">
        <v>256</v>
      </c>
      <c r="C213" s="1" t="s">
        <v>257</v>
      </c>
      <c r="D213" s="1" t="s">
        <v>32</v>
      </c>
      <c r="E213" s="1" t="s">
        <v>19</v>
      </c>
      <c r="F213" s="1"/>
      <c r="G213" s="6" t="s">
        <v>14</v>
      </c>
      <c r="H213" s="7" t="s">
        <v>114</v>
      </c>
      <c r="I213" s="8"/>
      <c r="J213" s="1" t="s">
        <v>160</v>
      </c>
    </row>
    <row r="214" spans="1:10" x14ac:dyDescent="0.2">
      <c r="A214" s="5">
        <v>45742</v>
      </c>
      <c r="B214" s="1" t="s">
        <v>822</v>
      </c>
      <c r="C214" s="1" t="s">
        <v>146</v>
      </c>
      <c r="D214" s="1" t="s">
        <v>26</v>
      </c>
      <c r="E214" s="1" t="s">
        <v>13</v>
      </c>
      <c r="F214" s="1"/>
      <c r="G214" s="6" t="s">
        <v>14</v>
      </c>
      <c r="H214" s="7">
        <v>85000</v>
      </c>
      <c r="I214" s="8"/>
      <c r="J214" s="1" t="s">
        <v>15</v>
      </c>
    </row>
    <row r="215" spans="1:10" x14ac:dyDescent="0.2">
      <c r="A215" s="5">
        <v>45742</v>
      </c>
      <c r="B215" s="1" t="s">
        <v>295</v>
      </c>
      <c r="C215" s="1" t="s">
        <v>152</v>
      </c>
      <c r="D215" s="1" t="s">
        <v>153</v>
      </c>
      <c r="E215" s="1" t="s">
        <v>78</v>
      </c>
      <c r="F215" s="1"/>
      <c r="G215" s="6" t="s">
        <v>14</v>
      </c>
      <c r="H215" s="7">
        <v>60000</v>
      </c>
      <c r="I215" s="8"/>
      <c r="J215" s="1" t="s">
        <v>15</v>
      </c>
    </row>
    <row r="216" spans="1:10" x14ac:dyDescent="0.2">
      <c r="A216" s="5">
        <v>45742</v>
      </c>
      <c r="B216" s="1" t="s">
        <v>281</v>
      </c>
      <c r="C216" s="1" t="s">
        <v>282</v>
      </c>
      <c r="D216" s="1" t="s">
        <v>32</v>
      </c>
      <c r="E216" s="1" t="s">
        <v>19</v>
      </c>
      <c r="F216" s="1"/>
      <c r="G216" s="6" t="s">
        <v>14</v>
      </c>
      <c r="H216" s="7">
        <v>48000</v>
      </c>
      <c r="I216" s="8"/>
      <c r="J216" s="1" t="s">
        <v>34</v>
      </c>
    </row>
    <row r="217" spans="1:10" x14ac:dyDescent="0.2">
      <c r="A217" s="5">
        <v>45743</v>
      </c>
      <c r="B217" s="1" t="s">
        <v>540</v>
      </c>
      <c r="C217" s="1" t="s">
        <v>541</v>
      </c>
      <c r="D217" s="1" t="s">
        <v>165</v>
      </c>
      <c r="E217" s="1" t="s">
        <v>13</v>
      </c>
      <c r="F217" s="1"/>
      <c r="G217" s="6" t="s">
        <v>14</v>
      </c>
      <c r="H217" s="7">
        <v>90000</v>
      </c>
      <c r="I217" s="8">
        <v>6.7</v>
      </c>
      <c r="J217" s="1" t="s">
        <v>15</v>
      </c>
    </row>
    <row r="218" spans="1:10" x14ac:dyDescent="0.2">
      <c r="A218" s="5">
        <v>45743</v>
      </c>
      <c r="B218" s="1" t="s">
        <v>56</v>
      </c>
      <c r="C218" s="1" t="s">
        <v>437</v>
      </c>
      <c r="D218" s="1" t="s">
        <v>58</v>
      </c>
      <c r="E218" s="1" t="s">
        <v>59</v>
      </c>
      <c r="F218" s="1"/>
      <c r="G218" s="6" t="s">
        <v>14</v>
      </c>
      <c r="H218" s="7">
        <v>80000</v>
      </c>
      <c r="I218" s="8">
        <v>2.9</v>
      </c>
      <c r="J218" s="1" t="s">
        <v>15</v>
      </c>
    </row>
    <row r="219" spans="1:10" x14ac:dyDescent="0.2">
      <c r="A219" s="5">
        <v>45743</v>
      </c>
      <c r="B219" s="1" t="s">
        <v>823</v>
      </c>
      <c r="C219" s="1" t="s">
        <v>201</v>
      </c>
      <c r="D219" s="1" t="s">
        <v>26</v>
      </c>
      <c r="E219" s="1" t="s">
        <v>13</v>
      </c>
      <c r="F219" s="1"/>
      <c r="G219" s="6" t="s">
        <v>14</v>
      </c>
      <c r="H219" s="7">
        <v>90000</v>
      </c>
      <c r="I219" s="8">
        <v>7.3</v>
      </c>
      <c r="J219" s="1" t="s">
        <v>15</v>
      </c>
    </row>
    <row r="220" spans="1:10" x14ac:dyDescent="0.2">
      <c r="A220" s="5">
        <v>45743</v>
      </c>
      <c r="B220" s="1" t="s">
        <v>455</v>
      </c>
      <c r="C220" s="1" t="s">
        <v>275</v>
      </c>
      <c r="D220" s="1" t="s">
        <v>32</v>
      </c>
      <c r="E220" s="1" t="s">
        <v>13</v>
      </c>
      <c r="F220" s="1"/>
      <c r="G220" s="6" t="s">
        <v>14</v>
      </c>
      <c r="H220" s="7">
        <v>75000</v>
      </c>
      <c r="I220" s="8">
        <v>3.2</v>
      </c>
      <c r="J220" s="1" t="s">
        <v>15</v>
      </c>
    </row>
    <row r="221" spans="1:10" x14ac:dyDescent="0.2">
      <c r="A221" s="5">
        <v>45743</v>
      </c>
      <c r="B221" s="1" t="s">
        <v>824</v>
      </c>
      <c r="C221" s="1" t="s">
        <v>275</v>
      </c>
      <c r="D221" s="1" t="s">
        <v>88</v>
      </c>
      <c r="E221" s="1" t="s">
        <v>94</v>
      </c>
      <c r="F221" s="1"/>
      <c r="G221" s="6" t="s">
        <v>14</v>
      </c>
      <c r="H221" s="7">
        <v>60000</v>
      </c>
      <c r="I221" s="8">
        <v>2.6</v>
      </c>
      <c r="J221" s="1" t="s">
        <v>15</v>
      </c>
    </row>
    <row r="222" spans="1:10" x14ac:dyDescent="0.2">
      <c r="A222" s="5">
        <v>45743</v>
      </c>
      <c r="B222" s="1" t="s">
        <v>824</v>
      </c>
      <c r="C222" s="1" t="s">
        <v>825</v>
      </c>
      <c r="D222" s="1" t="s">
        <v>32</v>
      </c>
      <c r="E222" s="1" t="s">
        <v>13</v>
      </c>
      <c r="F222" s="1"/>
      <c r="G222" s="6" t="s">
        <v>14</v>
      </c>
      <c r="H222" s="7">
        <v>65000</v>
      </c>
      <c r="I222" s="8">
        <v>3.2</v>
      </c>
      <c r="J222" s="1" t="s">
        <v>15</v>
      </c>
    </row>
    <row r="223" spans="1:10" x14ac:dyDescent="0.2">
      <c r="A223" s="5">
        <v>45743</v>
      </c>
      <c r="B223" s="1" t="s">
        <v>213</v>
      </c>
      <c r="C223" s="1" t="s">
        <v>214</v>
      </c>
      <c r="D223" s="1" t="s">
        <v>165</v>
      </c>
      <c r="E223" s="1" t="s">
        <v>13</v>
      </c>
      <c r="F223" s="1"/>
      <c r="G223" s="6" t="s">
        <v>14</v>
      </c>
      <c r="H223" s="7">
        <v>80000</v>
      </c>
      <c r="I223" s="8"/>
      <c r="J223" s="1" t="s">
        <v>15</v>
      </c>
    </row>
    <row r="224" spans="1:10" x14ac:dyDescent="0.2">
      <c r="A224" s="5">
        <v>45743</v>
      </c>
      <c r="B224" s="1" t="s">
        <v>826</v>
      </c>
      <c r="C224" s="1" t="s">
        <v>827</v>
      </c>
      <c r="D224" s="1" t="s">
        <v>579</v>
      </c>
      <c r="E224" s="1" t="s">
        <v>828</v>
      </c>
      <c r="F224" s="1"/>
      <c r="G224" s="6" t="s">
        <v>14</v>
      </c>
      <c r="H224" s="7">
        <v>55000</v>
      </c>
      <c r="I224" s="8">
        <v>1.9</v>
      </c>
      <c r="J224" s="1" t="s">
        <v>15</v>
      </c>
    </row>
    <row r="225" spans="1:10" x14ac:dyDescent="0.2">
      <c r="A225" s="5">
        <v>45743</v>
      </c>
      <c r="B225" s="1" t="s">
        <v>829</v>
      </c>
      <c r="C225" s="1" t="s">
        <v>830</v>
      </c>
      <c r="D225" s="1" t="s">
        <v>12</v>
      </c>
      <c r="E225" s="1" t="s">
        <v>13</v>
      </c>
      <c r="F225" s="1"/>
      <c r="G225" s="6" t="s">
        <v>14</v>
      </c>
      <c r="H225" s="7">
        <v>85000</v>
      </c>
      <c r="I225" s="8"/>
      <c r="J225" s="1" t="s">
        <v>37</v>
      </c>
    </row>
    <row r="226" spans="1:10" x14ac:dyDescent="0.2">
      <c r="A226" s="5">
        <v>45744</v>
      </c>
      <c r="B226" s="1" t="s">
        <v>831</v>
      </c>
      <c r="C226" s="1" t="s">
        <v>832</v>
      </c>
      <c r="D226" s="1" t="s">
        <v>122</v>
      </c>
      <c r="E226" s="1" t="s">
        <v>19</v>
      </c>
      <c r="F226" s="1"/>
      <c r="G226" s="6" t="s">
        <v>14</v>
      </c>
      <c r="H226" s="7">
        <v>80000</v>
      </c>
      <c r="I226" s="8">
        <v>19.399999999999999</v>
      </c>
      <c r="J226" s="1"/>
    </row>
    <row r="227" spans="1:10" x14ac:dyDescent="0.2">
      <c r="A227" s="5">
        <v>45744</v>
      </c>
      <c r="B227" s="1" t="s">
        <v>833</v>
      </c>
      <c r="C227" s="1" t="s">
        <v>516</v>
      </c>
      <c r="D227" s="1" t="s">
        <v>834</v>
      </c>
      <c r="E227" s="1" t="s">
        <v>13</v>
      </c>
      <c r="F227" s="1"/>
      <c r="G227" s="6" t="s">
        <v>14</v>
      </c>
      <c r="H227" s="7">
        <v>72000</v>
      </c>
      <c r="I227" s="8">
        <v>22.2</v>
      </c>
      <c r="J227" s="1"/>
    </row>
    <row r="228" spans="1:10" x14ac:dyDescent="0.2">
      <c r="A228" s="5">
        <v>45744</v>
      </c>
      <c r="B228" s="1" t="s">
        <v>720</v>
      </c>
      <c r="C228" s="1" t="s">
        <v>721</v>
      </c>
      <c r="D228" s="1" t="s">
        <v>131</v>
      </c>
      <c r="E228" s="1" t="s">
        <v>19</v>
      </c>
      <c r="F228" s="1"/>
      <c r="G228" s="6" t="s">
        <v>14</v>
      </c>
      <c r="H228" s="7">
        <v>90000</v>
      </c>
      <c r="I228" s="8">
        <v>40</v>
      </c>
      <c r="J228" s="1"/>
    </row>
    <row r="229" spans="1:10" x14ac:dyDescent="0.2">
      <c r="A229" s="5">
        <v>45744</v>
      </c>
      <c r="B229" s="1" t="s">
        <v>601</v>
      </c>
      <c r="C229" s="1" t="s">
        <v>730</v>
      </c>
      <c r="D229" s="1" t="s">
        <v>18</v>
      </c>
      <c r="E229" s="1" t="s">
        <v>19</v>
      </c>
      <c r="F229" s="1"/>
      <c r="G229" s="6" t="s">
        <v>14</v>
      </c>
      <c r="H229" s="7">
        <v>75000</v>
      </c>
      <c r="I229" s="8">
        <v>12.8</v>
      </c>
      <c r="J229" s="1"/>
    </row>
    <row r="230" spans="1:10" x14ac:dyDescent="0.2">
      <c r="A230" s="5">
        <v>45744</v>
      </c>
      <c r="B230" s="1" t="s">
        <v>835</v>
      </c>
      <c r="C230" s="1" t="s">
        <v>836</v>
      </c>
      <c r="D230" s="1" t="s">
        <v>119</v>
      </c>
      <c r="E230" s="1" t="s">
        <v>19</v>
      </c>
      <c r="F230" s="1"/>
      <c r="G230" s="6" t="s">
        <v>23</v>
      </c>
      <c r="H230" s="7">
        <v>45000</v>
      </c>
      <c r="I230" s="8">
        <v>8</v>
      </c>
      <c r="J230" s="1"/>
    </row>
    <row r="231" spans="1:10" x14ac:dyDescent="0.2">
      <c r="A231" s="5">
        <v>45744</v>
      </c>
      <c r="B231" s="1" t="s">
        <v>837</v>
      </c>
      <c r="C231" s="1" t="s">
        <v>282</v>
      </c>
      <c r="D231" s="1" t="s">
        <v>307</v>
      </c>
      <c r="E231" s="1" t="s">
        <v>94</v>
      </c>
      <c r="F231" s="1"/>
      <c r="G231" s="6" t="s">
        <v>14</v>
      </c>
      <c r="H231" s="7">
        <v>90000</v>
      </c>
      <c r="I231" s="8">
        <v>32</v>
      </c>
      <c r="J231" s="1"/>
    </row>
    <row r="232" spans="1:10" x14ac:dyDescent="0.2">
      <c r="A232" s="5">
        <v>45744</v>
      </c>
      <c r="B232" s="1" t="s">
        <v>551</v>
      </c>
      <c r="C232" s="1" t="s">
        <v>552</v>
      </c>
      <c r="D232" s="1" t="s">
        <v>88</v>
      </c>
      <c r="E232" s="1" t="s">
        <v>94</v>
      </c>
      <c r="F232" s="1"/>
      <c r="G232" s="6" t="s">
        <v>14</v>
      </c>
      <c r="H232" s="7">
        <v>60000</v>
      </c>
      <c r="I232" s="8">
        <v>2.2000000000000002</v>
      </c>
      <c r="J232" s="1"/>
    </row>
    <row r="233" spans="1:10" x14ac:dyDescent="0.2">
      <c r="A233" s="5">
        <v>45744</v>
      </c>
      <c r="B233" s="1" t="s">
        <v>838</v>
      </c>
      <c r="C233" s="1" t="s">
        <v>108</v>
      </c>
      <c r="D233" s="1" t="s">
        <v>32</v>
      </c>
      <c r="E233" s="1" t="s">
        <v>113</v>
      </c>
      <c r="F233" s="1"/>
      <c r="G233" s="6" t="s">
        <v>14</v>
      </c>
      <c r="H233" s="7" t="s">
        <v>114</v>
      </c>
      <c r="I233" s="8"/>
      <c r="J233" s="1"/>
    </row>
    <row r="234" spans="1:10" x14ac:dyDescent="0.2">
      <c r="A234" s="5">
        <v>45744</v>
      </c>
      <c r="B234" s="1" t="s">
        <v>316</v>
      </c>
      <c r="C234" s="1" t="s">
        <v>839</v>
      </c>
      <c r="D234" s="1" t="s">
        <v>26</v>
      </c>
      <c r="E234" s="1" t="s">
        <v>13</v>
      </c>
      <c r="F234" s="1"/>
      <c r="G234" s="6" t="s">
        <v>14</v>
      </c>
      <c r="H234" s="7">
        <v>75000</v>
      </c>
      <c r="I234" s="8"/>
      <c r="J234" s="1"/>
    </row>
    <row r="235" spans="1:10" x14ac:dyDescent="0.2">
      <c r="A235" s="5">
        <v>45744</v>
      </c>
      <c r="B235" s="1" t="s">
        <v>111</v>
      </c>
      <c r="C235" s="1" t="s">
        <v>398</v>
      </c>
      <c r="D235" s="1" t="s">
        <v>112</v>
      </c>
      <c r="E235" s="1" t="s">
        <v>13</v>
      </c>
      <c r="F235" s="1"/>
      <c r="G235" s="6" t="s">
        <v>14</v>
      </c>
      <c r="H235" s="7">
        <v>110000</v>
      </c>
      <c r="I235" s="8"/>
      <c r="J235" s="1"/>
    </row>
    <row r="236" spans="1:10" x14ac:dyDescent="0.2">
      <c r="A236" s="5">
        <v>45745</v>
      </c>
      <c r="B236" s="1" t="s">
        <v>610</v>
      </c>
      <c r="C236" s="1" t="s">
        <v>840</v>
      </c>
      <c r="D236" s="1" t="s">
        <v>119</v>
      </c>
      <c r="E236" s="1" t="s">
        <v>19</v>
      </c>
      <c r="F236" s="1"/>
      <c r="G236" s="6" t="s">
        <v>23</v>
      </c>
      <c r="H236" s="7">
        <v>50000</v>
      </c>
      <c r="I236" s="8"/>
      <c r="J236" s="1"/>
    </row>
    <row r="237" spans="1:10" x14ac:dyDescent="0.2">
      <c r="A237" s="5">
        <v>45745</v>
      </c>
      <c r="B237" s="1" t="s">
        <v>841</v>
      </c>
      <c r="C237" s="1" t="s">
        <v>842</v>
      </c>
      <c r="D237" s="1" t="s">
        <v>119</v>
      </c>
      <c r="E237" s="1" t="s">
        <v>19</v>
      </c>
      <c r="F237" s="1"/>
      <c r="G237" s="6" t="s">
        <v>23</v>
      </c>
      <c r="H237" s="7">
        <v>50000</v>
      </c>
      <c r="I237" s="8"/>
      <c r="J237" s="1"/>
    </row>
    <row r="238" spans="1:10" x14ac:dyDescent="0.2">
      <c r="A238" s="5">
        <v>45745</v>
      </c>
      <c r="B238" s="1" t="s">
        <v>227</v>
      </c>
      <c r="C238" s="1" t="s">
        <v>843</v>
      </c>
      <c r="D238" s="1" t="s">
        <v>229</v>
      </c>
      <c r="E238" s="1" t="s">
        <v>19</v>
      </c>
      <c r="F238" s="1"/>
      <c r="G238" s="6" t="s">
        <v>14</v>
      </c>
      <c r="H238" s="7">
        <v>85000</v>
      </c>
      <c r="I238" s="8">
        <v>29</v>
      </c>
      <c r="J238" s="1"/>
    </row>
    <row r="239" spans="1:10" x14ac:dyDescent="0.2">
      <c r="A239" s="5">
        <v>45745</v>
      </c>
      <c r="B239" s="1" t="s">
        <v>425</v>
      </c>
      <c r="C239" s="1" t="s">
        <v>21</v>
      </c>
      <c r="D239" s="1" t="s">
        <v>101</v>
      </c>
      <c r="E239" s="1" t="s">
        <v>19</v>
      </c>
      <c r="F239" s="1"/>
      <c r="G239" s="6" t="s">
        <v>14</v>
      </c>
      <c r="H239" s="7">
        <v>60000</v>
      </c>
      <c r="I239" s="8"/>
      <c r="J239" s="1"/>
    </row>
    <row r="240" spans="1:10" x14ac:dyDescent="0.2">
      <c r="A240" s="5">
        <v>45745</v>
      </c>
      <c r="B240" s="1" t="s">
        <v>844</v>
      </c>
      <c r="C240" s="1" t="s">
        <v>137</v>
      </c>
      <c r="D240" s="1" t="s">
        <v>119</v>
      </c>
      <c r="E240" s="1" t="s">
        <v>19</v>
      </c>
      <c r="F240" s="1"/>
      <c r="G240" s="6" t="s">
        <v>23</v>
      </c>
      <c r="H240" s="7">
        <v>45000</v>
      </c>
      <c r="I240" s="8">
        <v>5.9</v>
      </c>
      <c r="J240" s="1"/>
    </row>
    <row r="241" spans="1:10" x14ac:dyDescent="0.2">
      <c r="A241" s="5">
        <v>45745</v>
      </c>
      <c r="B241" s="1" t="s">
        <v>844</v>
      </c>
      <c r="C241" s="1" t="s">
        <v>845</v>
      </c>
      <c r="D241" s="1" t="s">
        <v>119</v>
      </c>
      <c r="E241" s="1" t="s">
        <v>19</v>
      </c>
      <c r="F241" s="1"/>
      <c r="G241" s="6" t="s">
        <v>23</v>
      </c>
      <c r="H241" s="7">
        <v>45000</v>
      </c>
      <c r="I241" s="8">
        <v>6.3</v>
      </c>
      <c r="J241" s="1"/>
    </row>
    <row r="242" spans="1:10" x14ac:dyDescent="0.2">
      <c r="A242" s="5">
        <v>45745</v>
      </c>
      <c r="B242" s="1" t="s">
        <v>132</v>
      </c>
      <c r="C242" s="1" t="s">
        <v>36</v>
      </c>
      <c r="D242" s="1" t="s">
        <v>18</v>
      </c>
      <c r="E242" s="1" t="s">
        <v>13</v>
      </c>
      <c r="F242" s="1"/>
      <c r="G242" s="6"/>
      <c r="H242" s="7">
        <v>180000</v>
      </c>
      <c r="I242" s="8"/>
      <c r="J242" s="1"/>
    </row>
    <row r="243" spans="1:10" x14ac:dyDescent="0.2">
      <c r="A243" s="5">
        <v>45745</v>
      </c>
      <c r="B243" s="1" t="s">
        <v>846</v>
      </c>
      <c r="C243" s="1" t="s">
        <v>847</v>
      </c>
      <c r="D243" s="1" t="s">
        <v>18</v>
      </c>
      <c r="E243" s="1" t="s">
        <v>13</v>
      </c>
      <c r="F243" s="1"/>
      <c r="G243" s="6"/>
      <c r="H243" s="7">
        <v>80000</v>
      </c>
      <c r="I243" s="8">
        <v>13.2</v>
      </c>
      <c r="J243" s="1"/>
    </row>
    <row r="244" spans="1:10" x14ac:dyDescent="0.2">
      <c r="A244" s="5">
        <v>45745</v>
      </c>
      <c r="B244" s="1" t="s">
        <v>38</v>
      </c>
      <c r="C244" s="1" t="s">
        <v>39</v>
      </c>
      <c r="D244" s="1" t="s">
        <v>26</v>
      </c>
      <c r="E244" s="1" t="s">
        <v>13</v>
      </c>
      <c r="F244" s="1"/>
      <c r="G244" s="6"/>
      <c r="H244" s="7">
        <v>65000</v>
      </c>
      <c r="I244" s="8">
        <v>4.2</v>
      </c>
      <c r="J244" s="1"/>
    </row>
    <row r="245" spans="1:10" x14ac:dyDescent="0.2">
      <c r="A245" s="5">
        <v>45745</v>
      </c>
      <c r="B245" s="1" t="s">
        <v>751</v>
      </c>
      <c r="C245" s="1" t="s">
        <v>431</v>
      </c>
      <c r="D245" s="1" t="s">
        <v>64</v>
      </c>
      <c r="E245" s="1" t="s">
        <v>13</v>
      </c>
      <c r="F245" s="1"/>
      <c r="G245" s="6"/>
      <c r="H245" s="7">
        <v>65000</v>
      </c>
      <c r="I245" s="8">
        <v>8.4</v>
      </c>
      <c r="J245" s="1"/>
    </row>
    <row r="246" spans="1:10" x14ac:dyDescent="0.2">
      <c r="A246" s="5">
        <v>45745</v>
      </c>
      <c r="B246" s="1"/>
      <c r="C246" s="1"/>
      <c r="D246" s="1"/>
      <c r="E246" s="1" t="s">
        <v>61</v>
      </c>
      <c r="F246" s="1"/>
      <c r="G246" s="6"/>
      <c r="H246" s="7">
        <v>10000</v>
      </c>
      <c r="I246" s="8"/>
      <c r="J246" s="1"/>
    </row>
    <row r="247" spans="1:10" x14ac:dyDescent="0.2">
      <c r="A247" s="5">
        <v>45745</v>
      </c>
      <c r="B247" s="1"/>
      <c r="C247" s="1"/>
      <c r="D247" s="1"/>
      <c r="E247" s="1" t="s">
        <v>61</v>
      </c>
      <c r="F247" s="1"/>
      <c r="G247" s="6"/>
      <c r="H247" s="7">
        <v>10000</v>
      </c>
      <c r="I247" s="8"/>
      <c r="J247" s="1"/>
    </row>
    <row r="248" spans="1:10" x14ac:dyDescent="0.2">
      <c r="A248" s="5">
        <v>45745</v>
      </c>
      <c r="B248" s="1" t="s">
        <v>848</v>
      </c>
      <c r="C248" s="1" t="s">
        <v>849</v>
      </c>
      <c r="D248" s="1" t="s">
        <v>64</v>
      </c>
      <c r="E248" s="1" t="s">
        <v>13</v>
      </c>
      <c r="F248" s="1"/>
      <c r="G248" s="6" t="s">
        <v>14</v>
      </c>
      <c r="H248" s="7">
        <v>60000</v>
      </c>
      <c r="I248" s="8">
        <v>4.8</v>
      </c>
      <c r="J248" s="1"/>
    </row>
    <row r="249" spans="1:10" x14ac:dyDescent="0.2">
      <c r="A249" s="5">
        <v>45745</v>
      </c>
      <c r="B249" s="1" t="s">
        <v>675</v>
      </c>
      <c r="C249" s="1" t="s">
        <v>676</v>
      </c>
      <c r="D249" s="1" t="s">
        <v>49</v>
      </c>
      <c r="E249" s="1" t="s">
        <v>19</v>
      </c>
      <c r="F249" s="1"/>
      <c r="G249" s="6" t="s">
        <v>23</v>
      </c>
      <c r="H249" s="7">
        <v>30000</v>
      </c>
      <c r="I249" s="8">
        <v>3.5</v>
      </c>
      <c r="J249" s="1"/>
    </row>
    <row r="250" spans="1:10" x14ac:dyDescent="0.2">
      <c r="A250" s="5">
        <v>45745</v>
      </c>
      <c r="B250" s="1" t="s">
        <v>850</v>
      </c>
      <c r="C250" s="1" t="s">
        <v>663</v>
      </c>
      <c r="D250" s="1" t="s">
        <v>49</v>
      </c>
      <c r="E250" s="1" t="s">
        <v>19</v>
      </c>
      <c r="F250" s="1"/>
      <c r="G250" s="6" t="s">
        <v>23</v>
      </c>
      <c r="H250" s="7">
        <v>25000</v>
      </c>
      <c r="I250" s="8">
        <v>2.9</v>
      </c>
      <c r="J250" s="1"/>
    </row>
    <row r="251" spans="1:10" x14ac:dyDescent="0.2">
      <c r="A251" s="5">
        <v>45747</v>
      </c>
      <c r="B251" s="1" t="s">
        <v>851</v>
      </c>
      <c r="C251" s="1" t="s">
        <v>31</v>
      </c>
      <c r="D251" s="1" t="s">
        <v>26</v>
      </c>
      <c r="E251" s="1" t="s">
        <v>19</v>
      </c>
      <c r="F251" s="1" t="s">
        <v>852</v>
      </c>
      <c r="G251" s="6" t="s">
        <v>14</v>
      </c>
      <c r="H251" s="7">
        <v>70000</v>
      </c>
      <c r="I251" s="8"/>
      <c r="J251" s="1" t="s">
        <v>15</v>
      </c>
    </row>
    <row r="252" spans="1:10" x14ac:dyDescent="0.2">
      <c r="A252" s="5">
        <v>45747</v>
      </c>
      <c r="B252" s="1" t="s">
        <v>368</v>
      </c>
      <c r="C252" s="1" t="s">
        <v>255</v>
      </c>
      <c r="D252" s="1" t="s">
        <v>49</v>
      </c>
      <c r="E252" s="1" t="s">
        <v>19</v>
      </c>
      <c r="F252" s="1"/>
      <c r="G252" s="6" t="s">
        <v>14</v>
      </c>
      <c r="H252" s="7">
        <v>30000</v>
      </c>
      <c r="I252" s="8"/>
      <c r="J252" s="1"/>
    </row>
    <row r="253" spans="1:10" x14ac:dyDescent="0.2">
      <c r="A253" s="5">
        <v>45747</v>
      </c>
      <c r="B253" s="1" t="s">
        <v>853</v>
      </c>
      <c r="C253" s="1" t="s">
        <v>854</v>
      </c>
      <c r="D253" s="1" t="s">
        <v>26</v>
      </c>
      <c r="E253" s="1" t="s">
        <v>19</v>
      </c>
      <c r="F253" s="1"/>
      <c r="G253" s="6" t="s">
        <v>14</v>
      </c>
      <c r="H253" s="7">
        <v>65000</v>
      </c>
      <c r="I253" s="8"/>
      <c r="J253" s="1"/>
    </row>
    <row r="254" spans="1:10" x14ac:dyDescent="0.2">
      <c r="A254" s="16">
        <v>45747</v>
      </c>
      <c r="B254" s="17"/>
      <c r="C254" s="17"/>
      <c r="D254" s="1"/>
      <c r="E254" s="1"/>
      <c r="F254" s="17"/>
      <c r="G254" s="6"/>
      <c r="H254" s="17"/>
      <c r="I254" s="17"/>
      <c r="J254" s="1"/>
    </row>
    <row r="255" spans="1:10" x14ac:dyDescent="0.2">
      <c r="A255" s="17"/>
      <c r="B255" s="17"/>
      <c r="C255" s="17"/>
      <c r="D255" s="1"/>
      <c r="E255" s="1"/>
      <c r="F255" s="17"/>
      <c r="G255" s="6"/>
      <c r="H255" s="17"/>
      <c r="I255" s="17"/>
      <c r="J255" s="17"/>
    </row>
  </sheetData>
  <autoFilter ref="A1:J254" xr:uid="{00000000-0009-0000-0000-000002000000}"/>
  <dataValidations count="6">
    <dataValidation type="list" allowBlank="1" showErrorMessage="1" sqref="G2:G255" xr:uid="{00000000-0002-0000-0200-000000000000}">
      <formula1>"LARGO,CORTO"</formula1>
    </dataValidation>
    <dataValidation type="list" allowBlank="1" showErrorMessage="1" sqref="D95" xr:uid="{00000000-0002-0000-0200-000001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FRISE,SPRINGEL SPANIEL"</formula1>
    </dataValidation>
    <dataValidation type="list" allowBlank="1" showErrorMessage="1" sqref="D139" xr:uid="{00000000-0002-0000-0200-000002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54" xr:uid="{00000000-0002-0000-0200-000003000000}">
      <formula1>"MOÑO,MOÑOS,CORBATÍN,PAÑOLETA,NO"</formula1>
    </dataValidation>
    <dataValidation type="list" allowBlank="1" showErrorMessage="1" sqref="D2:D94 D96:D138 D140:D212 D214:D255" xr:uid="{00000000-0002-0000-0200-000004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FRISE,MUNCHKIN,DOBERMAN,WEIMARANER,SPRINGER SPANIEL"</formula1>
    </dataValidation>
    <dataValidation type="list" allowBlank="1" showErrorMessage="1" sqref="E2:E255" xr:uid="{00000000-0002-0000-0200-000005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38"/>
  <sheetViews>
    <sheetView workbookViewId="0"/>
  </sheetViews>
  <sheetFormatPr baseColWidth="10" defaultColWidth="12.6640625" defaultRowHeight="15.75" customHeight="1" x14ac:dyDescent="0.15"/>
  <cols>
    <col min="2" max="2" width="29.6640625" customWidth="1"/>
    <col min="3" max="3" width="16" customWidth="1"/>
    <col min="4" max="4" width="25.1640625" customWidth="1"/>
    <col min="5" max="5" width="25.6640625" customWidth="1"/>
    <col min="6" max="6" width="23.6640625" customWidth="1"/>
    <col min="7" max="7" width="13.6640625" customWidth="1"/>
    <col min="10" max="10" width="26.66406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45748</v>
      </c>
      <c r="B2" s="1" t="s">
        <v>855</v>
      </c>
      <c r="C2" s="1" t="s">
        <v>856</v>
      </c>
      <c r="D2" s="1" t="s">
        <v>857</v>
      </c>
      <c r="E2" s="1" t="s">
        <v>13</v>
      </c>
      <c r="F2" s="1"/>
      <c r="G2" s="6" t="s">
        <v>14</v>
      </c>
      <c r="H2" s="7">
        <v>85000</v>
      </c>
      <c r="I2" s="8">
        <v>11.5</v>
      </c>
      <c r="J2" s="1" t="s">
        <v>15</v>
      </c>
    </row>
    <row r="3" spans="1:10" x14ac:dyDescent="0.2">
      <c r="A3" s="5">
        <v>45748</v>
      </c>
      <c r="B3" s="1" t="s">
        <v>858</v>
      </c>
      <c r="C3" s="1" t="s">
        <v>859</v>
      </c>
      <c r="D3" s="1" t="s">
        <v>32</v>
      </c>
      <c r="E3" s="1" t="s">
        <v>78</v>
      </c>
      <c r="F3" s="1"/>
      <c r="G3" s="6" t="s">
        <v>14</v>
      </c>
      <c r="H3" s="7">
        <v>70000</v>
      </c>
      <c r="I3" s="8">
        <v>5.3</v>
      </c>
      <c r="J3" s="1" t="s">
        <v>15</v>
      </c>
    </row>
    <row r="4" spans="1:10" x14ac:dyDescent="0.2">
      <c r="A4" s="5">
        <v>45748</v>
      </c>
      <c r="B4" s="1" t="s">
        <v>62</v>
      </c>
      <c r="C4" s="1" t="s">
        <v>63</v>
      </c>
      <c r="D4" s="1" t="s">
        <v>64</v>
      </c>
      <c r="E4" s="1" t="s">
        <v>19</v>
      </c>
      <c r="F4" s="1"/>
      <c r="G4" s="6" t="s">
        <v>14</v>
      </c>
      <c r="H4" s="7">
        <v>70000</v>
      </c>
      <c r="I4" s="1">
        <v>6</v>
      </c>
      <c r="J4" s="1" t="s">
        <v>15</v>
      </c>
    </row>
    <row r="5" spans="1:10" x14ac:dyDescent="0.2">
      <c r="A5" s="5">
        <v>45748</v>
      </c>
      <c r="B5" s="1" t="s">
        <v>860</v>
      </c>
      <c r="C5" s="1" t="s">
        <v>737</v>
      </c>
      <c r="D5" s="1" t="s">
        <v>153</v>
      </c>
      <c r="E5" s="1" t="s">
        <v>78</v>
      </c>
      <c r="F5" s="1"/>
      <c r="G5" s="6" t="s">
        <v>14</v>
      </c>
      <c r="H5" s="7">
        <v>65000</v>
      </c>
      <c r="I5" s="1">
        <v>2.2000000000000002</v>
      </c>
      <c r="J5" s="1" t="s">
        <v>34</v>
      </c>
    </row>
    <row r="6" spans="1:10" x14ac:dyDescent="0.2">
      <c r="A6" s="5">
        <v>45748</v>
      </c>
      <c r="B6" s="1" t="s">
        <v>861</v>
      </c>
      <c r="C6" s="1" t="s">
        <v>356</v>
      </c>
      <c r="D6" s="1" t="s">
        <v>49</v>
      </c>
      <c r="E6" s="1" t="s">
        <v>19</v>
      </c>
      <c r="F6" s="1"/>
      <c r="G6" s="6" t="s">
        <v>23</v>
      </c>
      <c r="H6" s="7">
        <v>30000</v>
      </c>
      <c r="I6" s="8">
        <v>5.0999999999999996</v>
      </c>
      <c r="J6" s="1" t="s">
        <v>15</v>
      </c>
    </row>
    <row r="7" spans="1:10" x14ac:dyDescent="0.2">
      <c r="A7" s="5">
        <v>45748</v>
      </c>
      <c r="B7" s="1" t="s">
        <v>862</v>
      </c>
      <c r="C7" s="1" t="s">
        <v>863</v>
      </c>
      <c r="D7" s="1" t="s">
        <v>101</v>
      </c>
      <c r="E7" s="1" t="s">
        <v>13</v>
      </c>
      <c r="F7" s="1"/>
      <c r="G7" s="6" t="s">
        <v>14</v>
      </c>
      <c r="H7" s="7">
        <v>65000</v>
      </c>
      <c r="I7" s="8">
        <v>2.9</v>
      </c>
      <c r="J7" s="1" t="s">
        <v>15</v>
      </c>
    </row>
    <row r="8" spans="1:10" x14ac:dyDescent="0.2">
      <c r="A8" s="5">
        <v>45749</v>
      </c>
      <c r="B8" s="1" t="s">
        <v>388</v>
      </c>
      <c r="C8" s="1" t="s">
        <v>389</v>
      </c>
      <c r="D8" s="1" t="s">
        <v>779</v>
      </c>
      <c r="E8" s="1" t="s">
        <v>94</v>
      </c>
      <c r="F8" s="1"/>
      <c r="G8" s="6" t="s">
        <v>14</v>
      </c>
      <c r="H8" s="7">
        <v>85000</v>
      </c>
      <c r="I8" s="8">
        <v>25</v>
      </c>
      <c r="J8" s="1" t="s">
        <v>15</v>
      </c>
    </row>
    <row r="9" spans="1:10" x14ac:dyDescent="0.2">
      <c r="A9" s="5">
        <v>45749</v>
      </c>
      <c r="B9" s="1" t="s">
        <v>864</v>
      </c>
      <c r="C9" s="1" t="s">
        <v>865</v>
      </c>
      <c r="D9" s="1" t="s">
        <v>26</v>
      </c>
      <c r="E9" s="1" t="s">
        <v>78</v>
      </c>
      <c r="F9" s="1" t="s">
        <v>209</v>
      </c>
      <c r="G9" s="6" t="s">
        <v>14</v>
      </c>
      <c r="H9" s="7">
        <f>80000+80000</f>
        <v>160000</v>
      </c>
      <c r="I9" s="8">
        <v>4.2</v>
      </c>
      <c r="J9" s="1" t="s">
        <v>37</v>
      </c>
    </row>
    <row r="10" spans="1:10" x14ac:dyDescent="0.2">
      <c r="A10" s="5">
        <v>45749</v>
      </c>
      <c r="B10" s="1" t="s">
        <v>256</v>
      </c>
      <c r="C10" s="1" t="s">
        <v>257</v>
      </c>
      <c r="D10" s="1" t="s">
        <v>32</v>
      </c>
      <c r="E10" s="1" t="s">
        <v>113</v>
      </c>
      <c r="F10" s="1"/>
      <c r="G10" s="6" t="s">
        <v>14</v>
      </c>
      <c r="H10" s="7">
        <v>100000</v>
      </c>
      <c r="I10" s="8"/>
      <c r="J10" s="1" t="s">
        <v>160</v>
      </c>
    </row>
    <row r="11" spans="1:10" x14ac:dyDescent="0.2">
      <c r="A11" s="5">
        <v>45749</v>
      </c>
      <c r="B11" s="1" t="s">
        <v>141</v>
      </c>
      <c r="C11" s="1" t="s">
        <v>866</v>
      </c>
      <c r="D11" s="1" t="s">
        <v>26</v>
      </c>
      <c r="E11" s="1" t="s">
        <v>19</v>
      </c>
      <c r="F11" s="1"/>
      <c r="G11" s="6" t="s">
        <v>14</v>
      </c>
      <c r="H11" s="7">
        <v>75000</v>
      </c>
      <c r="I11" s="1">
        <v>4.8</v>
      </c>
      <c r="J11" s="1" t="s">
        <v>15</v>
      </c>
    </row>
    <row r="12" spans="1:10" x14ac:dyDescent="0.2">
      <c r="A12" s="5">
        <v>45749</v>
      </c>
      <c r="B12" s="1" t="s">
        <v>867</v>
      </c>
      <c r="C12" s="1" t="s">
        <v>868</v>
      </c>
      <c r="D12" s="1" t="s">
        <v>26</v>
      </c>
      <c r="E12" s="1" t="s">
        <v>13</v>
      </c>
      <c r="F12" s="1"/>
      <c r="G12" s="6" t="s">
        <v>14</v>
      </c>
      <c r="H12" s="7">
        <v>85000</v>
      </c>
      <c r="I12" s="8">
        <v>4.4000000000000004</v>
      </c>
      <c r="J12" s="1" t="s">
        <v>37</v>
      </c>
    </row>
    <row r="13" spans="1:10" x14ac:dyDescent="0.2">
      <c r="A13" s="5">
        <v>45749</v>
      </c>
      <c r="B13" s="1" t="s">
        <v>682</v>
      </c>
      <c r="C13" s="1" t="s">
        <v>164</v>
      </c>
      <c r="D13" s="1" t="s">
        <v>165</v>
      </c>
      <c r="E13" s="1" t="s">
        <v>13</v>
      </c>
      <c r="F13" s="1"/>
      <c r="G13" s="6" t="s">
        <v>14</v>
      </c>
      <c r="H13" s="7">
        <v>80000</v>
      </c>
      <c r="I13" s="8">
        <v>8.4</v>
      </c>
      <c r="J13" s="1" t="s">
        <v>15</v>
      </c>
    </row>
    <row r="14" spans="1:10" x14ac:dyDescent="0.2">
      <c r="A14" s="5">
        <v>45749</v>
      </c>
      <c r="B14" s="1"/>
      <c r="C14" s="1"/>
      <c r="D14" s="1" t="s">
        <v>49</v>
      </c>
      <c r="E14" s="1" t="s">
        <v>61</v>
      </c>
      <c r="F14" s="1"/>
      <c r="G14" s="6" t="s">
        <v>23</v>
      </c>
      <c r="H14" s="7">
        <v>10000</v>
      </c>
      <c r="I14" s="8" t="s">
        <v>114</v>
      </c>
      <c r="J14" s="1" t="s">
        <v>160</v>
      </c>
    </row>
    <row r="15" spans="1:10" x14ac:dyDescent="0.2">
      <c r="A15" s="5">
        <v>45749</v>
      </c>
      <c r="B15" s="1" t="s">
        <v>711</v>
      </c>
      <c r="C15" s="1" t="s">
        <v>869</v>
      </c>
      <c r="D15" s="1" t="s">
        <v>49</v>
      </c>
      <c r="E15" s="1" t="s">
        <v>19</v>
      </c>
      <c r="F15" s="1"/>
      <c r="G15" s="6" t="s">
        <v>23</v>
      </c>
      <c r="H15" s="7">
        <v>25000</v>
      </c>
      <c r="I15" s="8">
        <v>3.1</v>
      </c>
      <c r="J15" s="1" t="s">
        <v>15</v>
      </c>
    </row>
    <row r="16" spans="1:10" x14ac:dyDescent="0.2">
      <c r="A16" s="5">
        <v>45749</v>
      </c>
      <c r="B16" s="1" t="s">
        <v>870</v>
      </c>
      <c r="C16" s="1" t="s">
        <v>871</v>
      </c>
      <c r="D16" s="1" t="s">
        <v>494</v>
      </c>
      <c r="E16" s="1" t="s">
        <v>828</v>
      </c>
      <c r="F16" s="1"/>
      <c r="G16" s="6" t="s">
        <v>23</v>
      </c>
      <c r="H16" s="7">
        <v>50000</v>
      </c>
      <c r="I16" s="8">
        <v>7</v>
      </c>
      <c r="J16" s="1" t="s">
        <v>15</v>
      </c>
    </row>
    <row r="17" spans="1:10" x14ac:dyDescent="0.2">
      <c r="A17" s="5">
        <v>45750</v>
      </c>
      <c r="B17" s="1" t="s">
        <v>24</v>
      </c>
      <c r="C17" s="1" t="s">
        <v>31</v>
      </c>
      <c r="D17" s="1" t="s">
        <v>64</v>
      </c>
      <c r="E17" s="1" t="s">
        <v>19</v>
      </c>
      <c r="F17" s="1"/>
      <c r="G17" s="6" t="s">
        <v>23</v>
      </c>
      <c r="H17" s="7">
        <v>55000</v>
      </c>
      <c r="I17" s="8">
        <v>13</v>
      </c>
      <c r="J17" s="1" t="s">
        <v>15</v>
      </c>
    </row>
    <row r="18" spans="1:10" x14ac:dyDescent="0.2">
      <c r="A18" s="5">
        <v>45750</v>
      </c>
      <c r="B18" s="1" t="s">
        <v>24</v>
      </c>
      <c r="C18" s="1" t="s">
        <v>25</v>
      </c>
      <c r="D18" s="1" t="s">
        <v>26</v>
      </c>
      <c r="E18" s="1" t="s">
        <v>19</v>
      </c>
      <c r="F18" s="1"/>
      <c r="G18" s="6" t="s">
        <v>14</v>
      </c>
      <c r="H18" s="7">
        <v>80000</v>
      </c>
      <c r="I18" s="8">
        <v>7.5</v>
      </c>
      <c r="J18" s="1" t="s">
        <v>15</v>
      </c>
    </row>
    <row r="19" spans="1:10" x14ac:dyDescent="0.2">
      <c r="A19" s="5">
        <v>45750</v>
      </c>
      <c r="B19" s="1" t="s">
        <v>872</v>
      </c>
      <c r="C19" s="1" t="s">
        <v>454</v>
      </c>
      <c r="D19" s="1" t="s">
        <v>131</v>
      </c>
      <c r="E19" s="1" t="s">
        <v>19</v>
      </c>
      <c r="F19" s="1"/>
      <c r="G19" s="6" t="s">
        <v>14</v>
      </c>
      <c r="H19" s="7">
        <v>120000</v>
      </c>
      <c r="I19" s="8">
        <v>51.1</v>
      </c>
      <c r="J19" s="1" t="s">
        <v>15</v>
      </c>
    </row>
    <row r="20" spans="1:10" x14ac:dyDescent="0.2">
      <c r="A20" s="5">
        <v>45750</v>
      </c>
      <c r="B20" s="1" t="s">
        <v>705</v>
      </c>
      <c r="C20" s="1" t="s">
        <v>514</v>
      </c>
      <c r="D20" s="1" t="s">
        <v>45</v>
      </c>
      <c r="E20" s="1" t="s">
        <v>19</v>
      </c>
      <c r="F20" s="1"/>
      <c r="G20" s="6" t="s">
        <v>23</v>
      </c>
      <c r="H20" s="7">
        <v>55000</v>
      </c>
      <c r="I20" s="8">
        <v>12.8</v>
      </c>
      <c r="J20" s="1" t="s">
        <v>15</v>
      </c>
    </row>
    <row r="21" spans="1:10" x14ac:dyDescent="0.2">
      <c r="A21" s="5">
        <v>45750</v>
      </c>
      <c r="B21" s="1" t="s">
        <v>873</v>
      </c>
      <c r="C21" s="1" t="s">
        <v>289</v>
      </c>
      <c r="D21" s="1" t="s">
        <v>64</v>
      </c>
      <c r="E21" s="1" t="s">
        <v>13</v>
      </c>
      <c r="F21" s="1"/>
      <c r="G21" s="6" t="s">
        <v>23</v>
      </c>
      <c r="H21" s="7">
        <v>60000</v>
      </c>
      <c r="I21" s="8">
        <v>16.600000000000001</v>
      </c>
      <c r="J21" s="1" t="s">
        <v>15</v>
      </c>
    </row>
    <row r="22" spans="1:10" x14ac:dyDescent="0.2">
      <c r="A22" s="5">
        <v>45750</v>
      </c>
      <c r="B22" s="1" t="s">
        <v>874</v>
      </c>
      <c r="C22" s="1" t="s">
        <v>457</v>
      </c>
      <c r="D22" s="1" t="s">
        <v>32</v>
      </c>
      <c r="E22" s="1" t="s">
        <v>19</v>
      </c>
      <c r="F22" s="1"/>
      <c r="G22" s="6" t="s">
        <v>14</v>
      </c>
      <c r="H22" s="7">
        <v>70000</v>
      </c>
      <c r="I22" s="8">
        <v>3.2</v>
      </c>
      <c r="J22" s="1" t="s">
        <v>15</v>
      </c>
    </row>
    <row r="23" spans="1:10" x14ac:dyDescent="0.2">
      <c r="A23" s="5">
        <v>45750</v>
      </c>
      <c r="B23" s="1" t="s">
        <v>874</v>
      </c>
      <c r="C23" s="1" t="s">
        <v>458</v>
      </c>
      <c r="D23" s="1" t="s">
        <v>32</v>
      </c>
      <c r="E23" s="1" t="s">
        <v>19</v>
      </c>
      <c r="F23" s="1"/>
      <c r="G23" s="6" t="s">
        <v>14</v>
      </c>
      <c r="H23" s="7">
        <v>70000</v>
      </c>
      <c r="I23" s="8">
        <v>5.2</v>
      </c>
      <c r="J23" s="1" t="s">
        <v>15</v>
      </c>
    </row>
    <row r="24" spans="1:10" x14ac:dyDescent="0.2">
      <c r="A24" s="5">
        <v>45750</v>
      </c>
      <c r="B24" s="1" t="s">
        <v>875</v>
      </c>
      <c r="C24" s="1" t="s">
        <v>245</v>
      </c>
      <c r="D24" s="1" t="s">
        <v>26</v>
      </c>
      <c r="E24" s="1" t="s">
        <v>13</v>
      </c>
      <c r="F24" s="1"/>
      <c r="G24" s="6" t="s">
        <v>14</v>
      </c>
      <c r="H24" s="7">
        <v>85000</v>
      </c>
      <c r="I24" s="8">
        <v>5.9</v>
      </c>
      <c r="J24" s="1" t="s">
        <v>15</v>
      </c>
    </row>
    <row r="25" spans="1:10" x14ac:dyDescent="0.2">
      <c r="A25" s="5">
        <v>45750</v>
      </c>
      <c r="B25" s="1" t="s">
        <v>739</v>
      </c>
      <c r="C25" s="1" t="s">
        <v>740</v>
      </c>
      <c r="D25" s="1" t="s">
        <v>26</v>
      </c>
      <c r="E25" s="1" t="s">
        <v>19</v>
      </c>
      <c r="F25" s="1"/>
      <c r="G25" s="6" t="s">
        <v>14</v>
      </c>
      <c r="H25" s="7">
        <v>65000</v>
      </c>
      <c r="I25" s="8">
        <v>5.0999999999999996</v>
      </c>
      <c r="J25" s="1" t="s">
        <v>15</v>
      </c>
    </row>
    <row r="26" spans="1:10" x14ac:dyDescent="0.2">
      <c r="A26" s="5">
        <v>45751</v>
      </c>
      <c r="B26" s="1" t="s">
        <v>876</v>
      </c>
      <c r="C26" s="1" t="s">
        <v>309</v>
      </c>
      <c r="D26" s="1" t="s">
        <v>64</v>
      </c>
      <c r="E26" s="1" t="s">
        <v>13</v>
      </c>
      <c r="F26" s="1"/>
      <c r="G26" s="6" t="s">
        <v>14</v>
      </c>
      <c r="H26" s="7">
        <v>85000</v>
      </c>
      <c r="I26" s="8">
        <v>27.5</v>
      </c>
      <c r="J26" s="1" t="s">
        <v>15</v>
      </c>
    </row>
    <row r="27" spans="1:10" x14ac:dyDescent="0.2">
      <c r="A27" s="5">
        <v>45751</v>
      </c>
      <c r="B27" s="1" t="s">
        <v>877</v>
      </c>
      <c r="C27" s="1" t="s">
        <v>176</v>
      </c>
      <c r="D27" s="1" t="s">
        <v>26</v>
      </c>
      <c r="E27" s="1" t="s">
        <v>13</v>
      </c>
      <c r="F27" s="1"/>
      <c r="G27" s="6" t="s">
        <v>14</v>
      </c>
      <c r="H27" s="7">
        <v>80000</v>
      </c>
      <c r="I27" s="8">
        <v>6.7</v>
      </c>
      <c r="J27" s="1" t="s">
        <v>15</v>
      </c>
    </row>
    <row r="28" spans="1:10" x14ac:dyDescent="0.2">
      <c r="A28" s="5">
        <v>45751</v>
      </c>
      <c r="B28" s="1" t="s">
        <v>878</v>
      </c>
      <c r="C28" s="1" t="s">
        <v>715</v>
      </c>
      <c r="D28" s="1" t="s">
        <v>64</v>
      </c>
      <c r="E28" s="1" t="s">
        <v>19</v>
      </c>
      <c r="F28" s="1"/>
      <c r="G28" s="6" t="s">
        <v>23</v>
      </c>
      <c r="H28" s="7">
        <v>46000</v>
      </c>
      <c r="I28" s="8">
        <v>11.4</v>
      </c>
      <c r="J28" s="1" t="s">
        <v>15</v>
      </c>
    </row>
    <row r="29" spans="1:10" x14ac:dyDescent="0.2">
      <c r="A29" s="5">
        <v>45751</v>
      </c>
      <c r="B29" s="1" t="s">
        <v>20</v>
      </c>
      <c r="C29" s="1" t="s">
        <v>21</v>
      </c>
      <c r="D29" s="1" t="s">
        <v>22</v>
      </c>
      <c r="E29" s="1" t="s">
        <v>19</v>
      </c>
      <c r="F29" s="1"/>
      <c r="G29" s="6" t="s">
        <v>23</v>
      </c>
      <c r="H29" s="7">
        <v>60000</v>
      </c>
      <c r="I29" s="8">
        <v>12</v>
      </c>
      <c r="J29" s="1" t="s">
        <v>15</v>
      </c>
    </row>
    <row r="30" spans="1:10" x14ac:dyDescent="0.2">
      <c r="A30" s="5">
        <v>45751</v>
      </c>
      <c r="B30" s="1" t="s">
        <v>879</v>
      </c>
      <c r="C30" s="1" t="s">
        <v>880</v>
      </c>
      <c r="D30" s="1" t="s">
        <v>58</v>
      </c>
      <c r="E30" s="1" t="s">
        <v>59</v>
      </c>
      <c r="F30" s="1"/>
      <c r="G30" s="6" t="s">
        <v>14</v>
      </c>
      <c r="H30" s="7">
        <v>80000</v>
      </c>
      <c r="I30" s="8">
        <v>2.4</v>
      </c>
      <c r="J30" s="1" t="s">
        <v>15</v>
      </c>
    </row>
    <row r="31" spans="1:10" x14ac:dyDescent="0.2">
      <c r="A31" s="5">
        <v>45751</v>
      </c>
      <c r="B31" s="1" t="s">
        <v>879</v>
      </c>
      <c r="C31" s="1" t="s">
        <v>257</v>
      </c>
      <c r="D31" s="1" t="s">
        <v>58</v>
      </c>
      <c r="E31" s="1" t="s">
        <v>59</v>
      </c>
      <c r="F31" s="1"/>
      <c r="G31" s="6" t="s">
        <v>14</v>
      </c>
      <c r="H31" s="7">
        <v>80000</v>
      </c>
      <c r="I31" s="8">
        <v>1.9</v>
      </c>
      <c r="J31" s="1" t="s">
        <v>15</v>
      </c>
    </row>
    <row r="32" spans="1:10" x14ac:dyDescent="0.2">
      <c r="A32" s="5">
        <v>45751</v>
      </c>
      <c r="B32" s="1" t="s">
        <v>717</v>
      </c>
      <c r="C32" s="1" t="s">
        <v>433</v>
      </c>
      <c r="D32" s="1" t="s">
        <v>119</v>
      </c>
      <c r="E32" s="1" t="s">
        <v>19</v>
      </c>
      <c r="F32" s="1"/>
      <c r="G32" s="6" t="s">
        <v>23</v>
      </c>
      <c r="H32" s="7">
        <v>55000</v>
      </c>
      <c r="I32" s="8">
        <v>13.6</v>
      </c>
      <c r="J32" s="1" t="s">
        <v>15</v>
      </c>
    </row>
    <row r="33" spans="1:10" x14ac:dyDescent="0.2">
      <c r="A33" s="5">
        <v>45751</v>
      </c>
      <c r="B33" s="1" t="s">
        <v>111</v>
      </c>
      <c r="C33" s="1" t="s">
        <v>398</v>
      </c>
      <c r="D33" s="1" t="s">
        <v>112</v>
      </c>
      <c r="E33" s="1" t="s">
        <v>113</v>
      </c>
      <c r="F33" s="1"/>
      <c r="G33" s="6" t="s">
        <v>14</v>
      </c>
      <c r="H33" s="7" t="s">
        <v>114</v>
      </c>
      <c r="I33" s="8"/>
      <c r="J33" s="1" t="s">
        <v>34</v>
      </c>
    </row>
    <row r="34" spans="1:10" x14ac:dyDescent="0.2">
      <c r="A34" s="5">
        <v>45751</v>
      </c>
      <c r="B34" s="1" t="s">
        <v>560</v>
      </c>
      <c r="C34" s="1" t="s">
        <v>303</v>
      </c>
      <c r="D34" s="1" t="s">
        <v>49</v>
      </c>
      <c r="E34" s="1" t="s">
        <v>19</v>
      </c>
      <c r="F34" s="1"/>
      <c r="G34" s="6" t="s">
        <v>23</v>
      </c>
      <c r="H34" s="7">
        <v>30000</v>
      </c>
      <c r="I34" s="8">
        <v>2.2999999999999998</v>
      </c>
      <c r="J34" s="1" t="s">
        <v>15</v>
      </c>
    </row>
    <row r="35" spans="1:10" x14ac:dyDescent="0.2">
      <c r="A35" s="5">
        <v>45751</v>
      </c>
      <c r="B35" s="1" t="s">
        <v>599</v>
      </c>
      <c r="C35" s="1" t="s">
        <v>150</v>
      </c>
      <c r="D35" s="1" t="s">
        <v>32</v>
      </c>
      <c r="E35" s="1" t="s">
        <v>19</v>
      </c>
      <c r="F35" s="1"/>
      <c r="G35" s="6" t="s">
        <v>14</v>
      </c>
      <c r="H35" s="7">
        <v>60000</v>
      </c>
      <c r="I35" s="8">
        <v>3.1</v>
      </c>
      <c r="J35" s="1" t="s">
        <v>15</v>
      </c>
    </row>
    <row r="36" spans="1:10" x14ac:dyDescent="0.2">
      <c r="A36" s="5">
        <v>45751</v>
      </c>
      <c r="B36" s="1"/>
      <c r="C36" s="1"/>
      <c r="D36" s="1"/>
      <c r="E36" s="1" t="s">
        <v>61</v>
      </c>
      <c r="F36" s="1"/>
      <c r="G36" s="6" t="s">
        <v>23</v>
      </c>
      <c r="H36" s="7">
        <v>15000</v>
      </c>
      <c r="I36" s="8"/>
      <c r="J36" s="1" t="s">
        <v>160</v>
      </c>
    </row>
    <row r="37" spans="1:10" x14ac:dyDescent="0.2">
      <c r="A37" s="5">
        <v>45752</v>
      </c>
      <c r="B37" s="1" t="s">
        <v>881</v>
      </c>
      <c r="C37" s="1" t="s">
        <v>882</v>
      </c>
      <c r="D37" s="1" t="s">
        <v>131</v>
      </c>
      <c r="E37" s="1" t="s">
        <v>19</v>
      </c>
      <c r="F37" s="1"/>
      <c r="G37" s="6" t="s">
        <v>14</v>
      </c>
      <c r="H37" s="7">
        <v>70000</v>
      </c>
      <c r="I37" s="8"/>
      <c r="J37" s="1" t="s">
        <v>15</v>
      </c>
    </row>
    <row r="38" spans="1:10" x14ac:dyDescent="0.2">
      <c r="A38" s="5">
        <v>45752</v>
      </c>
      <c r="B38" s="1" t="s">
        <v>369</v>
      </c>
      <c r="C38" s="1" t="s">
        <v>370</v>
      </c>
      <c r="D38" s="1" t="s">
        <v>371</v>
      </c>
      <c r="E38" s="1" t="s">
        <v>19</v>
      </c>
      <c r="F38" s="1"/>
      <c r="G38" s="6" t="s">
        <v>23</v>
      </c>
      <c r="H38" s="7">
        <v>70000</v>
      </c>
      <c r="I38" s="8">
        <v>27</v>
      </c>
      <c r="J38" s="1" t="s">
        <v>15</v>
      </c>
    </row>
    <row r="39" spans="1:10" x14ac:dyDescent="0.2">
      <c r="A39" s="5">
        <v>45752</v>
      </c>
      <c r="B39" s="1" t="s">
        <v>607</v>
      </c>
      <c r="C39" s="1" t="s">
        <v>211</v>
      </c>
      <c r="D39" s="1" t="s">
        <v>32</v>
      </c>
      <c r="E39" s="1" t="s">
        <v>19</v>
      </c>
      <c r="F39" s="1"/>
      <c r="G39" s="6" t="s">
        <v>14</v>
      </c>
      <c r="H39" s="7">
        <v>55000</v>
      </c>
      <c r="I39" s="1">
        <v>4.7</v>
      </c>
      <c r="J39" s="1" t="s">
        <v>15</v>
      </c>
    </row>
    <row r="40" spans="1:10" x14ac:dyDescent="0.2">
      <c r="A40" s="5">
        <v>45752</v>
      </c>
      <c r="B40" s="1" t="s">
        <v>234</v>
      </c>
      <c r="C40" s="1" t="s">
        <v>554</v>
      </c>
      <c r="D40" s="1" t="s">
        <v>18</v>
      </c>
      <c r="E40" s="1" t="s">
        <v>13</v>
      </c>
      <c r="F40" s="1"/>
      <c r="G40" s="6" t="s">
        <v>14</v>
      </c>
      <c r="H40" s="7">
        <v>75000</v>
      </c>
      <c r="I40" s="8"/>
      <c r="J40" s="1" t="s">
        <v>15</v>
      </c>
    </row>
    <row r="41" spans="1:10" x14ac:dyDescent="0.2">
      <c r="A41" s="5">
        <v>45752</v>
      </c>
      <c r="B41" s="1" t="s">
        <v>35</v>
      </c>
      <c r="C41" s="1" t="s">
        <v>36</v>
      </c>
      <c r="D41" s="1" t="s">
        <v>18</v>
      </c>
      <c r="E41" s="1" t="s">
        <v>19</v>
      </c>
      <c r="F41" s="1"/>
      <c r="G41" s="6" t="s">
        <v>14</v>
      </c>
      <c r="H41" s="7" t="s">
        <v>114</v>
      </c>
      <c r="I41" s="8"/>
      <c r="J41" s="1" t="s">
        <v>15</v>
      </c>
    </row>
    <row r="42" spans="1:10" x14ac:dyDescent="0.2">
      <c r="A42" s="5">
        <v>45752</v>
      </c>
      <c r="B42" s="1" t="s">
        <v>186</v>
      </c>
      <c r="C42" s="1" t="s">
        <v>189</v>
      </c>
      <c r="D42" s="1" t="s">
        <v>32</v>
      </c>
      <c r="E42" s="1" t="s">
        <v>19</v>
      </c>
      <c r="F42" s="1"/>
      <c r="G42" s="6" t="s">
        <v>14</v>
      </c>
      <c r="H42" s="7">
        <v>50000</v>
      </c>
      <c r="I42" s="8">
        <v>40</v>
      </c>
      <c r="J42" s="1" t="s">
        <v>15</v>
      </c>
    </row>
    <row r="43" spans="1:10" x14ac:dyDescent="0.2">
      <c r="A43" s="5">
        <v>45752</v>
      </c>
      <c r="B43" s="1" t="s">
        <v>186</v>
      </c>
      <c r="C43" s="1" t="s">
        <v>190</v>
      </c>
      <c r="D43" s="1" t="s">
        <v>32</v>
      </c>
      <c r="E43" s="1" t="s">
        <v>19</v>
      </c>
      <c r="F43" s="1"/>
      <c r="G43" s="6" t="s">
        <v>14</v>
      </c>
      <c r="H43" s="7">
        <v>45000</v>
      </c>
      <c r="I43" s="8">
        <v>4</v>
      </c>
      <c r="J43" s="1" t="s">
        <v>15</v>
      </c>
    </row>
    <row r="44" spans="1:10" x14ac:dyDescent="0.2">
      <c r="A44" s="5">
        <v>45752</v>
      </c>
      <c r="B44" s="1" t="s">
        <v>186</v>
      </c>
      <c r="C44" s="1" t="s">
        <v>187</v>
      </c>
      <c r="D44" s="1" t="s">
        <v>32</v>
      </c>
      <c r="E44" s="1" t="s">
        <v>19</v>
      </c>
      <c r="F44" s="1"/>
      <c r="G44" s="6" t="s">
        <v>14</v>
      </c>
      <c r="H44" s="7">
        <v>45000</v>
      </c>
      <c r="I44" s="8">
        <v>3.2</v>
      </c>
      <c r="J44" s="1" t="s">
        <v>15</v>
      </c>
    </row>
    <row r="45" spans="1:10" x14ac:dyDescent="0.2">
      <c r="A45" s="5">
        <v>45752</v>
      </c>
      <c r="B45" s="1" t="s">
        <v>186</v>
      </c>
      <c r="C45" s="1" t="s">
        <v>188</v>
      </c>
      <c r="D45" s="1" t="s">
        <v>32</v>
      </c>
      <c r="E45" s="1" t="s">
        <v>19</v>
      </c>
      <c r="F45" s="1"/>
      <c r="G45" s="6" t="s">
        <v>14</v>
      </c>
      <c r="H45" s="7">
        <v>60000</v>
      </c>
      <c r="I45" s="8">
        <v>7.1</v>
      </c>
      <c r="J45" s="1" t="s">
        <v>15</v>
      </c>
    </row>
    <row r="46" spans="1:10" x14ac:dyDescent="0.2">
      <c r="A46" s="5">
        <v>45752</v>
      </c>
      <c r="B46" s="1" t="s">
        <v>883</v>
      </c>
      <c r="C46" s="1" t="s">
        <v>282</v>
      </c>
      <c r="D46" s="1" t="s">
        <v>494</v>
      </c>
      <c r="E46" s="1" t="s">
        <v>828</v>
      </c>
      <c r="F46" s="1"/>
      <c r="G46" s="6" t="s">
        <v>23</v>
      </c>
      <c r="H46" s="7">
        <v>30000</v>
      </c>
      <c r="I46" s="8">
        <v>1.5</v>
      </c>
      <c r="J46" s="1" t="s">
        <v>15</v>
      </c>
    </row>
    <row r="47" spans="1:10" x14ac:dyDescent="0.2">
      <c r="A47" s="5">
        <v>45752</v>
      </c>
      <c r="B47" s="1"/>
      <c r="C47" s="1"/>
      <c r="D47" s="1"/>
      <c r="E47" s="1" t="s">
        <v>61</v>
      </c>
      <c r="F47" s="1"/>
      <c r="G47" s="6" t="s">
        <v>23</v>
      </c>
      <c r="H47" s="7">
        <v>10000</v>
      </c>
      <c r="I47" s="8"/>
      <c r="J47" s="1" t="s">
        <v>160</v>
      </c>
    </row>
    <row r="48" spans="1:10" x14ac:dyDescent="0.2">
      <c r="A48" s="5">
        <v>45754</v>
      </c>
      <c r="B48" s="1" t="s">
        <v>884</v>
      </c>
      <c r="C48" s="1" t="s">
        <v>885</v>
      </c>
      <c r="D48" s="1" t="s">
        <v>32</v>
      </c>
      <c r="E48" s="1" t="s">
        <v>19</v>
      </c>
      <c r="F48" s="1"/>
      <c r="G48" s="6" t="s">
        <v>14</v>
      </c>
      <c r="H48" s="7">
        <v>70000</v>
      </c>
      <c r="I48" s="8">
        <v>6.5</v>
      </c>
      <c r="J48" s="1" t="s">
        <v>15</v>
      </c>
    </row>
    <row r="49" spans="1:10" x14ac:dyDescent="0.2">
      <c r="A49" s="5">
        <v>45754</v>
      </c>
      <c r="B49" s="1" t="s">
        <v>886</v>
      </c>
      <c r="C49" s="1" t="s">
        <v>887</v>
      </c>
      <c r="D49" s="1" t="s">
        <v>119</v>
      </c>
      <c r="E49" s="1" t="s">
        <v>19</v>
      </c>
      <c r="F49" s="1"/>
      <c r="G49" s="6" t="s">
        <v>23</v>
      </c>
      <c r="H49" s="7">
        <v>50000</v>
      </c>
      <c r="I49" s="8">
        <v>12.2</v>
      </c>
      <c r="J49" s="1" t="s">
        <v>15</v>
      </c>
    </row>
    <row r="50" spans="1:10" x14ac:dyDescent="0.2">
      <c r="A50" s="5">
        <v>45754</v>
      </c>
      <c r="B50" s="1" t="s">
        <v>888</v>
      </c>
      <c r="C50" s="1" t="s">
        <v>889</v>
      </c>
      <c r="D50" s="1" t="s">
        <v>165</v>
      </c>
      <c r="E50" s="1" t="s">
        <v>13</v>
      </c>
      <c r="F50" s="1"/>
      <c r="G50" s="6" t="s">
        <v>14</v>
      </c>
      <c r="H50" s="7">
        <v>60000</v>
      </c>
      <c r="I50" s="8"/>
      <c r="J50" s="1" t="s">
        <v>15</v>
      </c>
    </row>
    <row r="51" spans="1:10" x14ac:dyDescent="0.2">
      <c r="A51" s="5">
        <v>45754</v>
      </c>
      <c r="B51" s="1" t="s">
        <v>888</v>
      </c>
      <c r="C51" s="1" t="s">
        <v>890</v>
      </c>
      <c r="D51" s="1" t="s">
        <v>26</v>
      </c>
      <c r="E51" s="1" t="s">
        <v>13</v>
      </c>
      <c r="F51" s="1"/>
      <c r="G51" s="6" t="s">
        <v>14</v>
      </c>
      <c r="H51" s="7">
        <v>60000</v>
      </c>
      <c r="I51" s="8"/>
      <c r="J51" s="1" t="s">
        <v>15</v>
      </c>
    </row>
    <row r="52" spans="1:10" x14ac:dyDescent="0.2">
      <c r="A52" s="5">
        <v>45754</v>
      </c>
      <c r="B52" s="1" t="s">
        <v>891</v>
      </c>
      <c r="C52" s="1" t="s">
        <v>63</v>
      </c>
      <c r="D52" s="1" t="s">
        <v>64</v>
      </c>
      <c r="E52" s="1" t="s">
        <v>19</v>
      </c>
      <c r="F52" s="1"/>
      <c r="G52" s="6" t="s">
        <v>23</v>
      </c>
      <c r="H52" s="7">
        <v>45000</v>
      </c>
      <c r="I52" s="8">
        <v>6.7</v>
      </c>
      <c r="J52" s="1" t="s">
        <v>15</v>
      </c>
    </row>
    <row r="53" spans="1:10" x14ac:dyDescent="0.2">
      <c r="A53" s="5">
        <v>45754</v>
      </c>
      <c r="B53" s="1" t="s">
        <v>891</v>
      </c>
      <c r="C53" s="1" t="s">
        <v>526</v>
      </c>
      <c r="D53" s="1" t="s">
        <v>64</v>
      </c>
      <c r="E53" s="1" t="s">
        <v>19</v>
      </c>
      <c r="F53" s="1"/>
      <c r="G53" s="6" t="s">
        <v>23</v>
      </c>
      <c r="H53" s="7">
        <v>50000</v>
      </c>
      <c r="I53" s="8">
        <v>10.1</v>
      </c>
      <c r="J53" s="1" t="s">
        <v>15</v>
      </c>
    </row>
    <row r="54" spans="1:10" x14ac:dyDescent="0.2">
      <c r="A54" s="5">
        <v>45754</v>
      </c>
      <c r="B54" s="1" t="s">
        <v>89</v>
      </c>
      <c r="C54" s="1" t="s">
        <v>480</v>
      </c>
      <c r="D54" s="1" t="s">
        <v>64</v>
      </c>
      <c r="E54" s="1" t="s">
        <v>13</v>
      </c>
      <c r="F54" s="1"/>
      <c r="G54" s="6" t="s">
        <v>14</v>
      </c>
      <c r="H54" s="7">
        <v>85000</v>
      </c>
      <c r="I54" s="8">
        <v>8.6</v>
      </c>
      <c r="J54" s="1" t="s">
        <v>15</v>
      </c>
    </row>
    <row r="55" spans="1:10" x14ac:dyDescent="0.2">
      <c r="A55" s="5">
        <v>45754</v>
      </c>
      <c r="B55" s="1"/>
      <c r="C55" s="1"/>
      <c r="D55" s="1"/>
      <c r="E55" s="1" t="s">
        <v>61</v>
      </c>
      <c r="F55" s="1"/>
      <c r="G55" s="6" t="s">
        <v>23</v>
      </c>
      <c r="H55" s="7">
        <v>10000</v>
      </c>
      <c r="I55" s="8"/>
      <c r="J55" s="1" t="s">
        <v>160</v>
      </c>
    </row>
    <row r="56" spans="1:10" x14ac:dyDescent="0.2">
      <c r="A56" s="5">
        <v>45754</v>
      </c>
      <c r="B56" s="1" t="s">
        <v>892</v>
      </c>
      <c r="C56" s="1" t="s">
        <v>893</v>
      </c>
      <c r="D56" s="1" t="s">
        <v>340</v>
      </c>
      <c r="E56" s="1" t="s">
        <v>19</v>
      </c>
      <c r="F56" s="1"/>
      <c r="G56" s="6" t="s">
        <v>23</v>
      </c>
      <c r="H56" s="7">
        <v>20000</v>
      </c>
      <c r="I56" s="8">
        <v>2.6</v>
      </c>
      <c r="J56" s="1" t="s">
        <v>15</v>
      </c>
    </row>
    <row r="57" spans="1:10" x14ac:dyDescent="0.2">
      <c r="A57" s="5">
        <v>45755</v>
      </c>
      <c r="B57" s="1" t="s">
        <v>894</v>
      </c>
      <c r="C57" s="1" t="s">
        <v>895</v>
      </c>
      <c r="D57" s="1" t="s">
        <v>32</v>
      </c>
      <c r="E57" s="1" t="s">
        <v>78</v>
      </c>
      <c r="F57" s="1"/>
      <c r="G57" s="6" t="s">
        <v>14</v>
      </c>
      <c r="H57" s="7">
        <v>60000</v>
      </c>
      <c r="I57" s="8">
        <v>3.8</v>
      </c>
      <c r="J57" s="1" t="s">
        <v>15</v>
      </c>
    </row>
    <row r="58" spans="1:10" x14ac:dyDescent="0.2">
      <c r="A58" s="5">
        <v>45755</v>
      </c>
      <c r="B58" s="1" t="s">
        <v>896</v>
      </c>
      <c r="C58" s="1" t="s">
        <v>185</v>
      </c>
      <c r="D58" s="1" t="s">
        <v>32</v>
      </c>
      <c r="E58" s="1" t="s">
        <v>13</v>
      </c>
      <c r="F58" s="1"/>
      <c r="G58" s="6" t="s">
        <v>14</v>
      </c>
      <c r="H58" s="7">
        <v>65000</v>
      </c>
      <c r="I58" s="8">
        <v>1.18</v>
      </c>
      <c r="J58" s="1" t="s">
        <v>15</v>
      </c>
    </row>
    <row r="59" spans="1:10" x14ac:dyDescent="0.2">
      <c r="A59" s="5">
        <v>45755</v>
      </c>
      <c r="B59" s="1" t="s">
        <v>897</v>
      </c>
      <c r="C59" s="1" t="s">
        <v>898</v>
      </c>
      <c r="D59" s="1" t="s">
        <v>32</v>
      </c>
      <c r="E59" s="1" t="s">
        <v>13</v>
      </c>
      <c r="F59" s="1"/>
      <c r="G59" s="6" t="s">
        <v>14</v>
      </c>
      <c r="H59" s="7">
        <v>70000</v>
      </c>
      <c r="I59" s="8">
        <v>2.5</v>
      </c>
      <c r="J59" s="1" t="s">
        <v>34</v>
      </c>
    </row>
    <row r="60" spans="1:10" x14ac:dyDescent="0.2">
      <c r="A60" s="5">
        <v>45755</v>
      </c>
      <c r="B60" s="1" t="s">
        <v>899</v>
      </c>
      <c r="C60" s="1" t="s">
        <v>695</v>
      </c>
      <c r="D60" s="1" t="s">
        <v>131</v>
      </c>
      <c r="E60" s="1" t="s">
        <v>19</v>
      </c>
      <c r="F60" s="1"/>
      <c r="G60" s="6" t="s">
        <v>14</v>
      </c>
      <c r="H60" s="7">
        <v>80000</v>
      </c>
      <c r="I60" s="8">
        <v>37</v>
      </c>
      <c r="J60" s="1" t="s">
        <v>15</v>
      </c>
    </row>
    <row r="61" spans="1:10" x14ac:dyDescent="0.2">
      <c r="A61" s="5">
        <v>45755</v>
      </c>
      <c r="B61" s="1" t="s">
        <v>419</v>
      </c>
      <c r="C61" s="1" t="s">
        <v>420</v>
      </c>
      <c r="D61" s="1" t="s">
        <v>18</v>
      </c>
      <c r="E61" s="1" t="s">
        <v>13</v>
      </c>
      <c r="F61" s="1"/>
      <c r="G61" s="6" t="s">
        <v>14</v>
      </c>
      <c r="H61" s="7">
        <v>90000</v>
      </c>
      <c r="I61" s="8">
        <v>14.5</v>
      </c>
      <c r="J61" s="1" t="s">
        <v>15</v>
      </c>
    </row>
    <row r="62" spans="1:10" x14ac:dyDescent="0.2">
      <c r="A62" s="5">
        <v>45755</v>
      </c>
      <c r="B62" s="1" t="s">
        <v>508</v>
      </c>
      <c r="C62" s="1" t="s">
        <v>398</v>
      </c>
      <c r="D62" s="1" t="s">
        <v>165</v>
      </c>
      <c r="E62" s="1" t="s">
        <v>13</v>
      </c>
      <c r="F62" s="1"/>
      <c r="G62" s="6" t="s">
        <v>14</v>
      </c>
      <c r="H62" s="7">
        <v>70000</v>
      </c>
      <c r="I62" s="8">
        <v>6.4</v>
      </c>
      <c r="J62" s="1" t="s">
        <v>15</v>
      </c>
    </row>
    <row r="63" spans="1:10" x14ac:dyDescent="0.2">
      <c r="A63" s="5">
        <v>45755</v>
      </c>
      <c r="B63" s="1" t="s">
        <v>900</v>
      </c>
      <c r="C63" s="1" t="s">
        <v>110</v>
      </c>
      <c r="D63" s="1" t="s">
        <v>101</v>
      </c>
      <c r="E63" s="1" t="s">
        <v>13</v>
      </c>
      <c r="F63" s="1"/>
      <c r="G63" s="6" t="s">
        <v>14</v>
      </c>
      <c r="H63" s="7">
        <v>75000</v>
      </c>
      <c r="I63" s="8">
        <v>9.4</v>
      </c>
      <c r="J63" s="1" t="s">
        <v>15</v>
      </c>
    </row>
    <row r="64" spans="1:10" x14ac:dyDescent="0.2">
      <c r="A64" s="5">
        <v>45755</v>
      </c>
      <c r="B64" s="1" t="s">
        <v>901</v>
      </c>
      <c r="C64" s="1" t="s">
        <v>902</v>
      </c>
      <c r="D64" s="1" t="s">
        <v>88</v>
      </c>
      <c r="E64" s="1" t="s">
        <v>13</v>
      </c>
      <c r="F64" s="1"/>
      <c r="G64" s="6" t="s">
        <v>14</v>
      </c>
      <c r="H64" s="7">
        <v>80000</v>
      </c>
      <c r="I64" s="8">
        <v>6.5</v>
      </c>
      <c r="J64" s="1" t="s">
        <v>15</v>
      </c>
    </row>
    <row r="65" spans="1:10" x14ac:dyDescent="0.2">
      <c r="A65" s="5">
        <v>45755</v>
      </c>
      <c r="B65" s="1" t="s">
        <v>903</v>
      </c>
      <c r="C65" s="1" t="s">
        <v>444</v>
      </c>
      <c r="D65" s="1" t="s">
        <v>340</v>
      </c>
      <c r="E65" s="1" t="s">
        <v>19</v>
      </c>
      <c r="F65" s="1"/>
      <c r="G65" s="6" t="s">
        <v>14</v>
      </c>
      <c r="H65" s="7">
        <v>30000</v>
      </c>
      <c r="I65" s="8">
        <v>1.8</v>
      </c>
      <c r="J65" s="1" t="s">
        <v>15</v>
      </c>
    </row>
    <row r="66" spans="1:10" x14ac:dyDescent="0.2">
      <c r="A66" s="5">
        <v>45756</v>
      </c>
      <c r="B66" s="1" t="s">
        <v>703</v>
      </c>
      <c r="C66" s="1" t="s">
        <v>904</v>
      </c>
      <c r="D66" s="1" t="s">
        <v>196</v>
      </c>
      <c r="E66" s="1" t="s">
        <v>94</v>
      </c>
      <c r="F66" s="1"/>
      <c r="G66" s="6" t="s">
        <v>14</v>
      </c>
      <c r="H66" s="7">
        <v>130000</v>
      </c>
      <c r="I66" s="8">
        <v>25.3</v>
      </c>
      <c r="J66" s="1" t="s">
        <v>15</v>
      </c>
    </row>
    <row r="67" spans="1:10" x14ac:dyDescent="0.2">
      <c r="A67" s="5">
        <v>45756</v>
      </c>
      <c r="B67" s="1" t="s">
        <v>905</v>
      </c>
      <c r="C67" s="1" t="s">
        <v>906</v>
      </c>
      <c r="D67" s="1" t="s">
        <v>494</v>
      </c>
      <c r="E67" s="1" t="s">
        <v>828</v>
      </c>
      <c r="F67" s="1"/>
      <c r="G67" s="6" t="s">
        <v>14</v>
      </c>
      <c r="H67" s="7">
        <v>55000</v>
      </c>
      <c r="I67" s="8">
        <v>5.8</v>
      </c>
      <c r="J67" s="1" t="s">
        <v>15</v>
      </c>
    </row>
    <row r="68" spans="1:10" x14ac:dyDescent="0.2">
      <c r="A68" s="5">
        <v>45756</v>
      </c>
      <c r="B68" s="1" t="s">
        <v>485</v>
      </c>
      <c r="C68" s="1" t="s">
        <v>486</v>
      </c>
      <c r="D68" s="1" t="s">
        <v>32</v>
      </c>
      <c r="E68" s="1" t="s">
        <v>113</v>
      </c>
      <c r="F68" s="1"/>
      <c r="G68" s="6" t="s">
        <v>14</v>
      </c>
      <c r="H68" s="7">
        <v>40000</v>
      </c>
      <c r="I68" s="8">
        <v>4.7</v>
      </c>
      <c r="J68" s="1" t="s">
        <v>160</v>
      </c>
    </row>
    <row r="69" spans="1:10" x14ac:dyDescent="0.2">
      <c r="A69" s="5">
        <v>45756</v>
      </c>
      <c r="B69" s="1" t="s">
        <v>485</v>
      </c>
      <c r="C69" s="1" t="s">
        <v>907</v>
      </c>
      <c r="D69" s="1" t="s">
        <v>32</v>
      </c>
      <c r="E69" s="1" t="s">
        <v>19</v>
      </c>
      <c r="F69" s="1"/>
      <c r="G69" s="6" t="s">
        <v>14</v>
      </c>
      <c r="H69" s="7">
        <v>65000</v>
      </c>
      <c r="I69" s="8">
        <v>3.4</v>
      </c>
      <c r="J69" s="1" t="s">
        <v>15</v>
      </c>
    </row>
    <row r="70" spans="1:10" x14ac:dyDescent="0.2">
      <c r="A70" s="5">
        <v>45756</v>
      </c>
      <c r="B70" s="1" t="s">
        <v>256</v>
      </c>
      <c r="C70" s="1" t="s">
        <v>116</v>
      </c>
      <c r="D70" s="1" t="s">
        <v>32</v>
      </c>
      <c r="E70" s="1" t="s">
        <v>19</v>
      </c>
      <c r="F70" s="1"/>
      <c r="G70" s="6" t="s">
        <v>14</v>
      </c>
      <c r="H70" s="7" t="s">
        <v>114</v>
      </c>
      <c r="I70" s="8"/>
      <c r="J70" s="1" t="s">
        <v>160</v>
      </c>
    </row>
    <row r="71" spans="1:10" x14ac:dyDescent="0.2">
      <c r="A71" s="5">
        <v>45756</v>
      </c>
      <c r="B71" s="1" t="s">
        <v>732</v>
      </c>
      <c r="C71" s="1" t="s">
        <v>908</v>
      </c>
      <c r="D71" s="1" t="s">
        <v>32</v>
      </c>
      <c r="E71" s="1" t="s">
        <v>19</v>
      </c>
      <c r="F71" s="1"/>
      <c r="G71" s="6" t="s">
        <v>14</v>
      </c>
      <c r="H71" s="7">
        <v>60000</v>
      </c>
      <c r="I71" s="8"/>
      <c r="J71" s="1" t="s">
        <v>160</v>
      </c>
    </row>
    <row r="72" spans="1:10" x14ac:dyDescent="0.2">
      <c r="A72" s="5">
        <v>45756</v>
      </c>
      <c r="B72" s="1" t="s">
        <v>643</v>
      </c>
      <c r="C72" s="1" t="s">
        <v>148</v>
      </c>
      <c r="D72" s="1" t="s">
        <v>32</v>
      </c>
      <c r="E72" s="1" t="s">
        <v>19</v>
      </c>
      <c r="F72" s="1" t="s">
        <v>209</v>
      </c>
      <c r="G72" s="6" t="s">
        <v>14</v>
      </c>
      <c r="H72" s="7">
        <f>65000+50000</f>
        <v>115000</v>
      </c>
      <c r="I72" s="8">
        <v>5.2</v>
      </c>
      <c r="J72" s="1" t="s">
        <v>15</v>
      </c>
    </row>
    <row r="73" spans="1:10" x14ac:dyDescent="0.2">
      <c r="A73" s="5">
        <v>45756</v>
      </c>
      <c r="B73" s="1" t="s">
        <v>909</v>
      </c>
      <c r="C73" s="1" t="s">
        <v>910</v>
      </c>
      <c r="D73" s="1" t="s">
        <v>49</v>
      </c>
      <c r="E73" s="1" t="s">
        <v>19</v>
      </c>
      <c r="F73" s="1"/>
      <c r="G73" s="6" t="s">
        <v>23</v>
      </c>
      <c r="H73" s="7">
        <v>30000</v>
      </c>
      <c r="I73" s="8">
        <v>4.2</v>
      </c>
      <c r="J73" s="1" t="s">
        <v>15</v>
      </c>
    </row>
    <row r="74" spans="1:10" x14ac:dyDescent="0.2">
      <c r="A74" s="5">
        <v>45756</v>
      </c>
      <c r="B74" s="1" t="s">
        <v>636</v>
      </c>
      <c r="C74" s="1" t="s">
        <v>275</v>
      </c>
      <c r="D74" s="1" t="s">
        <v>165</v>
      </c>
      <c r="E74" s="1" t="s">
        <v>13</v>
      </c>
      <c r="F74" s="1"/>
      <c r="G74" s="6" t="s">
        <v>14</v>
      </c>
      <c r="H74" s="7">
        <v>70000</v>
      </c>
      <c r="I74" s="8">
        <v>6.5</v>
      </c>
      <c r="J74" s="1" t="s">
        <v>15</v>
      </c>
    </row>
    <row r="75" spans="1:10" x14ac:dyDescent="0.2">
      <c r="A75" s="5">
        <v>45756</v>
      </c>
      <c r="B75" s="1" t="s">
        <v>911</v>
      </c>
      <c r="C75" s="1" t="s">
        <v>401</v>
      </c>
      <c r="D75" s="1" t="s">
        <v>119</v>
      </c>
      <c r="E75" s="1" t="s">
        <v>19</v>
      </c>
      <c r="F75" s="1"/>
      <c r="G75" s="6" t="s">
        <v>23</v>
      </c>
      <c r="H75" s="7">
        <v>45000</v>
      </c>
      <c r="I75" s="1">
        <v>16</v>
      </c>
      <c r="J75" s="1" t="s">
        <v>15</v>
      </c>
    </row>
    <row r="76" spans="1:10" x14ac:dyDescent="0.2">
      <c r="A76" s="5">
        <v>45756</v>
      </c>
      <c r="B76" s="1" t="s">
        <v>912</v>
      </c>
      <c r="C76" s="1" t="s">
        <v>913</v>
      </c>
      <c r="D76" s="1" t="s">
        <v>914</v>
      </c>
      <c r="E76" s="1" t="s">
        <v>19</v>
      </c>
      <c r="F76" s="1"/>
      <c r="G76" s="6" t="s">
        <v>23</v>
      </c>
      <c r="H76" s="7">
        <v>75000</v>
      </c>
      <c r="I76" s="8">
        <v>32</v>
      </c>
      <c r="J76" s="1" t="s">
        <v>15</v>
      </c>
    </row>
    <row r="77" spans="1:10" x14ac:dyDescent="0.2">
      <c r="A77" s="5">
        <v>45757</v>
      </c>
      <c r="B77" s="1" t="s">
        <v>355</v>
      </c>
      <c r="C77" s="1" t="s">
        <v>685</v>
      </c>
      <c r="D77" s="1" t="s">
        <v>32</v>
      </c>
      <c r="E77" s="1" t="s">
        <v>19</v>
      </c>
      <c r="F77" s="1"/>
      <c r="G77" s="6" t="s">
        <v>14</v>
      </c>
      <c r="H77" s="7">
        <v>60000</v>
      </c>
      <c r="I77" s="1">
        <v>3.2</v>
      </c>
      <c r="J77" s="1" t="s">
        <v>15</v>
      </c>
    </row>
    <row r="78" spans="1:10" x14ac:dyDescent="0.2">
      <c r="A78" s="5">
        <v>45757</v>
      </c>
      <c r="B78" s="1" t="s">
        <v>355</v>
      </c>
      <c r="C78" s="1" t="s">
        <v>287</v>
      </c>
      <c r="D78" s="1" t="s">
        <v>32</v>
      </c>
      <c r="E78" s="1" t="s">
        <v>19</v>
      </c>
      <c r="F78" s="1"/>
      <c r="G78" s="6" t="s">
        <v>14</v>
      </c>
      <c r="H78" s="7">
        <v>60000</v>
      </c>
      <c r="I78" s="1">
        <v>3.2</v>
      </c>
      <c r="J78" s="1" t="s">
        <v>15</v>
      </c>
    </row>
    <row r="79" spans="1:10" x14ac:dyDescent="0.2">
      <c r="A79" s="5">
        <v>45757</v>
      </c>
      <c r="B79" s="1" t="s">
        <v>355</v>
      </c>
      <c r="C79" s="1" t="s">
        <v>915</v>
      </c>
      <c r="D79" s="1" t="s">
        <v>32</v>
      </c>
      <c r="E79" s="1" t="s">
        <v>19</v>
      </c>
      <c r="F79" s="1"/>
      <c r="G79" s="6" t="s">
        <v>14</v>
      </c>
      <c r="H79" s="7">
        <v>60000</v>
      </c>
      <c r="I79" s="8">
        <v>4.0999999999999996</v>
      </c>
      <c r="J79" s="1" t="s">
        <v>15</v>
      </c>
    </row>
    <row r="80" spans="1:10" x14ac:dyDescent="0.2">
      <c r="A80" s="5">
        <v>45757</v>
      </c>
      <c r="B80" s="1" t="s">
        <v>355</v>
      </c>
      <c r="C80" s="1" t="s">
        <v>198</v>
      </c>
      <c r="D80" s="1" t="s">
        <v>32</v>
      </c>
      <c r="E80" s="1" t="s">
        <v>19</v>
      </c>
      <c r="F80" s="1"/>
      <c r="G80" s="6" t="s">
        <v>14</v>
      </c>
      <c r="H80" s="7">
        <v>60000</v>
      </c>
      <c r="I80" s="8">
        <v>2.8</v>
      </c>
      <c r="J80" s="1" t="s">
        <v>15</v>
      </c>
    </row>
    <row r="81" spans="1:10" x14ac:dyDescent="0.2">
      <c r="A81" s="5">
        <v>45757</v>
      </c>
      <c r="B81" s="1" t="s">
        <v>355</v>
      </c>
      <c r="C81" s="1" t="s">
        <v>916</v>
      </c>
      <c r="D81" s="1" t="s">
        <v>32</v>
      </c>
      <c r="E81" s="1" t="s">
        <v>19</v>
      </c>
      <c r="F81" s="1"/>
      <c r="G81" s="6" t="s">
        <v>14</v>
      </c>
      <c r="H81" s="7">
        <v>60000</v>
      </c>
      <c r="I81" s="8">
        <v>4.4000000000000004</v>
      </c>
      <c r="J81" s="1" t="s">
        <v>15</v>
      </c>
    </row>
    <row r="82" spans="1:10" x14ac:dyDescent="0.2">
      <c r="A82" s="5">
        <v>45757</v>
      </c>
      <c r="B82" s="1" t="s">
        <v>618</v>
      </c>
      <c r="C82" s="1" t="s">
        <v>510</v>
      </c>
      <c r="D82" s="1" t="s">
        <v>88</v>
      </c>
      <c r="E82" s="1" t="s">
        <v>13</v>
      </c>
      <c r="F82" s="1"/>
      <c r="G82" s="6" t="s">
        <v>14</v>
      </c>
      <c r="H82" s="7">
        <v>80000</v>
      </c>
      <c r="I82" s="8">
        <v>5.8</v>
      </c>
      <c r="J82" s="1" t="s">
        <v>15</v>
      </c>
    </row>
    <row r="83" spans="1:10" x14ac:dyDescent="0.2">
      <c r="A83" s="5">
        <v>45757</v>
      </c>
      <c r="B83" s="1" t="s">
        <v>759</v>
      </c>
      <c r="C83" s="1" t="s">
        <v>760</v>
      </c>
      <c r="D83" s="1" t="s">
        <v>26</v>
      </c>
      <c r="E83" s="1" t="s">
        <v>13</v>
      </c>
      <c r="F83" s="1"/>
      <c r="G83" s="6" t="s">
        <v>14</v>
      </c>
      <c r="H83" s="7">
        <v>90000</v>
      </c>
      <c r="I83" s="8">
        <v>10.8</v>
      </c>
      <c r="J83" s="1" t="s">
        <v>15</v>
      </c>
    </row>
    <row r="84" spans="1:10" x14ac:dyDescent="0.2">
      <c r="A84" s="5">
        <v>45757</v>
      </c>
      <c r="B84" s="1" t="s">
        <v>281</v>
      </c>
      <c r="C84" s="1" t="s">
        <v>282</v>
      </c>
      <c r="D84" s="1" t="s">
        <v>32</v>
      </c>
      <c r="E84" s="1" t="s">
        <v>19</v>
      </c>
      <c r="F84" s="1"/>
      <c r="G84" s="6"/>
      <c r="H84" s="7">
        <v>48000</v>
      </c>
      <c r="I84" s="8"/>
      <c r="J84" s="1" t="s">
        <v>34</v>
      </c>
    </row>
    <row r="85" spans="1:10" x14ac:dyDescent="0.2">
      <c r="A85" s="5">
        <v>45757</v>
      </c>
      <c r="B85" s="1" t="s">
        <v>905</v>
      </c>
      <c r="C85" s="1" t="s">
        <v>46</v>
      </c>
      <c r="D85" s="1" t="s">
        <v>494</v>
      </c>
      <c r="E85" s="1" t="s">
        <v>828</v>
      </c>
      <c r="F85" s="1"/>
      <c r="G85" s="6"/>
      <c r="H85" s="7">
        <v>55000</v>
      </c>
      <c r="I85" s="8">
        <v>6.9</v>
      </c>
      <c r="J85" s="1" t="s">
        <v>15</v>
      </c>
    </row>
    <row r="86" spans="1:10" x14ac:dyDescent="0.2">
      <c r="A86" s="5">
        <v>45758</v>
      </c>
      <c r="B86" s="1" t="s">
        <v>269</v>
      </c>
      <c r="C86" s="1" t="s">
        <v>917</v>
      </c>
      <c r="D86" s="1" t="s">
        <v>26</v>
      </c>
      <c r="E86" s="1" t="s">
        <v>13</v>
      </c>
      <c r="F86" s="1"/>
      <c r="G86" s="6" t="s">
        <v>14</v>
      </c>
      <c r="H86" s="7">
        <v>75000</v>
      </c>
      <c r="I86" s="8"/>
      <c r="J86" s="1" t="s">
        <v>34</v>
      </c>
    </row>
    <row r="87" spans="1:10" x14ac:dyDescent="0.2">
      <c r="A87" s="5">
        <v>45758</v>
      </c>
      <c r="B87" s="1" t="s">
        <v>374</v>
      </c>
      <c r="C87" s="1" t="s">
        <v>116</v>
      </c>
      <c r="D87" s="1" t="s">
        <v>131</v>
      </c>
      <c r="E87" s="1" t="s">
        <v>19</v>
      </c>
      <c r="F87" s="1"/>
      <c r="G87" s="6" t="s">
        <v>14</v>
      </c>
      <c r="H87" s="7">
        <v>70000</v>
      </c>
      <c r="I87" s="8"/>
      <c r="J87" s="1" t="s">
        <v>15</v>
      </c>
    </row>
    <row r="88" spans="1:10" x14ac:dyDescent="0.2">
      <c r="A88" s="5">
        <v>45758</v>
      </c>
      <c r="B88" s="1" t="s">
        <v>918</v>
      </c>
      <c r="C88" s="1" t="s">
        <v>919</v>
      </c>
      <c r="D88" s="1" t="s">
        <v>64</v>
      </c>
      <c r="E88" s="1" t="s">
        <v>19</v>
      </c>
      <c r="F88" s="1"/>
      <c r="G88" s="6" t="s">
        <v>14</v>
      </c>
      <c r="H88" s="7">
        <v>70000</v>
      </c>
      <c r="I88" s="8"/>
      <c r="J88" s="1" t="s">
        <v>15</v>
      </c>
    </row>
    <row r="89" spans="1:10" x14ac:dyDescent="0.2">
      <c r="A89" s="5">
        <v>45758</v>
      </c>
      <c r="B89" s="1" t="s">
        <v>920</v>
      </c>
      <c r="C89" s="1" t="s">
        <v>201</v>
      </c>
      <c r="D89" s="1" t="s">
        <v>88</v>
      </c>
      <c r="E89" s="1" t="s">
        <v>13</v>
      </c>
      <c r="F89" s="1"/>
      <c r="G89" s="6" t="s">
        <v>14</v>
      </c>
      <c r="H89" s="7">
        <v>95000</v>
      </c>
      <c r="I89" s="8"/>
      <c r="J89" s="1" t="s">
        <v>15</v>
      </c>
    </row>
    <row r="90" spans="1:10" x14ac:dyDescent="0.2">
      <c r="A90" s="5">
        <v>45758</v>
      </c>
      <c r="B90" s="1" t="s">
        <v>395</v>
      </c>
      <c r="C90" s="1" t="s">
        <v>110</v>
      </c>
      <c r="D90" s="1" t="s">
        <v>88</v>
      </c>
      <c r="E90" s="1" t="s">
        <v>13</v>
      </c>
      <c r="F90" s="1"/>
      <c r="G90" s="6" t="s">
        <v>14</v>
      </c>
      <c r="H90" s="7">
        <v>60000</v>
      </c>
      <c r="I90" s="8"/>
      <c r="J90" s="1" t="s">
        <v>15</v>
      </c>
    </row>
    <row r="91" spans="1:10" x14ac:dyDescent="0.2">
      <c r="A91" s="5">
        <v>45758</v>
      </c>
      <c r="B91" s="1" t="s">
        <v>395</v>
      </c>
      <c r="C91" s="1" t="s">
        <v>396</v>
      </c>
      <c r="D91" s="1" t="s">
        <v>32</v>
      </c>
      <c r="E91" s="1" t="s">
        <v>19</v>
      </c>
      <c r="F91" s="1"/>
      <c r="G91" s="6" t="s">
        <v>14</v>
      </c>
      <c r="H91" s="7">
        <v>120000</v>
      </c>
      <c r="I91" s="8"/>
      <c r="J91" s="1" t="s">
        <v>15</v>
      </c>
    </row>
    <row r="92" spans="1:10" x14ac:dyDescent="0.2">
      <c r="A92" s="5">
        <v>45758</v>
      </c>
      <c r="B92" s="1" t="s">
        <v>397</v>
      </c>
      <c r="C92" s="1" t="s">
        <v>398</v>
      </c>
      <c r="D92" s="1" t="s">
        <v>112</v>
      </c>
      <c r="E92" s="1" t="s">
        <v>19</v>
      </c>
      <c r="F92" s="1"/>
      <c r="G92" s="6" t="s">
        <v>14</v>
      </c>
      <c r="H92" s="7"/>
      <c r="I92" s="8"/>
      <c r="J92" s="1" t="s">
        <v>34</v>
      </c>
    </row>
    <row r="93" spans="1:10" x14ac:dyDescent="0.2">
      <c r="A93" s="5">
        <v>45758</v>
      </c>
      <c r="B93" s="1" t="s">
        <v>481</v>
      </c>
      <c r="C93" s="1" t="s">
        <v>482</v>
      </c>
      <c r="D93" s="1" t="s">
        <v>371</v>
      </c>
      <c r="E93" s="1" t="s">
        <v>19</v>
      </c>
      <c r="F93" s="1"/>
      <c r="G93" s="6" t="s">
        <v>14</v>
      </c>
      <c r="H93" s="7">
        <v>60000</v>
      </c>
      <c r="I93" s="8"/>
      <c r="J93" s="1" t="s">
        <v>15</v>
      </c>
    </row>
    <row r="94" spans="1:10" x14ac:dyDescent="0.2">
      <c r="A94" s="5">
        <v>45759</v>
      </c>
      <c r="B94" s="1" t="s">
        <v>921</v>
      </c>
      <c r="C94" s="1" t="s">
        <v>832</v>
      </c>
      <c r="D94" s="1" t="s">
        <v>165</v>
      </c>
      <c r="E94" s="1" t="s">
        <v>13</v>
      </c>
      <c r="F94" s="1"/>
      <c r="G94" s="6" t="s">
        <v>14</v>
      </c>
      <c r="H94" s="7">
        <v>80000</v>
      </c>
      <c r="I94" s="8"/>
      <c r="J94" s="1" t="s">
        <v>37</v>
      </c>
    </row>
    <row r="95" spans="1:10" x14ac:dyDescent="0.2">
      <c r="A95" s="5">
        <v>45759</v>
      </c>
      <c r="B95" s="1" t="s">
        <v>922</v>
      </c>
      <c r="C95" s="1" t="s">
        <v>923</v>
      </c>
      <c r="D95" s="1" t="s">
        <v>64</v>
      </c>
      <c r="E95" s="1" t="s">
        <v>19</v>
      </c>
      <c r="F95" s="1"/>
      <c r="G95" s="6" t="s">
        <v>23</v>
      </c>
      <c r="H95" s="7">
        <v>60000</v>
      </c>
      <c r="I95" s="8"/>
      <c r="J95" s="1" t="s">
        <v>15</v>
      </c>
    </row>
    <row r="96" spans="1:10" x14ac:dyDescent="0.2">
      <c r="A96" s="5">
        <v>45759</v>
      </c>
      <c r="B96" s="1" t="s">
        <v>35</v>
      </c>
      <c r="C96" s="1" t="s">
        <v>36</v>
      </c>
      <c r="D96" s="1" t="s">
        <v>18</v>
      </c>
      <c r="E96" s="1" t="s">
        <v>19</v>
      </c>
      <c r="F96" s="1"/>
      <c r="G96" s="6" t="s">
        <v>14</v>
      </c>
      <c r="H96" s="7"/>
      <c r="I96" s="8"/>
      <c r="J96" s="1" t="s">
        <v>15</v>
      </c>
    </row>
    <row r="97" spans="1:10" x14ac:dyDescent="0.2">
      <c r="A97" s="5">
        <v>45759</v>
      </c>
      <c r="B97" s="1" t="s">
        <v>924</v>
      </c>
      <c r="C97" s="1" t="s">
        <v>484</v>
      </c>
      <c r="D97" s="1" t="s">
        <v>131</v>
      </c>
      <c r="E97" s="1" t="s">
        <v>13</v>
      </c>
      <c r="F97" s="1"/>
      <c r="G97" s="6" t="s">
        <v>14</v>
      </c>
      <c r="H97" s="7">
        <v>85000</v>
      </c>
      <c r="I97" s="8"/>
      <c r="J97" s="1" t="s">
        <v>15</v>
      </c>
    </row>
    <row r="98" spans="1:10" x14ac:dyDescent="0.2">
      <c r="A98" s="5">
        <v>45759</v>
      </c>
      <c r="B98" s="1" t="s">
        <v>636</v>
      </c>
      <c r="C98" s="1" t="s">
        <v>715</v>
      </c>
      <c r="D98" s="1" t="s">
        <v>165</v>
      </c>
      <c r="E98" s="1" t="s">
        <v>13</v>
      </c>
      <c r="F98" s="1"/>
      <c r="G98" s="6" t="s">
        <v>14</v>
      </c>
      <c r="H98" s="7">
        <v>70000</v>
      </c>
      <c r="I98" s="8"/>
      <c r="J98" s="1" t="s">
        <v>15</v>
      </c>
    </row>
    <row r="99" spans="1:10" x14ac:dyDescent="0.2">
      <c r="A99" s="5">
        <v>45759</v>
      </c>
      <c r="B99" s="1" t="s">
        <v>925</v>
      </c>
      <c r="C99" s="1" t="s">
        <v>808</v>
      </c>
      <c r="D99" s="1" t="s">
        <v>64</v>
      </c>
      <c r="E99" s="1" t="s">
        <v>19</v>
      </c>
      <c r="F99" s="1"/>
      <c r="G99" s="6" t="s">
        <v>14</v>
      </c>
      <c r="H99" s="7">
        <v>50000</v>
      </c>
      <c r="I99" s="8"/>
      <c r="J99" s="1" t="s">
        <v>15</v>
      </c>
    </row>
    <row r="100" spans="1:10" x14ac:dyDescent="0.2">
      <c r="A100" s="5">
        <v>45759</v>
      </c>
      <c r="B100" s="1" t="s">
        <v>926</v>
      </c>
      <c r="C100" s="1" t="s">
        <v>843</v>
      </c>
      <c r="D100" s="1" t="s">
        <v>131</v>
      </c>
      <c r="E100" s="1" t="s">
        <v>19</v>
      </c>
      <c r="F100" s="1"/>
      <c r="G100" s="6" t="s">
        <v>14</v>
      </c>
      <c r="H100" s="7">
        <v>90000</v>
      </c>
      <c r="I100" s="8"/>
      <c r="J100" s="1" t="s">
        <v>15</v>
      </c>
    </row>
    <row r="101" spans="1:10" x14ac:dyDescent="0.2">
      <c r="A101" s="5">
        <v>45759</v>
      </c>
      <c r="B101" s="1"/>
      <c r="C101" s="1"/>
      <c r="D101" s="1" t="s">
        <v>45</v>
      </c>
      <c r="E101" s="1" t="s">
        <v>61</v>
      </c>
      <c r="F101" s="1"/>
      <c r="G101" s="6" t="s">
        <v>23</v>
      </c>
      <c r="H101" s="7">
        <v>15000</v>
      </c>
      <c r="I101" s="8"/>
      <c r="J101" s="1" t="s">
        <v>160</v>
      </c>
    </row>
    <row r="102" spans="1:10" x14ac:dyDescent="0.2">
      <c r="A102" s="5">
        <v>45759</v>
      </c>
      <c r="B102" s="1"/>
      <c r="C102" s="1" t="s">
        <v>712</v>
      </c>
      <c r="D102" s="1" t="s">
        <v>49</v>
      </c>
      <c r="E102" s="1" t="s">
        <v>19</v>
      </c>
      <c r="F102" s="1"/>
      <c r="G102" s="6" t="s">
        <v>23</v>
      </c>
      <c r="H102" s="7">
        <v>20000</v>
      </c>
      <c r="I102" s="8"/>
      <c r="J102" s="1" t="s">
        <v>15</v>
      </c>
    </row>
    <row r="103" spans="1:10" x14ac:dyDescent="0.2">
      <c r="A103" s="5">
        <v>45759</v>
      </c>
      <c r="B103" s="1" t="s">
        <v>841</v>
      </c>
      <c r="C103" s="1" t="s">
        <v>842</v>
      </c>
      <c r="D103" s="1" t="s">
        <v>119</v>
      </c>
      <c r="E103" s="1" t="s">
        <v>19</v>
      </c>
      <c r="F103" s="1"/>
      <c r="G103" s="6" t="s">
        <v>23</v>
      </c>
      <c r="H103" s="7">
        <v>50000</v>
      </c>
      <c r="I103" s="8"/>
      <c r="J103" s="1" t="s">
        <v>15</v>
      </c>
    </row>
    <row r="104" spans="1:10" x14ac:dyDescent="0.2">
      <c r="A104" s="5">
        <v>45759</v>
      </c>
      <c r="B104" s="1" t="s">
        <v>199</v>
      </c>
      <c r="C104" s="1" t="s">
        <v>398</v>
      </c>
      <c r="D104" s="1" t="s">
        <v>49</v>
      </c>
      <c r="E104" s="1" t="s">
        <v>19</v>
      </c>
      <c r="F104" s="1"/>
      <c r="G104" s="6" t="s">
        <v>23</v>
      </c>
      <c r="H104" s="7">
        <v>25000</v>
      </c>
      <c r="I104" s="8"/>
      <c r="J104" s="1" t="s">
        <v>15</v>
      </c>
    </row>
    <row r="105" spans="1:10" x14ac:dyDescent="0.2">
      <c r="A105" s="5">
        <v>45761</v>
      </c>
      <c r="B105" s="1" t="s">
        <v>927</v>
      </c>
      <c r="C105" s="1" t="s">
        <v>832</v>
      </c>
      <c r="D105" s="1" t="s">
        <v>122</v>
      </c>
      <c r="E105" s="1" t="s">
        <v>19</v>
      </c>
      <c r="F105" s="1"/>
      <c r="G105" s="6" t="s">
        <v>14</v>
      </c>
      <c r="H105" s="7">
        <v>80000</v>
      </c>
      <c r="I105" s="8"/>
      <c r="J105" s="1" t="s">
        <v>15</v>
      </c>
    </row>
    <row r="106" spans="1:10" x14ac:dyDescent="0.2">
      <c r="A106" s="5">
        <v>45761</v>
      </c>
      <c r="B106" s="1" t="s">
        <v>928</v>
      </c>
      <c r="C106" s="1" t="s">
        <v>929</v>
      </c>
      <c r="D106" s="1" t="s">
        <v>64</v>
      </c>
      <c r="E106" s="1" t="s">
        <v>19</v>
      </c>
      <c r="F106" s="1"/>
      <c r="G106" s="6" t="s">
        <v>23</v>
      </c>
      <c r="H106" s="7">
        <v>65000</v>
      </c>
      <c r="I106" s="8"/>
      <c r="J106" s="1"/>
    </row>
    <row r="107" spans="1:10" x14ac:dyDescent="0.2">
      <c r="A107" s="5">
        <v>45761</v>
      </c>
      <c r="B107" s="1" t="s">
        <v>928</v>
      </c>
      <c r="C107" s="1" t="s">
        <v>433</v>
      </c>
      <c r="D107" s="1" t="s">
        <v>18</v>
      </c>
      <c r="E107" s="1" t="s">
        <v>19</v>
      </c>
      <c r="F107" s="1"/>
      <c r="G107" s="6" t="s">
        <v>14</v>
      </c>
      <c r="H107" s="7">
        <v>60000</v>
      </c>
      <c r="I107" s="8"/>
      <c r="J107" s="1"/>
    </row>
    <row r="108" spans="1:10" x14ac:dyDescent="0.2">
      <c r="A108" s="5">
        <v>45761</v>
      </c>
      <c r="B108" s="1" t="s">
        <v>930</v>
      </c>
      <c r="C108" s="1" t="s">
        <v>931</v>
      </c>
      <c r="D108" s="1" t="s">
        <v>131</v>
      </c>
      <c r="E108" s="1" t="s">
        <v>19</v>
      </c>
      <c r="F108" s="1"/>
      <c r="G108" s="6" t="s">
        <v>14</v>
      </c>
      <c r="H108" s="7">
        <v>75000</v>
      </c>
      <c r="I108" s="8"/>
      <c r="J108" s="1"/>
    </row>
    <row r="109" spans="1:10" x14ac:dyDescent="0.2">
      <c r="A109" s="5">
        <v>45761</v>
      </c>
      <c r="B109" s="1" t="s">
        <v>932</v>
      </c>
      <c r="C109" s="1" t="s">
        <v>621</v>
      </c>
      <c r="D109" s="1" t="s">
        <v>32</v>
      </c>
      <c r="E109" s="1" t="s">
        <v>19</v>
      </c>
      <c r="F109" s="1"/>
      <c r="G109" s="6" t="s">
        <v>14</v>
      </c>
      <c r="H109" s="7">
        <v>70000</v>
      </c>
      <c r="I109" s="8"/>
      <c r="J109" s="1"/>
    </row>
    <row r="110" spans="1:10" x14ac:dyDescent="0.2">
      <c r="A110" s="5">
        <v>45761</v>
      </c>
      <c r="B110" s="1" t="s">
        <v>933</v>
      </c>
      <c r="C110" s="1" t="s">
        <v>46</v>
      </c>
      <c r="D110" s="1" t="s">
        <v>49</v>
      </c>
      <c r="E110" s="1" t="s">
        <v>19</v>
      </c>
      <c r="F110" s="1"/>
      <c r="G110" s="6" t="s">
        <v>23</v>
      </c>
      <c r="H110" s="7">
        <v>30000</v>
      </c>
      <c r="I110" s="8"/>
      <c r="J110" s="1"/>
    </row>
    <row r="111" spans="1:10" x14ac:dyDescent="0.2">
      <c r="A111" s="5">
        <v>45761</v>
      </c>
      <c r="B111" s="1" t="s">
        <v>934</v>
      </c>
      <c r="C111" s="1" t="s">
        <v>31</v>
      </c>
      <c r="D111" s="1" t="s">
        <v>88</v>
      </c>
      <c r="E111" s="1" t="s">
        <v>19</v>
      </c>
      <c r="F111" s="1"/>
      <c r="G111" s="6" t="s">
        <v>14</v>
      </c>
      <c r="H111" s="7">
        <v>65000</v>
      </c>
      <c r="I111" s="8"/>
      <c r="J111" s="1"/>
    </row>
    <row r="112" spans="1:10" x14ac:dyDescent="0.2">
      <c r="A112" s="5">
        <v>45762</v>
      </c>
      <c r="B112" s="1" t="s">
        <v>935</v>
      </c>
      <c r="C112" s="1" t="s">
        <v>218</v>
      </c>
      <c r="D112" s="1" t="s">
        <v>196</v>
      </c>
      <c r="E112" s="1" t="s">
        <v>94</v>
      </c>
      <c r="F112" s="1"/>
      <c r="G112" s="6" t="s">
        <v>14</v>
      </c>
      <c r="H112" s="7">
        <v>90000</v>
      </c>
      <c r="I112" s="8">
        <v>32</v>
      </c>
      <c r="J112" s="1" t="s">
        <v>15</v>
      </c>
    </row>
    <row r="113" spans="1:10" x14ac:dyDescent="0.2">
      <c r="A113" s="5">
        <v>45762</v>
      </c>
      <c r="B113" s="1" t="s">
        <v>936</v>
      </c>
      <c r="C113" s="1" t="s">
        <v>249</v>
      </c>
      <c r="D113" s="1" t="s">
        <v>12</v>
      </c>
      <c r="E113" s="1" t="s">
        <v>13</v>
      </c>
      <c r="F113" s="1"/>
      <c r="G113" s="6" t="s">
        <v>14</v>
      </c>
      <c r="H113" s="7">
        <v>135000</v>
      </c>
      <c r="I113" s="8">
        <v>50</v>
      </c>
      <c r="J113" s="1" t="s">
        <v>15</v>
      </c>
    </row>
    <row r="114" spans="1:10" x14ac:dyDescent="0.2">
      <c r="A114" s="5">
        <v>45762</v>
      </c>
      <c r="B114" s="1" t="s">
        <v>753</v>
      </c>
      <c r="C114" s="1" t="s">
        <v>465</v>
      </c>
      <c r="D114" s="1" t="s">
        <v>153</v>
      </c>
      <c r="E114" s="1" t="s">
        <v>19</v>
      </c>
      <c r="F114" s="1"/>
      <c r="G114" s="6" t="s">
        <v>14</v>
      </c>
      <c r="H114" s="7">
        <v>65000</v>
      </c>
      <c r="I114" s="8"/>
      <c r="J114" s="1" t="s">
        <v>15</v>
      </c>
    </row>
    <row r="115" spans="1:10" x14ac:dyDescent="0.2">
      <c r="A115" s="5">
        <v>45762</v>
      </c>
      <c r="B115" s="1" t="s">
        <v>197</v>
      </c>
      <c r="C115" s="1" t="s">
        <v>198</v>
      </c>
      <c r="D115" s="1" t="s">
        <v>64</v>
      </c>
      <c r="E115" s="1" t="s">
        <v>19</v>
      </c>
      <c r="F115" s="1"/>
      <c r="G115" s="6" t="s">
        <v>23</v>
      </c>
      <c r="H115" s="7">
        <v>70000</v>
      </c>
      <c r="I115" s="8"/>
      <c r="J115" s="1" t="s">
        <v>15</v>
      </c>
    </row>
    <row r="116" spans="1:10" x14ac:dyDescent="0.2">
      <c r="A116" s="5">
        <v>45762</v>
      </c>
      <c r="B116" s="1" t="s">
        <v>937</v>
      </c>
      <c r="C116" s="1" t="s">
        <v>46</v>
      </c>
      <c r="D116" s="1" t="s">
        <v>49</v>
      </c>
      <c r="E116" s="1" t="s">
        <v>19</v>
      </c>
      <c r="F116" s="1"/>
      <c r="G116" s="6" t="s">
        <v>23</v>
      </c>
      <c r="H116" s="7">
        <v>30000</v>
      </c>
      <c r="I116" s="8"/>
      <c r="J116" s="1" t="s">
        <v>15</v>
      </c>
    </row>
    <row r="117" spans="1:10" x14ac:dyDescent="0.2">
      <c r="A117" s="5">
        <v>45762</v>
      </c>
      <c r="B117" s="1" t="s">
        <v>938</v>
      </c>
      <c r="C117" s="1" t="s">
        <v>563</v>
      </c>
      <c r="D117" s="1" t="s">
        <v>64</v>
      </c>
      <c r="E117" s="1" t="s">
        <v>19</v>
      </c>
      <c r="F117" s="1"/>
      <c r="G117" s="6" t="s">
        <v>23</v>
      </c>
      <c r="H117" s="7">
        <v>50000</v>
      </c>
      <c r="I117" s="8">
        <v>14</v>
      </c>
      <c r="J117" s="1" t="s">
        <v>15</v>
      </c>
    </row>
    <row r="118" spans="1:10" x14ac:dyDescent="0.2">
      <c r="A118" s="5">
        <v>45762</v>
      </c>
      <c r="B118" s="1" t="s">
        <v>72</v>
      </c>
      <c r="C118" s="1" t="s">
        <v>172</v>
      </c>
      <c r="D118" s="1" t="s">
        <v>58</v>
      </c>
      <c r="E118" s="1" t="s">
        <v>59</v>
      </c>
      <c r="F118" s="1"/>
      <c r="G118" s="6" t="s">
        <v>14</v>
      </c>
      <c r="H118" s="7">
        <v>65000</v>
      </c>
      <c r="I118" s="8">
        <v>1.6</v>
      </c>
      <c r="J118" s="1" t="s">
        <v>15</v>
      </c>
    </row>
    <row r="119" spans="1:10" x14ac:dyDescent="0.2">
      <c r="A119" s="5">
        <v>45762</v>
      </c>
      <c r="B119" s="1" t="s">
        <v>72</v>
      </c>
      <c r="C119" s="1" t="s">
        <v>454</v>
      </c>
      <c r="D119" s="1" t="s">
        <v>58</v>
      </c>
      <c r="E119" s="1" t="s">
        <v>59</v>
      </c>
      <c r="F119" s="1"/>
      <c r="G119" s="6" t="s">
        <v>14</v>
      </c>
      <c r="H119" s="7">
        <v>80000</v>
      </c>
      <c r="I119" s="8">
        <v>5.8</v>
      </c>
      <c r="J119" s="1" t="s">
        <v>15</v>
      </c>
    </row>
    <row r="120" spans="1:10" x14ac:dyDescent="0.2">
      <c r="A120" s="5">
        <v>45762</v>
      </c>
      <c r="B120" s="1" t="s">
        <v>683</v>
      </c>
      <c r="C120" s="1" t="s">
        <v>572</v>
      </c>
      <c r="D120" s="1" t="s">
        <v>119</v>
      </c>
      <c r="E120" s="1" t="s">
        <v>19</v>
      </c>
      <c r="F120" s="1"/>
      <c r="G120" s="6" t="s">
        <v>14</v>
      </c>
      <c r="H120" s="7">
        <v>55000</v>
      </c>
      <c r="I120" s="8"/>
      <c r="J120" s="1" t="s">
        <v>15</v>
      </c>
    </row>
    <row r="121" spans="1:10" x14ac:dyDescent="0.2">
      <c r="A121" s="5">
        <v>45762</v>
      </c>
      <c r="B121" s="1" t="s">
        <v>939</v>
      </c>
      <c r="C121" s="1" t="s">
        <v>940</v>
      </c>
      <c r="D121" s="1" t="s">
        <v>122</v>
      </c>
      <c r="E121" s="1" t="s">
        <v>19</v>
      </c>
      <c r="F121" s="1"/>
      <c r="G121" s="6" t="s">
        <v>14</v>
      </c>
      <c r="H121" s="7">
        <v>80000</v>
      </c>
      <c r="I121" s="8"/>
      <c r="J121" s="1" t="s">
        <v>15</v>
      </c>
    </row>
    <row r="122" spans="1:10" x14ac:dyDescent="0.2">
      <c r="A122" s="5">
        <v>45762</v>
      </c>
      <c r="B122" s="1" t="s">
        <v>941</v>
      </c>
      <c r="C122" s="1" t="s">
        <v>93</v>
      </c>
      <c r="D122" s="1" t="s">
        <v>88</v>
      </c>
      <c r="E122" s="1" t="s">
        <v>94</v>
      </c>
      <c r="F122" s="1"/>
      <c r="G122" s="6" t="s">
        <v>14</v>
      </c>
      <c r="H122" s="7">
        <v>70000</v>
      </c>
      <c r="I122" s="8"/>
      <c r="J122" s="1" t="s">
        <v>15</v>
      </c>
    </row>
    <row r="123" spans="1:10" x14ac:dyDescent="0.2">
      <c r="A123" s="5">
        <v>45762</v>
      </c>
      <c r="B123" s="1" t="s">
        <v>942</v>
      </c>
      <c r="C123" s="1" t="s">
        <v>943</v>
      </c>
      <c r="D123" s="1" t="s">
        <v>18</v>
      </c>
      <c r="E123" s="1" t="s">
        <v>19</v>
      </c>
      <c r="F123" s="1"/>
      <c r="G123" s="6" t="s">
        <v>14</v>
      </c>
      <c r="H123" s="7">
        <v>60000</v>
      </c>
      <c r="I123" s="8">
        <v>5.2</v>
      </c>
      <c r="J123" s="1" t="s">
        <v>15</v>
      </c>
    </row>
    <row r="124" spans="1:10" x14ac:dyDescent="0.2">
      <c r="A124" s="5">
        <v>45762</v>
      </c>
      <c r="B124" s="1"/>
      <c r="C124" s="1"/>
      <c r="D124" s="1"/>
      <c r="E124" s="1" t="s">
        <v>61</v>
      </c>
      <c r="F124" s="1"/>
      <c r="G124" s="6"/>
      <c r="H124" s="7">
        <v>12000</v>
      </c>
      <c r="I124" s="8"/>
      <c r="J124" s="1" t="s">
        <v>160</v>
      </c>
    </row>
    <row r="125" spans="1:10" x14ac:dyDescent="0.2">
      <c r="A125" s="5">
        <v>45763</v>
      </c>
      <c r="B125" s="1" t="s">
        <v>944</v>
      </c>
      <c r="C125" s="1" t="s">
        <v>233</v>
      </c>
      <c r="D125" s="1" t="s">
        <v>165</v>
      </c>
      <c r="E125" s="1" t="s">
        <v>19</v>
      </c>
      <c r="F125" s="1"/>
      <c r="G125" s="6" t="s">
        <v>14</v>
      </c>
      <c r="H125" s="7">
        <v>65000</v>
      </c>
      <c r="I125" s="8">
        <v>8.6</v>
      </c>
      <c r="J125" s="1" t="s">
        <v>15</v>
      </c>
    </row>
    <row r="126" spans="1:10" x14ac:dyDescent="0.2">
      <c r="A126" s="5">
        <v>45763</v>
      </c>
      <c r="B126" s="1" t="s">
        <v>944</v>
      </c>
      <c r="C126" s="15" t="s">
        <v>385</v>
      </c>
      <c r="D126" s="15" t="s">
        <v>119</v>
      </c>
      <c r="E126" s="15" t="s">
        <v>19</v>
      </c>
      <c r="F126" s="1"/>
      <c r="G126" s="6" t="s">
        <v>23</v>
      </c>
      <c r="H126" s="7">
        <v>50000</v>
      </c>
      <c r="I126" s="8">
        <v>7.6</v>
      </c>
      <c r="J126" s="1" t="s">
        <v>15</v>
      </c>
    </row>
    <row r="127" spans="1:10" x14ac:dyDescent="0.2">
      <c r="A127" s="5">
        <v>45763</v>
      </c>
      <c r="B127" s="1" t="s">
        <v>945</v>
      </c>
      <c r="C127" s="1" t="s">
        <v>946</v>
      </c>
      <c r="D127" s="1" t="s">
        <v>196</v>
      </c>
      <c r="E127" s="1" t="s">
        <v>94</v>
      </c>
      <c r="F127" s="1"/>
      <c r="G127" s="6" t="s">
        <v>14</v>
      </c>
      <c r="H127" s="7">
        <v>80000</v>
      </c>
      <c r="I127" s="8">
        <v>26</v>
      </c>
      <c r="J127" s="1" t="s">
        <v>15</v>
      </c>
    </row>
    <row r="128" spans="1:10" x14ac:dyDescent="0.2">
      <c r="A128" s="5">
        <v>45763</v>
      </c>
      <c r="B128" s="1" t="s">
        <v>583</v>
      </c>
      <c r="C128" s="1" t="s">
        <v>947</v>
      </c>
      <c r="D128" s="1" t="s">
        <v>64</v>
      </c>
      <c r="E128" s="1" t="s">
        <v>19</v>
      </c>
      <c r="F128" s="1" t="s">
        <v>209</v>
      </c>
      <c r="G128" s="6" t="s">
        <v>23</v>
      </c>
      <c r="H128" s="7">
        <f>65000+50000</f>
        <v>115000</v>
      </c>
      <c r="I128" s="8">
        <v>5.0999999999999996</v>
      </c>
      <c r="J128" s="1" t="s">
        <v>15</v>
      </c>
    </row>
    <row r="129" spans="1:10" x14ac:dyDescent="0.2">
      <c r="A129" s="5">
        <v>45763</v>
      </c>
      <c r="B129" s="1" t="s">
        <v>948</v>
      </c>
      <c r="C129" s="1" t="s">
        <v>949</v>
      </c>
      <c r="D129" s="1" t="s">
        <v>64</v>
      </c>
      <c r="E129" s="1" t="s">
        <v>13</v>
      </c>
      <c r="F129" s="1"/>
      <c r="G129" s="6" t="s">
        <v>23</v>
      </c>
      <c r="H129" s="7">
        <v>55000</v>
      </c>
      <c r="I129" s="8">
        <v>10.6</v>
      </c>
      <c r="J129" s="1" t="s">
        <v>15</v>
      </c>
    </row>
    <row r="130" spans="1:10" x14ac:dyDescent="0.2">
      <c r="A130" s="5">
        <v>45763</v>
      </c>
      <c r="B130" s="1" t="s">
        <v>948</v>
      </c>
      <c r="C130" s="1" t="s">
        <v>950</v>
      </c>
      <c r="D130" s="1" t="s">
        <v>340</v>
      </c>
      <c r="E130" s="1" t="s">
        <v>19</v>
      </c>
      <c r="F130" s="1"/>
      <c r="G130" s="6" t="s">
        <v>23</v>
      </c>
      <c r="H130" s="7">
        <v>30000</v>
      </c>
      <c r="I130" s="8">
        <v>6.4</v>
      </c>
      <c r="J130" s="1" t="s">
        <v>15</v>
      </c>
    </row>
    <row r="131" spans="1:10" x14ac:dyDescent="0.2">
      <c r="A131" s="5">
        <v>45763</v>
      </c>
      <c r="B131" s="1" t="s">
        <v>948</v>
      </c>
      <c r="C131" s="1" t="s">
        <v>951</v>
      </c>
      <c r="D131" s="1" t="s">
        <v>340</v>
      </c>
      <c r="E131" s="1" t="s">
        <v>19</v>
      </c>
      <c r="F131" s="1"/>
      <c r="G131" s="6" t="s">
        <v>23</v>
      </c>
      <c r="H131" s="7">
        <v>30000</v>
      </c>
      <c r="I131" s="8">
        <v>3.6</v>
      </c>
      <c r="J131" s="1" t="s">
        <v>15</v>
      </c>
    </row>
    <row r="132" spans="1:10" x14ac:dyDescent="0.2">
      <c r="A132" s="5">
        <v>45763</v>
      </c>
      <c r="B132" s="1" t="s">
        <v>948</v>
      </c>
      <c r="C132" s="1" t="s">
        <v>952</v>
      </c>
      <c r="D132" s="1" t="s">
        <v>340</v>
      </c>
      <c r="E132" s="1" t="s">
        <v>19</v>
      </c>
      <c r="F132" s="1"/>
      <c r="G132" s="6" t="s">
        <v>23</v>
      </c>
      <c r="H132" s="7">
        <v>30000</v>
      </c>
      <c r="I132" s="8">
        <v>4.7</v>
      </c>
      <c r="J132" s="1" t="s">
        <v>15</v>
      </c>
    </row>
    <row r="133" spans="1:10" x14ac:dyDescent="0.2">
      <c r="A133" s="5">
        <v>45763</v>
      </c>
      <c r="B133" s="1" t="s">
        <v>256</v>
      </c>
      <c r="C133" s="1" t="s">
        <v>257</v>
      </c>
      <c r="D133" s="1" t="s">
        <v>32</v>
      </c>
      <c r="E133" s="1" t="s">
        <v>113</v>
      </c>
      <c r="F133" s="1"/>
      <c r="G133" s="6" t="s">
        <v>14</v>
      </c>
      <c r="H133" s="7" t="s">
        <v>114</v>
      </c>
      <c r="I133" s="8"/>
      <c r="J133" s="1" t="s">
        <v>160</v>
      </c>
    </row>
    <row r="134" spans="1:10" x14ac:dyDescent="0.2">
      <c r="A134" s="5">
        <v>45763</v>
      </c>
      <c r="B134" s="1" t="s">
        <v>757</v>
      </c>
      <c r="C134" s="1" t="s">
        <v>57</v>
      </c>
      <c r="D134" s="1" t="s">
        <v>88</v>
      </c>
      <c r="E134" s="1" t="s">
        <v>19</v>
      </c>
      <c r="F134" s="1"/>
      <c r="G134" s="6" t="s">
        <v>14</v>
      </c>
      <c r="H134" s="7">
        <v>60000</v>
      </c>
      <c r="I134" s="8">
        <v>3.5</v>
      </c>
      <c r="J134" s="1" t="s">
        <v>15</v>
      </c>
    </row>
    <row r="135" spans="1:10" x14ac:dyDescent="0.2">
      <c r="A135" s="5">
        <v>45763</v>
      </c>
      <c r="B135" s="1" t="s">
        <v>953</v>
      </c>
      <c r="C135" s="1" t="s">
        <v>954</v>
      </c>
      <c r="D135" s="1" t="s">
        <v>119</v>
      </c>
      <c r="E135" s="1" t="s">
        <v>19</v>
      </c>
      <c r="F135" s="1"/>
      <c r="G135" s="6"/>
      <c r="H135" s="7">
        <v>58000</v>
      </c>
      <c r="I135" s="8"/>
      <c r="J135" s="1" t="s">
        <v>15</v>
      </c>
    </row>
    <row r="136" spans="1:10" x14ac:dyDescent="0.2">
      <c r="A136" s="5">
        <v>45763</v>
      </c>
      <c r="B136" s="1" t="s">
        <v>953</v>
      </c>
      <c r="C136" s="1" t="s">
        <v>955</v>
      </c>
      <c r="D136" s="1" t="s">
        <v>229</v>
      </c>
      <c r="E136" s="1" t="s">
        <v>19</v>
      </c>
      <c r="F136" s="1"/>
      <c r="G136" s="6"/>
      <c r="H136" s="7">
        <v>95000</v>
      </c>
      <c r="I136" s="8"/>
      <c r="J136" s="1" t="s">
        <v>15</v>
      </c>
    </row>
    <row r="137" spans="1:10" x14ac:dyDescent="0.2">
      <c r="A137" s="5">
        <v>45763</v>
      </c>
      <c r="B137" s="1" t="s">
        <v>583</v>
      </c>
      <c r="C137" s="1" t="s">
        <v>450</v>
      </c>
      <c r="D137" s="1" t="s">
        <v>153</v>
      </c>
      <c r="E137" s="1" t="s">
        <v>13</v>
      </c>
      <c r="F137" s="1"/>
      <c r="G137" s="6"/>
      <c r="H137" s="7">
        <v>85000</v>
      </c>
      <c r="I137" s="8">
        <v>3.2</v>
      </c>
      <c r="J137" s="1" t="s">
        <v>15</v>
      </c>
    </row>
    <row r="138" spans="1:10" x14ac:dyDescent="0.2">
      <c r="A138" s="5">
        <v>45763</v>
      </c>
      <c r="B138" s="1" t="s">
        <v>210</v>
      </c>
      <c r="C138" s="1" t="s">
        <v>211</v>
      </c>
      <c r="D138" s="1" t="s">
        <v>165</v>
      </c>
      <c r="E138" s="1" t="s">
        <v>13</v>
      </c>
      <c r="F138" s="1"/>
      <c r="G138" s="6"/>
      <c r="H138" s="7">
        <v>85000</v>
      </c>
      <c r="I138" s="8"/>
      <c r="J138" s="1" t="s">
        <v>15</v>
      </c>
    </row>
    <row r="139" spans="1:10" x14ac:dyDescent="0.2">
      <c r="A139" s="5">
        <v>45763</v>
      </c>
      <c r="B139" s="1" t="s">
        <v>956</v>
      </c>
      <c r="C139" s="1" t="s">
        <v>957</v>
      </c>
      <c r="D139" s="1" t="s">
        <v>58</v>
      </c>
      <c r="E139" s="1" t="s">
        <v>59</v>
      </c>
      <c r="F139" s="1"/>
      <c r="G139" s="6"/>
      <c r="H139" s="7">
        <v>90000</v>
      </c>
      <c r="I139" s="8">
        <v>4</v>
      </c>
      <c r="J139" s="1" t="s">
        <v>15</v>
      </c>
    </row>
    <row r="140" spans="1:10" x14ac:dyDescent="0.2">
      <c r="A140" s="5">
        <v>45763</v>
      </c>
      <c r="B140" s="1"/>
      <c r="C140" s="1"/>
      <c r="D140" s="1"/>
      <c r="E140" s="1" t="s">
        <v>61</v>
      </c>
      <c r="F140" s="1"/>
      <c r="G140" s="6"/>
      <c r="H140" s="7">
        <v>10000</v>
      </c>
      <c r="I140" s="8"/>
      <c r="J140" s="1"/>
    </row>
    <row r="141" spans="1:10" x14ac:dyDescent="0.2">
      <c r="A141" s="5">
        <v>45766</v>
      </c>
      <c r="B141" s="1" t="s">
        <v>125</v>
      </c>
      <c r="C141" s="1" t="s">
        <v>211</v>
      </c>
      <c r="D141" s="1" t="s">
        <v>32</v>
      </c>
      <c r="E141" s="1" t="s">
        <v>19</v>
      </c>
      <c r="F141" s="1"/>
      <c r="G141" s="6" t="s">
        <v>14</v>
      </c>
      <c r="H141" s="7">
        <v>55000</v>
      </c>
      <c r="I141" s="8">
        <v>4.8</v>
      </c>
      <c r="J141" s="1"/>
    </row>
    <row r="142" spans="1:10" x14ac:dyDescent="0.2">
      <c r="A142" s="5">
        <v>45766</v>
      </c>
      <c r="B142" s="1" t="s">
        <v>154</v>
      </c>
      <c r="C142" s="1" t="s">
        <v>667</v>
      </c>
      <c r="D142" s="1" t="s">
        <v>26</v>
      </c>
      <c r="E142" s="1" t="s">
        <v>13</v>
      </c>
      <c r="F142" s="1"/>
      <c r="G142" s="6" t="s">
        <v>14</v>
      </c>
      <c r="H142" s="7">
        <v>75000</v>
      </c>
      <c r="I142" s="8">
        <v>7.1</v>
      </c>
      <c r="J142" s="1"/>
    </row>
    <row r="143" spans="1:10" x14ac:dyDescent="0.2">
      <c r="A143" s="5">
        <v>45766</v>
      </c>
      <c r="B143" s="1" t="s">
        <v>958</v>
      </c>
      <c r="C143" s="1" t="s">
        <v>453</v>
      </c>
      <c r="D143" s="1" t="s">
        <v>58</v>
      </c>
      <c r="E143" s="1" t="s">
        <v>59</v>
      </c>
      <c r="F143" s="1"/>
      <c r="G143" s="6" t="s">
        <v>14</v>
      </c>
      <c r="H143" s="7">
        <v>80000</v>
      </c>
      <c r="I143" s="8"/>
      <c r="J143" s="1"/>
    </row>
    <row r="144" spans="1:10" x14ac:dyDescent="0.2">
      <c r="A144" s="5">
        <v>45766</v>
      </c>
      <c r="B144" s="1" t="s">
        <v>439</v>
      </c>
      <c r="C144" s="1" t="s">
        <v>440</v>
      </c>
      <c r="D144" s="1" t="s">
        <v>18</v>
      </c>
      <c r="E144" s="1" t="s">
        <v>13</v>
      </c>
      <c r="F144" s="1"/>
      <c r="G144" s="6" t="s">
        <v>14</v>
      </c>
      <c r="H144" s="7">
        <v>80000</v>
      </c>
      <c r="I144" s="8">
        <v>14.3</v>
      </c>
      <c r="J144" s="1"/>
    </row>
    <row r="145" spans="1:10" x14ac:dyDescent="0.2">
      <c r="A145" s="5">
        <v>45766</v>
      </c>
      <c r="B145" s="1" t="s">
        <v>953</v>
      </c>
      <c r="C145" s="1" t="s">
        <v>535</v>
      </c>
      <c r="D145" s="1" t="s">
        <v>42</v>
      </c>
      <c r="E145" s="1" t="s">
        <v>19</v>
      </c>
      <c r="F145" s="1"/>
      <c r="G145" s="6" t="s">
        <v>23</v>
      </c>
      <c r="H145" s="7">
        <v>50000</v>
      </c>
      <c r="I145" s="8">
        <v>2.1</v>
      </c>
      <c r="J145" s="1"/>
    </row>
    <row r="146" spans="1:10" x14ac:dyDescent="0.2">
      <c r="A146" s="5">
        <v>45766</v>
      </c>
      <c r="B146" s="1" t="s">
        <v>261</v>
      </c>
      <c r="C146" s="1" t="s">
        <v>262</v>
      </c>
      <c r="D146" s="1" t="s">
        <v>165</v>
      </c>
      <c r="E146" s="1" t="s">
        <v>19</v>
      </c>
      <c r="F146" s="1"/>
      <c r="G146" s="6" t="s">
        <v>14</v>
      </c>
      <c r="H146" s="7">
        <v>65000</v>
      </c>
      <c r="I146" s="8">
        <v>2.6</v>
      </c>
      <c r="J146" s="1"/>
    </row>
    <row r="147" spans="1:10" x14ac:dyDescent="0.2">
      <c r="A147" s="5">
        <v>45766</v>
      </c>
      <c r="B147" s="1" t="s">
        <v>132</v>
      </c>
      <c r="C147" s="1" t="s">
        <v>36</v>
      </c>
      <c r="D147" s="1" t="s">
        <v>18</v>
      </c>
      <c r="E147" s="1" t="s">
        <v>19</v>
      </c>
      <c r="F147" s="1"/>
      <c r="G147" s="6" t="s">
        <v>14</v>
      </c>
      <c r="H147" s="7" t="s">
        <v>114</v>
      </c>
      <c r="I147" s="8"/>
      <c r="J147" s="1"/>
    </row>
    <row r="148" spans="1:10" x14ac:dyDescent="0.2">
      <c r="A148" s="5">
        <v>45766</v>
      </c>
      <c r="B148" s="1" t="s">
        <v>959</v>
      </c>
      <c r="C148" s="1" t="s">
        <v>960</v>
      </c>
      <c r="D148" s="1" t="s">
        <v>165</v>
      </c>
      <c r="E148" s="1" t="s">
        <v>19</v>
      </c>
      <c r="F148" s="1"/>
      <c r="G148" s="6" t="s">
        <v>14</v>
      </c>
      <c r="H148" s="7">
        <v>65000</v>
      </c>
      <c r="I148" s="8">
        <v>4</v>
      </c>
      <c r="J148" s="1"/>
    </row>
    <row r="149" spans="1:10" x14ac:dyDescent="0.2">
      <c r="A149" s="5">
        <v>45766</v>
      </c>
      <c r="B149" s="1" t="s">
        <v>961</v>
      </c>
      <c r="C149" s="1" t="s">
        <v>697</v>
      </c>
      <c r="D149" s="1" t="s">
        <v>119</v>
      </c>
      <c r="E149" s="1" t="s">
        <v>19</v>
      </c>
      <c r="F149" s="1"/>
      <c r="G149" s="6" t="s">
        <v>23</v>
      </c>
      <c r="H149" s="7">
        <v>55000</v>
      </c>
      <c r="I149" s="8">
        <v>12.4</v>
      </c>
      <c r="J149" s="1"/>
    </row>
    <row r="150" spans="1:10" x14ac:dyDescent="0.2">
      <c r="A150" s="5">
        <v>45766</v>
      </c>
      <c r="B150" s="1" t="s">
        <v>961</v>
      </c>
      <c r="C150" s="1" t="s">
        <v>962</v>
      </c>
      <c r="D150" s="1" t="s">
        <v>119</v>
      </c>
      <c r="E150" s="1" t="s">
        <v>19</v>
      </c>
      <c r="F150" s="1"/>
      <c r="G150" s="6" t="s">
        <v>23</v>
      </c>
      <c r="H150" s="7">
        <v>55000</v>
      </c>
      <c r="I150" s="8">
        <v>13.6</v>
      </c>
      <c r="J150" s="1"/>
    </row>
    <row r="151" spans="1:10" x14ac:dyDescent="0.2">
      <c r="A151" s="5">
        <v>45766</v>
      </c>
      <c r="B151" s="1" t="s">
        <v>961</v>
      </c>
      <c r="C151" s="1" t="s">
        <v>963</v>
      </c>
      <c r="D151" s="1" t="s">
        <v>22</v>
      </c>
      <c r="E151" s="1" t="s">
        <v>19</v>
      </c>
      <c r="F151" s="1"/>
      <c r="G151" s="6" t="s">
        <v>23</v>
      </c>
      <c r="H151" s="7">
        <v>55000</v>
      </c>
      <c r="I151" s="8">
        <v>14.5</v>
      </c>
      <c r="J151" s="1"/>
    </row>
    <row r="152" spans="1:10" x14ac:dyDescent="0.2">
      <c r="A152" s="5">
        <v>45766</v>
      </c>
      <c r="B152" s="1" t="s">
        <v>964</v>
      </c>
      <c r="C152" s="1" t="s">
        <v>965</v>
      </c>
      <c r="D152" s="1" t="s">
        <v>26</v>
      </c>
      <c r="E152" s="1" t="s">
        <v>78</v>
      </c>
      <c r="F152" s="1"/>
      <c r="G152" s="6" t="s">
        <v>14</v>
      </c>
      <c r="H152" s="7">
        <v>70000</v>
      </c>
      <c r="I152" s="8"/>
      <c r="J152" s="1"/>
    </row>
    <row r="153" spans="1:10" x14ac:dyDescent="0.2">
      <c r="A153" s="5">
        <v>45766</v>
      </c>
      <c r="B153" s="1" t="s">
        <v>809</v>
      </c>
      <c r="C153" s="1" t="s">
        <v>237</v>
      </c>
      <c r="D153" s="1" t="s">
        <v>18</v>
      </c>
      <c r="E153" s="1" t="s">
        <v>13</v>
      </c>
      <c r="F153" s="1"/>
      <c r="G153" s="6" t="s">
        <v>14</v>
      </c>
      <c r="H153" s="7">
        <v>70000</v>
      </c>
      <c r="I153" s="8"/>
      <c r="J153" s="1"/>
    </row>
    <row r="154" spans="1:10" x14ac:dyDescent="0.2">
      <c r="A154" s="5">
        <v>45766</v>
      </c>
      <c r="B154" s="1" t="s">
        <v>111</v>
      </c>
      <c r="C154" s="1" t="s">
        <v>63</v>
      </c>
      <c r="D154" s="1" t="s">
        <v>112</v>
      </c>
      <c r="E154" s="1" t="s">
        <v>113</v>
      </c>
      <c r="F154" s="1"/>
      <c r="G154" s="6" t="s">
        <v>14</v>
      </c>
      <c r="H154" s="7" t="s">
        <v>114</v>
      </c>
      <c r="I154" s="8"/>
      <c r="J154" s="1"/>
    </row>
    <row r="155" spans="1:10" x14ac:dyDescent="0.2">
      <c r="A155" s="5">
        <v>45766</v>
      </c>
      <c r="B155" s="1" t="s">
        <v>966</v>
      </c>
      <c r="C155" s="1" t="s">
        <v>162</v>
      </c>
      <c r="D155" s="1" t="s">
        <v>64</v>
      </c>
      <c r="E155" s="1" t="s">
        <v>19</v>
      </c>
      <c r="F155" s="1"/>
      <c r="G155" s="6"/>
      <c r="H155" s="7">
        <v>60000</v>
      </c>
      <c r="I155" s="8">
        <v>16.2</v>
      </c>
      <c r="J155" s="1"/>
    </row>
    <row r="156" spans="1:10" x14ac:dyDescent="0.2">
      <c r="A156" s="5">
        <v>45766</v>
      </c>
      <c r="B156" s="1"/>
      <c r="C156" s="1"/>
      <c r="D156" s="1"/>
      <c r="E156" s="1" t="s">
        <v>61</v>
      </c>
      <c r="F156" s="1"/>
      <c r="G156" s="6"/>
      <c r="H156" s="7">
        <v>10000</v>
      </c>
      <c r="I156" s="8"/>
      <c r="J156" s="1"/>
    </row>
    <row r="157" spans="1:10" x14ac:dyDescent="0.2">
      <c r="A157" s="5">
        <v>45766</v>
      </c>
      <c r="B157" s="1"/>
      <c r="C157" s="1"/>
      <c r="D157" s="1"/>
      <c r="E157" s="1" t="s">
        <v>61</v>
      </c>
      <c r="F157" s="1"/>
      <c r="G157" s="6"/>
      <c r="H157" s="7">
        <v>10000</v>
      </c>
      <c r="I157" s="8"/>
      <c r="J157" s="1"/>
    </row>
    <row r="158" spans="1:10" x14ac:dyDescent="0.2">
      <c r="A158" s="5">
        <v>45766</v>
      </c>
      <c r="B158" s="1"/>
      <c r="C158" s="1"/>
      <c r="D158" s="1"/>
      <c r="E158" s="1" t="s">
        <v>61</v>
      </c>
      <c r="F158" s="1"/>
      <c r="G158" s="6"/>
      <c r="H158" s="7">
        <v>10000</v>
      </c>
      <c r="I158" s="8"/>
      <c r="J158" s="1"/>
    </row>
    <row r="159" spans="1:10" x14ac:dyDescent="0.2">
      <c r="A159" s="5">
        <v>45766</v>
      </c>
      <c r="B159" s="1"/>
      <c r="C159" s="1"/>
      <c r="D159" s="1"/>
      <c r="E159" s="1" t="s">
        <v>61</v>
      </c>
      <c r="F159" s="1"/>
      <c r="G159" s="6"/>
      <c r="H159" s="7">
        <v>10000</v>
      </c>
      <c r="I159" s="8"/>
      <c r="J159" s="1"/>
    </row>
    <row r="160" spans="1:10" x14ac:dyDescent="0.2">
      <c r="A160" s="5">
        <v>45768</v>
      </c>
      <c r="B160" s="1" t="s">
        <v>967</v>
      </c>
      <c r="C160" s="1" t="s">
        <v>173</v>
      </c>
      <c r="D160" s="1" t="s">
        <v>18</v>
      </c>
      <c r="E160" s="1" t="s">
        <v>13</v>
      </c>
      <c r="F160" s="1"/>
      <c r="G160" s="6" t="s">
        <v>14</v>
      </c>
      <c r="H160" s="7">
        <v>80000</v>
      </c>
      <c r="I160" s="8">
        <v>14.7</v>
      </c>
      <c r="J160" s="1"/>
    </row>
    <row r="161" spans="1:10" x14ac:dyDescent="0.2">
      <c r="A161" s="5">
        <v>45768</v>
      </c>
      <c r="B161" s="1" t="s">
        <v>267</v>
      </c>
      <c r="C161" s="1" t="s">
        <v>268</v>
      </c>
      <c r="D161" s="1" t="s">
        <v>165</v>
      </c>
      <c r="E161" s="1" t="s">
        <v>13</v>
      </c>
      <c r="F161" s="1"/>
      <c r="G161" s="6" t="s">
        <v>14</v>
      </c>
      <c r="H161" s="7">
        <v>80000</v>
      </c>
      <c r="I161" s="8">
        <v>3.7</v>
      </c>
      <c r="J161" s="1"/>
    </row>
    <row r="162" spans="1:10" x14ac:dyDescent="0.2">
      <c r="A162" s="5">
        <v>45768</v>
      </c>
      <c r="B162" s="1" t="s">
        <v>968</v>
      </c>
      <c r="C162" s="1" t="s">
        <v>969</v>
      </c>
      <c r="D162" s="1" t="s">
        <v>64</v>
      </c>
      <c r="E162" s="1" t="s">
        <v>19</v>
      </c>
      <c r="F162" s="1"/>
      <c r="G162" s="6" t="s">
        <v>23</v>
      </c>
      <c r="H162" s="7">
        <v>60000</v>
      </c>
      <c r="I162" s="8"/>
      <c r="J162" s="1"/>
    </row>
    <row r="163" spans="1:10" x14ac:dyDescent="0.2">
      <c r="A163" s="5">
        <v>45768</v>
      </c>
      <c r="B163" s="1" t="s">
        <v>16</v>
      </c>
      <c r="C163" s="1" t="s">
        <v>17</v>
      </c>
      <c r="D163" s="1" t="s">
        <v>18</v>
      </c>
      <c r="E163" s="1" t="s">
        <v>19</v>
      </c>
      <c r="F163" s="1"/>
      <c r="G163" s="6" t="s">
        <v>14</v>
      </c>
      <c r="H163" s="7">
        <v>50000</v>
      </c>
      <c r="I163" s="8"/>
      <c r="J163" s="1"/>
    </row>
    <row r="164" spans="1:10" x14ac:dyDescent="0.2">
      <c r="A164" s="5">
        <v>45768</v>
      </c>
      <c r="B164" s="1" t="s">
        <v>768</v>
      </c>
      <c r="C164" s="1" t="s">
        <v>46</v>
      </c>
      <c r="D164" s="1" t="s">
        <v>26</v>
      </c>
      <c r="E164" s="1" t="s">
        <v>19</v>
      </c>
      <c r="F164" s="1"/>
      <c r="G164" s="6" t="s">
        <v>14</v>
      </c>
      <c r="H164" s="7">
        <v>80000</v>
      </c>
      <c r="I164" s="8"/>
      <c r="J164" s="1"/>
    </row>
    <row r="165" spans="1:10" x14ac:dyDescent="0.2">
      <c r="A165" s="5">
        <v>45768</v>
      </c>
      <c r="B165" s="1" t="s">
        <v>970</v>
      </c>
      <c r="C165" s="1" t="s">
        <v>971</v>
      </c>
      <c r="D165" s="1" t="s">
        <v>32</v>
      </c>
      <c r="E165" s="1" t="s">
        <v>13</v>
      </c>
      <c r="F165" s="1"/>
      <c r="G165" s="6" t="s">
        <v>14</v>
      </c>
      <c r="H165" s="7">
        <v>75000</v>
      </c>
      <c r="I165" s="8"/>
      <c r="J165" s="1"/>
    </row>
    <row r="166" spans="1:10" x14ac:dyDescent="0.2">
      <c r="A166" s="5">
        <v>45768</v>
      </c>
      <c r="B166" s="1" t="s">
        <v>972</v>
      </c>
      <c r="C166" s="1" t="s">
        <v>173</v>
      </c>
      <c r="D166" s="1" t="s">
        <v>64</v>
      </c>
      <c r="E166" s="1" t="s">
        <v>13</v>
      </c>
      <c r="F166" s="1"/>
      <c r="G166" s="6" t="s">
        <v>14</v>
      </c>
      <c r="H166" s="7">
        <v>95000</v>
      </c>
      <c r="I166" s="8"/>
      <c r="J166" s="1"/>
    </row>
    <row r="167" spans="1:10" x14ac:dyDescent="0.2">
      <c r="A167" s="5">
        <v>45769</v>
      </c>
      <c r="B167" s="1" t="s">
        <v>973</v>
      </c>
      <c r="C167" s="1" t="s">
        <v>264</v>
      </c>
      <c r="D167" s="1" t="s">
        <v>119</v>
      </c>
      <c r="E167" s="1" t="s">
        <v>19</v>
      </c>
      <c r="F167" s="1"/>
      <c r="G167" s="6" t="s">
        <v>23</v>
      </c>
      <c r="H167" s="7">
        <v>55000</v>
      </c>
      <c r="I167" s="8"/>
      <c r="J167" s="1"/>
    </row>
    <row r="168" spans="1:10" x14ac:dyDescent="0.2">
      <c r="A168" s="5">
        <v>45769</v>
      </c>
      <c r="B168" s="1" t="s">
        <v>973</v>
      </c>
      <c r="C168" s="1" t="s">
        <v>974</v>
      </c>
      <c r="D168" s="1" t="s">
        <v>119</v>
      </c>
      <c r="E168" s="1" t="s">
        <v>19</v>
      </c>
      <c r="F168" s="1"/>
      <c r="G168" s="6" t="s">
        <v>23</v>
      </c>
      <c r="H168" s="7">
        <v>55000</v>
      </c>
      <c r="I168" s="8"/>
      <c r="J168" s="1"/>
    </row>
    <row r="169" spans="1:10" x14ac:dyDescent="0.2">
      <c r="A169" s="5">
        <v>45769</v>
      </c>
      <c r="B169" s="1" t="s">
        <v>798</v>
      </c>
      <c r="C169" s="1" t="s">
        <v>522</v>
      </c>
      <c r="D169" s="1" t="s">
        <v>18</v>
      </c>
      <c r="E169" s="1" t="s">
        <v>13</v>
      </c>
      <c r="F169" s="1"/>
      <c r="G169" s="6" t="s">
        <v>14</v>
      </c>
      <c r="H169" s="7">
        <v>85000</v>
      </c>
      <c r="I169" s="8"/>
      <c r="J169" s="1"/>
    </row>
    <row r="170" spans="1:10" x14ac:dyDescent="0.2">
      <c r="A170" s="5">
        <v>45769</v>
      </c>
      <c r="B170" s="1" t="s">
        <v>975</v>
      </c>
      <c r="C170" s="1" t="s">
        <v>442</v>
      </c>
      <c r="D170" s="1" t="s">
        <v>64</v>
      </c>
      <c r="E170" s="1" t="s">
        <v>13</v>
      </c>
      <c r="F170" s="1"/>
      <c r="G170" s="6" t="s">
        <v>14</v>
      </c>
      <c r="H170" s="7">
        <v>90000</v>
      </c>
      <c r="I170" s="8"/>
      <c r="J170" s="1"/>
    </row>
    <row r="171" spans="1:10" x14ac:dyDescent="0.2">
      <c r="A171" s="5">
        <v>45769</v>
      </c>
      <c r="B171" s="1" t="s">
        <v>976</v>
      </c>
      <c r="C171" s="1" t="s">
        <v>185</v>
      </c>
      <c r="D171" s="1" t="s">
        <v>32</v>
      </c>
      <c r="E171" s="1" t="s">
        <v>19</v>
      </c>
      <c r="F171" s="1"/>
      <c r="G171" s="6" t="s">
        <v>14</v>
      </c>
      <c r="H171" s="7">
        <v>70000</v>
      </c>
      <c r="I171" s="8"/>
      <c r="J171" s="1"/>
    </row>
    <row r="172" spans="1:10" x14ac:dyDescent="0.2">
      <c r="A172" s="5">
        <v>45769</v>
      </c>
      <c r="B172" s="1" t="s">
        <v>977</v>
      </c>
      <c r="C172" s="1" t="s">
        <v>621</v>
      </c>
      <c r="D172" s="1" t="s">
        <v>26</v>
      </c>
      <c r="E172" s="1" t="s">
        <v>13</v>
      </c>
      <c r="F172" s="1"/>
      <c r="G172" s="6" t="s">
        <v>14</v>
      </c>
      <c r="H172" s="7">
        <v>90000</v>
      </c>
      <c r="I172" s="8"/>
      <c r="J172" s="1"/>
    </row>
    <row r="173" spans="1:10" x14ac:dyDescent="0.2">
      <c r="A173" s="5">
        <v>45769</v>
      </c>
      <c r="B173" s="1" t="s">
        <v>978</v>
      </c>
      <c r="C173" s="1" t="s">
        <v>979</v>
      </c>
      <c r="D173" s="1" t="s">
        <v>64</v>
      </c>
      <c r="E173" s="1" t="s">
        <v>19</v>
      </c>
      <c r="F173" s="1"/>
      <c r="G173" s="6" t="s">
        <v>23</v>
      </c>
      <c r="H173" s="7">
        <v>70000</v>
      </c>
      <c r="I173" s="8"/>
      <c r="J173" s="1"/>
    </row>
    <row r="174" spans="1:10" x14ac:dyDescent="0.2">
      <c r="A174" s="5">
        <v>45769</v>
      </c>
      <c r="B174" s="1" t="s">
        <v>980</v>
      </c>
      <c r="C174" s="1" t="s">
        <v>981</v>
      </c>
      <c r="D174" s="1" t="s">
        <v>64</v>
      </c>
      <c r="E174" s="1" t="s">
        <v>13</v>
      </c>
      <c r="F174" s="1"/>
      <c r="G174" s="6" t="s">
        <v>14</v>
      </c>
      <c r="H174" s="7">
        <v>85000</v>
      </c>
      <c r="I174" s="8"/>
      <c r="J174" s="1"/>
    </row>
    <row r="175" spans="1:10" x14ac:dyDescent="0.2">
      <c r="A175" s="5">
        <v>45770</v>
      </c>
      <c r="B175" s="1"/>
      <c r="C175" s="1"/>
      <c r="D175" s="1"/>
      <c r="E175" s="1" t="s">
        <v>61</v>
      </c>
      <c r="F175" s="1"/>
      <c r="G175" s="6" t="s">
        <v>14</v>
      </c>
      <c r="H175" s="7">
        <v>10000</v>
      </c>
      <c r="I175" s="8"/>
      <c r="J175" s="1"/>
    </row>
    <row r="176" spans="1:10" x14ac:dyDescent="0.2">
      <c r="A176" s="5">
        <v>45770</v>
      </c>
      <c r="B176" s="1" t="s">
        <v>200</v>
      </c>
      <c r="C176" s="1" t="s">
        <v>201</v>
      </c>
      <c r="D176" s="1" t="s">
        <v>26</v>
      </c>
      <c r="E176" s="1" t="s">
        <v>13</v>
      </c>
      <c r="F176" s="1"/>
      <c r="G176" s="6" t="s">
        <v>14</v>
      </c>
      <c r="H176" s="7">
        <v>80000</v>
      </c>
      <c r="I176" s="8"/>
      <c r="J176" s="1"/>
    </row>
    <row r="177" spans="1:10" x14ac:dyDescent="0.2">
      <c r="A177" s="5">
        <v>45770</v>
      </c>
      <c r="B177" s="1" t="s">
        <v>293</v>
      </c>
      <c r="C177" s="1" t="s">
        <v>294</v>
      </c>
      <c r="D177" s="1" t="s">
        <v>18</v>
      </c>
      <c r="E177" s="1" t="s">
        <v>19</v>
      </c>
      <c r="F177" s="1"/>
      <c r="G177" s="6" t="s">
        <v>14</v>
      </c>
      <c r="H177" s="7">
        <v>75000</v>
      </c>
      <c r="I177" s="8"/>
      <c r="J177" s="1"/>
    </row>
    <row r="178" spans="1:10" x14ac:dyDescent="0.2">
      <c r="A178" s="5">
        <v>45770</v>
      </c>
      <c r="B178" s="1" t="s">
        <v>194</v>
      </c>
      <c r="C178" s="1" t="s">
        <v>195</v>
      </c>
      <c r="D178" s="1" t="s">
        <v>196</v>
      </c>
      <c r="E178" s="1" t="s">
        <v>94</v>
      </c>
      <c r="F178" s="1"/>
      <c r="G178" s="6" t="s">
        <v>14</v>
      </c>
      <c r="H178" s="7">
        <v>90000</v>
      </c>
      <c r="I178" s="8"/>
      <c r="J178" s="1"/>
    </row>
    <row r="179" spans="1:10" x14ac:dyDescent="0.2">
      <c r="A179" s="5">
        <v>45770</v>
      </c>
      <c r="B179" s="1" t="s">
        <v>256</v>
      </c>
      <c r="C179" s="1" t="s">
        <v>257</v>
      </c>
      <c r="D179" s="1" t="s">
        <v>32</v>
      </c>
      <c r="E179" s="1" t="s">
        <v>19</v>
      </c>
      <c r="F179" s="1"/>
      <c r="G179" s="6" t="s">
        <v>14</v>
      </c>
      <c r="H179" s="7" t="s">
        <v>114</v>
      </c>
      <c r="I179" s="8"/>
      <c r="J179" s="1"/>
    </row>
    <row r="180" spans="1:10" x14ac:dyDescent="0.2">
      <c r="A180" s="5">
        <v>45770</v>
      </c>
      <c r="B180" s="1" t="s">
        <v>215</v>
      </c>
      <c r="C180" s="1" t="s">
        <v>216</v>
      </c>
      <c r="D180" s="1" t="s">
        <v>165</v>
      </c>
      <c r="E180" s="1" t="s">
        <v>13</v>
      </c>
      <c r="F180" s="1"/>
      <c r="G180" s="6" t="s">
        <v>14</v>
      </c>
      <c r="H180" s="7">
        <v>60000</v>
      </c>
      <c r="I180" s="8"/>
      <c r="J180" s="1"/>
    </row>
    <row r="181" spans="1:10" x14ac:dyDescent="0.2">
      <c r="A181" s="5">
        <v>45770</v>
      </c>
      <c r="B181" s="1" t="s">
        <v>982</v>
      </c>
      <c r="C181" s="1" t="s">
        <v>983</v>
      </c>
      <c r="D181" s="1" t="s">
        <v>165</v>
      </c>
      <c r="E181" s="1" t="s">
        <v>13</v>
      </c>
      <c r="F181" s="1"/>
      <c r="G181" s="6" t="s">
        <v>14</v>
      </c>
      <c r="H181" s="7">
        <v>80000</v>
      </c>
      <c r="I181" s="8"/>
      <c r="J181" s="1"/>
    </row>
    <row r="182" spans="1:10" x14ac:dyDescent="0.2">
      <c r="A182" s="5">
        <v>45770</v>
      </c>
      <c r="B182" s="1" t="s">
        <v>728</v>
      </c>
      <c r="C182" s="1" t="s">
        <v>313</v>
      </c>
      <c r="D182" s="1" t="s">
        <v>196</v>
      </c>
      <c r="E182" s="1" t="s">
        <v>94</v>
      </c>
      <c r="F182" s="1"/>
      <c r="G182" s="6" t="s">
        <v>14</v>
      </c>
      <c r="H182" s="7">
        <v>65000</v>
      </c>
      <c r="I182" s="1"/>
      <c r="J182" s="1"/>
    </row>
    <row r="183" spans="1:10" x14ac:dyDescent="0.2">
      <c r="A183" s="5">
        <v>45771</v>
      </c>
      <c r="B183" s="1" t="s">
        <v>984</v>
      </c>
      <c r="C183" s="1" t="s">
        <v>104</v>
      </c>
      <c r="D183" s="1" t="s">
        <v>165</v>
      </c>
      <c r="E183" s="1" t="s">
        <v>13</v>
      </c>
      <c r="F183" s="1"/>
      <c r="G183" s="6" t="s">
        <v>14</v>
      </c>
      <c r="H183" s="7">
        <v>80000</v>
      </c>
      <c r="I183" s="8">
        <v>6.5</v>
      </c>
      <c r="J183" s="1"/>
    </row>
    <row r="184" spans="1:10" x14ac:dyDescent="0.2">
      <c r="A184" s="5">
        <v>45771</v>
      </c>
      <c r="B184" s="1" t="s">
        <v>985</v>
      </c>
      <c r="C184" s="1" t="s">
        <v>548</v>
      </c>
      <c r="D184" s="1" t="s">
        <v>18</v>
      </c>
      <c r="E184" s="1" t="s">
        <v>13</v>
      </c>
      <c r="F184" s="1"/>
      <c r="G184" s="6" t="s">
        <v>14</v>
      </c>
      <c r="H184" s="7">
        <v>85000</v>
      </c>
      <c r="I184" s="8">
        <v>19.8</v>
      </c>
      <c r="J184" s="1"/>
    </row>
    <row r="185" spans="1:10" x14ac:dyDescent="0.2">
      <c r="A185" s="5">
        <v>45771</v>
      </c>
      <c r="B185" s="1" t="s">
        <v>986</v>
      </c>
      <c r="C185" s="1" t="s">
        <v>987</v>
      </c>
      <c r="D185" s="1" t="s">
        <v>45</v>
      </c>
      <c r="E185" s="1" t="s">
        <v>61</v>
      </c>
      <c r="F185" s="1" t="s">
        <v>988</v>
      </c>
      <c r="G185" s="6" t="s">
        <v>23</v>
      </c>
      <c r="H185" s="7">
        <v>18000</v>
      </c>
      <c r="I185" s="8"/>
      <c r="J185" s="1"/>
    </row>
    <row r="186" spans="1:10" x14ac:dyDescent="0.2">
      <c r="A186" s="5">
        <v>45771</v>
      </c>
      <c r="B186" s="1" t="s">
        <v>989</v>
      </c>
      <c r="C186" s="1" t="s">
        <v>990</v>
      </c>
      <c r="D186" s="1" t="s">
        <v>131</v>
      </c>
      <c r="E186" s="1" t="s">
        <v>19</v>
      </c>
      <c r="F186" s="1"/>
      <c r="G186" s="6" t="s">
        <v>14</v>
      </c>
      <c r="H186" s="7">
        <v>85000</v>
      </c>
      <c r="I186" s="8"/>
      <c r="J186" s="1"/>
    </row>
    <row r="187" spans="1:10" x14ac:dyDescent="0.2">
      <c r="A187" s="5">
        <v>45771</v>
      </c>
      <c r="B187" s="1" t="s">
        <v>991</v>
      </c>
      <c r="C187" s="1" t="s">
        <v>992</v>
      </c>
      <c r="D187" s="1" t="s">
        <v>196</v>
      </c>
      <c r="E187" s="1" t="s">
        <v>94</v>
      </c>
      <c r="F187" s="1"/>
      <c r="G187" s="6" t="s">
        <v>14</v>
      </c>
      <c r="H187" s="7">
        <v>95000</v>
      </c>
      <c r="I187" s="8">
        <v>19</v>
      </c>
      <c r="J187" s="1"/>
    </row>
    <row r="188" spans="1:10" x14ac:dyDescent="0.2">
      <c r="A188" s="5">
        <v>45771</v>
      </c>
      <c r="B188" s="1" t="s">
        <v>993</v>
      </c>
      <c r="C188" s="1" t="s">
        <v>524</v>
      </c>
      <c r="D188" s="1" t="s">
        <v>131</v>
      </c>
      <c r="E188" s="1" t="s">
        <v>19</v>
      </c>
      <c r="F188" s="1"/>
      <c r="G188" s="6" t="s">
        <v>14</v>
      </c>
      <c r="H188" s="7">
        <v>85000</v>
      </c>
      <c r="I188" s="8">
        <v>37.200000000000003</v>
      </c>
      <c r="J188" s="1"/>
    </row>
    <row r="189" spans="1:10" x14ac:dyDescent="0.2">
      <c r="A189" s="5">
        <v>45771</v>
      </c>
      <c r="B189" s="1"/>
      <c r="C189" s="1"/>
      <c r="D189" s="1" t="s">
        <v>49</v>
      </c>
      <c r="E189" s="1" t="s">
        <v>61</v>
      </c>
      <c r="F189" s="1"/>
      <c r="G189" s="6" t="s">
        <v>23</v>
      </c>
      <c r="H189" s="7">
        <v>10000</v>
      </c>
      <c r="I189" s="8"/>
      <c r="J189" s="1"/>
    </row>
    <row r="190" spans="1:10" x14ac:dyDescent="0.2">
      <c r="A190" s="5">
        <v>45771</v>
      </c>
      <c r="B190" s="1"/>
      <c r="C190" s="1"/>
      <c r="D190" s="1" t="s">
        <v>49</v>
      </c>
      <c r="E190" s="1" t="s">
        <v>61</v>
      </c>
      <c r="F190" s="1"/>
      <c r="G190" s="6" t="s">
        <v>23</v>
      </c>
      <c r="H190" s="7">
        <v>10000</v>
      </c>
      <c r="I190" s="1"/>
      <c r="J190" s="1"/>
    </row>
    <row r="191" spans="1:10" x14ac:dyDescent="0.2">
      <c r="A191" s="5">
        <v>45772</v>
      </c>
      <c r="B191" s="1" t="s">
        <v>994</v>
      </c>
      <c r="C191" s="1" t="s">
        <v>519</v>
      </c>
      <c r="D191" s="1" t="s">
        <v>26</v>
      </c>
      <c r="E191" s="1" t="s">
        <v>19</v>
      </c>
      <c r="F191" s="1"/>
      <c r="G191" s="6" t="s">
        <v>14</v>
      </c>
      <c r="H191" s="7">
        <v>70000</v>
      </c>
      <c r="I191" s="8">
        <v>8.6</v>
      </c>
      <c r="J191" s="1"/>
    </row>
    <row r="192" spans="1:10" x14ac:dyDescent="0.2">
      <c r="A192" s="5">
        <v>45772</v>
      </c>
      <c r="B192" s="1" t="s">
        <v>549</v>
      </c>
      <c r="C192" s="1" t="s">
        <v>255</v>
      </c>
      <c r="D192" s="1" t="s">
        <v>26</v>
      </c>
      <c r="E192" s="1" t="s">
        <v>13</v>
      </c>
      <c r="F192" s="1"/>
      <c r="G192" s="6" t="s">
        <v>14</v>
      </c>
      <c r="H192" s="7">
        <v>80000</v>
      </c>
      <c r="I192" s="8">
        <v>5.7</v>
      </c>
      <c r="J192" s="1"/>
    </row>
    <row r="193" spans="1:10" x14ac:dyDescent="0.2">
      <c r="A193" s="5">
        <v>45772</v>
      </c>
      <c r="B193" s="1" t="s">
        <v>618</v>
      </c>
      <c r="C193" s="1" t="s">
        <v>619</v>
      </c>
      <c r="D193" s="1" t="s">
        <v>88</v>
      </c>
      <c r="E193" s="1" t="s">
        <v>94</v>
      </c>
      <c r="F193" s="1"/>
      <c r="G193" s="6"/>
      <c r="H193" s="7">
        <v>65000</v>
      </c>
      <c r="I193" s="8">
        <v>6.1</v>
      </c>
      <c r="J193" s="1"/>
    </row>
    <row r="194" spans="1:10" x14ac:dyDescent="0.2">
      <c r="A194" s="5">
        <v>45772</v>
      </c>
      <c r="B194" s="1" t="s">
        <v>995</v>
      </c>
      <c r="C194" s="1" t="s">
        <v>996</v>
      </c>
      <c r="D194" s="1" t="s">
        <v>88</v>
      </c>
      <c r="E194" s="1" t="s">
        <v>94</v>
      </c>
      <c r="F194" s="1"/>
      <c r="G194" s="6"/>
      <c r="H194" s="7">
        <v>50000</v>
      </c>
      <c r="I194" s="8"/>
      <c r="J194" s="1"/>
    </row>
    <row r="195" spans="1:10" x14ac:dyDescent="0.2">
      <c r="A195" s="5">
        <v>45772</v>
      </c>
      <c r="B195" s="1" t="s">
        <v>995</v>
      </c>
      <c r="C195" s="1" t="s">
        <v>77</v>
      </c>
      <c r="D195" s="1" t="s">
        <v>88</v>
      </c>
      <c r="E195" s="1" t="s">
        <v>94</v>
      </c>
      <c r="F195" s="1"/>
      <c r="G195" s="6"/>
      <c r="H195" s="7">
        <v>55000</v>
      </c>
      <c r="I195" s="8">
        <v>4.2</v>
      </c>
      <c r="J195" s="1"/>
    </row>
    <row r="196" spans="1:10" x14ac:dyDescent="0.2">
      <c r="A196" s="5">
        <v>45772</v>
      </c>
      <c r="B196" s="1" t="s">
        <v>995</v>
      </c>
      <c r="C196" s="1" t="s">
        <v>320</v>
      </c>
      <c r="D196" s="1" t="s">
        <v>88</v>
      </c>
      <c r="E196" s="1" t="s">
        <v>94</v>
      </c>
      <c r="F196" s="1"/>
      <c r="G196" s="6"/>
      <c r="H196" s="7">
        <v>50000</v>
      </c>
      <c r="I196" s="8">
        <v>3.3</v>
      </c>
      <c r="J196" s="1"/>
    </row>
    <row r="197" spans="1:10" x14ac:dyDescent="0.2">
      <c r="A197" s="5">
        <v>45772</v>
      </c>
      <c r="B197" s="1" t="s">
        <v>306</v>
      </c>
      <c r="C197" s="1" t="s">
        <v>55</v>
      </c>
      <c r="D197" s="1" t="s">
        <v>307</v>
      </c>
      <c r="E197" s="1" t="s">
        <v>94</v>
      </c>
      <c r="F197" s="1"/>
      <c r="G197" s="6"/>
      <c r="H197" s="7">
        <v>90000</v>
      </c>
      <c r="I197" s="1">
        <v>32</v>
      </c>
      <c r="J197" s="1"/>
    </row>
    <row r="198" spans="1:10" x14ac:dyDescent="0.2">
      <c r="A198" s="5">
        <v>45772</v>
      </c>
      <c r="B198" s="1" t="s">
        <v>997</v>
      </c>
      <c r="C198" s="1" t="s">
        <v>803</v>
      </c>
      <c r="D198" s="1" t="s">
        <v>32</v>
      </c>
      <c r="E198" s="1" t="s">
        <v>78</v>
      </c>
      <c r="F198" s="1"/>
      <c r="G198" s="6"/>
      <c r="H198" s="7">
        <v>75000</v>
      </c>
      <c r="I198" s="8">
        <v>2.4</v>
      </c>
      <c r="J198" s="1"/>
    </row>
    <row r="199" spans="1:10" x14ac:dyDescent="0.2">
      <c r="A199" s="5">
        <v>45772</v>
      </c>
      <c r="B199" s="1" t="s">
        <v>489</v>
      </c>
      <c r="C199" s="1" t="s">
        <v>998</v>
      </c>
      <c r="D199" s="1" t="s">
        <v>64</v>
      </c>
      <c r="E199" s="1" t="s">
        <v>19</v>
      </c>
      <c r="F199" s="1"/>
      <c r="G199" s="6" t="s">
        <v>23</v>
      </c>
      <c r="H199" s="7">
        <v>45000</v>
      </c>
      <c r="I199" s="8">
        <v>9.1999999999999993</v>
      </c>
      <c r="J199" s="1"/>
    </row>
    <row r="200" spans="1:10" x14ac:dyDescent="0.2">
      <c r="A200" s="5">
        <v>45772</v>
      </c>
      <c r="B200" s="1" t="s">
        <v>395</v>
      </c>
      <c r="C200" s="1" t="s">
        <v>396</v>
      </c>
      <c r="D200" s="1" t="s">
        <v>32</v>
      </c>
      <c r="E200" s="1" t="s">
        <v>19</v>
      </c>
      <c r="F200" s="1"/>
      <c r="G200" s="6"/>
      <c r="H200" s="7" t="s">
        <v>114</v>
      </c>
      <c r="I200" s="8"/>
      <c r="J200" s="1"/>
    </row>
    <row r="201" spans="1:10" x14ac:dyDescent="0.2">
      <c r="A201" s="5">
        <v>45773</v>
      </c>
      <c r="B201" s="1" t="s">
        <v>79</v>
      </c>
      <c r="C201" s="1" t="s">
        <v>80</v>
      </c>
      <c r="D201" s="1" t="s">
        <v>26</v>
      </c>
      <c r="E201" s="1" t="s">
        <v>13</v>
      </c>
      <c r="F201" s="1"/>
      <c r="G201" s="6" t="s">
        <v>14</v>
      </c>
      <c r="H201" s="7">
        <v>65000</v>
      </c>
      <c r="I201" s="8">
        <v>5.9</v>
      </c>
      <c r="J201" s="1" t="s">
        <v>40</v>
      </c>
    </row>
    <row r="202" spans="1:10" x14ac:dyDescent="0.2">
      <c r="A202" s="5">
        <v>45773</v>
      </c>
      <c r="B202" s="1" t="s">
        <v>603</v>
      </c>
      <c r="C202" s="1" t="s">
        <v>172</v>
      </c>
      <c r="D202" s="1" t="s">
        <v>18</v>
      </c>
      <c r="E202" s="1" t="s">
        <v>19</v>
      </c>
      <c r="F202" s="1"/>
      <c r="G202" s="6" t="s">
        <v>14</v>
      </c>
      <c r="H202" s="7">
        <v>50000</v>
      </c>
      <c r="I202" s="8">
        <v>10</v>
      </c>
      <c r="J202" s="1" t="s">
        <v>15</v>
      </c>
    </row>
    <row r="203" spans="1:10" x14ac:dyDescent="0.2">
      <c r="A203" s="5">
        <v>45773</v>
      </c>
      <c r="B203" s="1" t="s">
        <v>999</v>
      </c>
      <c r="C203" s="1" t="s">
        <v>1000</v>
      </c>
      <c r="D203" s="1" t="s">
        <v>12</v>
      </c>
      <c r="E203" s="1" t="s">
        <v>13</v>
      </c>
      <c r="F203" s="1"/>
      <c r="G203" s="6" t="s">
        <v>14</v>
      </c>
      <c r="H203" s="7">
        <v>75000</v>
      </c>
      <c r="I203" s="8">
        <v>3.3</v>
      </c>
      <c r="J203" s="1" t="s">
        <v>37</v>
      </c>
    </row>
    <row r="204" spans="1:10" x14ac:dyDescent="0.2">
      <c r="A204" s="5">
        <v>45773</v>
      </c>
      <c r="B204" s="1" t="s">
        <v>132</v>
      </c>
      <c r="C204" s="1" t="s">
        <v>36</v>
      </c>
      <c r="D204" s="1" t="s">
        <v>18</v>
      </c>
      <c r="E204" s="1" t="s">
        <v>13</v>
      </c>
      <c r="F204" s="1"/>
      <c r="G204" s="6" t="s">
        <v>14</v>
      </c>
      <c r="H204" s="7">
        <v>200000</v>
      </c>
      <c r="I204" s="8">
        <v>14.6</v>
      </c>
      <c r="J204" s="1" t="s">
        <v>15</v>
      </c>
    </row>
    <row r="205" spans="1:10" x14ac:dyDescent="0.2">
      <c r="A205" s="5">
        <v>45773</v>
      </c>
      <c r="B205" s="1" t="s">
        <v>1001</v>
      </c>
      <c r="C205" s="1" t="s">
        <v>1002</v>
      </c>
      <c r="D205" s="1" t="s">
        <v>64</v>
      </c>
      <c r="E205" s="1" t="s">
        <v>19</v>
      </c>
      <c r="F205" s="1"/>
      <c r="G205" s="6" t="s">
        <v>23</v>
      </c>
      <c r="H205" s="7">
        <v>55000</v>
      </c>
      <c r="I205" s="8">
        <v>11.3</v>
      </c>
      <c r="J205" s="1" t="s">
        <v>15</v>
      </c>
    </row>
    <row r="206" spans="1:10" x14ac:dyDescent="0.2">
      <c r="A206" s="5">
        <v>45773</v>
      </c>
      <c r="B206" s="1" t="s">
        <v>1003</v>
      </c>
      <c r="C206" s="1" t="s">
        <v>865</v>
      </c>
      <c r="D206" s="1" t="s">
        <v>26</v>
      </c>
      <c r="E206" s="1" t="s">
        <v>78</v>
      </c>
      <c r="F206" s="1"/>
      <c r="G206" s="6" t="s">
        <v>14</v>
      </c>
      <c r="H206" s="7">
        <v>80000</v>
      </c>
      <c r="I206" s="8">
        <v>4.3</v>
      </c>
      <c r="J206" s="1" t="s">
        <v>15</v>
      </c>
    </row>
    <row r="207" spans="1:10" x14ac:dyDescent="0.2">
      <c r="A207" s="5">
        <v>45773</v>
      </c>
      <c r="B207" s="1" t="s">
        <v>1004</v>
      </c>
      <c r="C207" s="1" t="s">
        <v>398</v>
      </c>
      <c r="D207" s="1" t="s">
        <v>26</v>
      </c>
      <c r="E207" s="1" t="s">
        <v>13</v>
      </c>
      <c r="F207" s="1"/>
      <c r="G207" s="6" t="s">
        <v>14</v>
      </c>
      <c r="H207" s="7">
        <v>75000</v>
      </c>
      <c r="I207" s="8"/>
      <c r="J207" s="1" t="s">
        <v>34</v>
      </c>
    </row>
    <row r="208" spans="1:10" x14ac:dyDescent="0.2">
      <c r="A208" s="5">
        <v>45773</v>
      </c>
      <c r="B208" s="1" t="s">
        <v>787</v>
      </c>
      <c r="C208" s="1" t="s">
        <v>1005</v>
      </c>
      <c r="D208" s="1" t="s">
        <v>88</v>
      </c>
      <c r="E208" s="1" t="s">
        <v>13</v>
      </c>
      <c r="F208" s="1"/>
      <c r="G208" s="6" t="s">
        <v>14</v>
      </c>
      <c r="H208" s="7">
        <v>60000</v>
      </c>
      <c r="I208" s="8">
        <v>3.6</v>
      </c>
      <c r="J208" s="1" t="s">
        <v>37</v>
      </c>
    </row>
    <row r="209" spans="1:10" x14ac:dyDescent="0.2">
      <c r="A209" s="5">
        <v>45773</v>
      </c>
      <c r="B209" s="1" t="s">
        <v>1006</v>
      </c>
      <c r="C209" s="1" t="s">
        <v>1007</v>
      </c>
      <c r="D209" s="1" t="s">
        <v>64</v>
      </c>
      <c r="E209" s="1" t="s">
        <v>13</v>
      </c>
      <c r="F209" s="1"/>
      <c r="G209" s="6" t="s">
        <v>14</v>
      </c>
      <c r="H209" s="7">
        <v>85000</v>
      </c>
      <c r="I209" s="8">
        <v>22.2</v>
      </c>
      <c r="J209" s="1" t="s">
        <v>15</v>
      </c>
    </row>
    <row r="210" spans="1:10" x14ac:dyDescent="0.2">
      <c r="A210" s="5">
        <v>45773</v>
      </c>
      <c r="B210" s="1"/>
      <c r="C210" s="1"/>
      <c r="D210" s="1"/>
      <c r="E210" s="1" t="s">
        <v>61</v>
      </c>
      <c r="F210" s="1"/>
      <c r="G210" s="6"/>
      <c r="H210" s="7">
        <v>15000</v>
      </c>
      <c r="I210" s="8"/>
      <c r="J210" s="1"/>
    </row>
    <row r="211" spans="1:10" x14ac:dyDescent="0.2">
      <c r="A211" s="5">
        <v>45775</v>
      </c>
      <c r="B211" s="1" t="s">
        <v>653</v>
      </c>
      <c r="C211" s="1" t="s">
        <v>654</v>
      </c>
      <c r="D211" s="1" t="s">
        <v>18</v>
      </c>
      <c r="E211" s="1" t="s">
        <v>13</v>
      </c>
      <c r="F211" s="1"/>
      <c r="G211" s="6" t="s">
        <v>14</v>
      </c>
      <c r="H211" s="7">
        <v>80000</v>
      </c>
      <c r="I211" s="8">
        <v>17</v>
      </c>
      <c r="J211" s="1"/>
    </row>
    <row r="212" spans="1:10" x14ac:dyDescent="0.2">
      <c r="A212" s="5">
        <v>45775</v>
      </c>
      <c r="B212" s="1" t="s">
        <v>653</v>
      </c>
      <c r="C212" s="1" t="s">
        <v>260</v>
      </c>
      <c r="D212" s="1" t="s">
        <v>32</v>
      </c>
      <c r="E212" s="1" t="s">
        <v>13</v>
      </c>
      <c r="F212" s="1"/>
      <c r="G212" s="6" t="s">
        <v>14</v>
      </c>
      <c r="H212" s="7">
        <v>65000</v>
      </c>
      <c r="I212" s="8">
        <v>3.5</v>
      </c>
      <c r="J212" s="1"/>
    </row>
    <row r="213" spans="1:10" x14ac:dyDescent="0.2">
      <c r="A213" s="5">
        <v>45775</v>
      </c>
      <c r="B213" s="1" t="s">
        <v>24</v>
      </c>
      <c r="C213" s="1" t="s">
        <v>25</v>
      </c>
      <c r="D213" s="1" t="s">
        <v>26</v>
      </c>
      <c r="E213" s="1" t="s">
        <v>78</v>
      </c>
      <c r="F213" s="1"/>
      <c r="G213" s="6" t="s">
        <v>14</v>
      </c>
      <c r="H213" s="7">
        <v>80000</v>
      </c>
      <c r="I213" s="8"/>
      <c r="J213" s="1"/>
    </row>
    <row r="214" spans="1:10" x14ac:dyDescent="0.2">
      <c r="A214" s="5">
        <v>45775</v>
      </c>
      <c r="B214" s="1" t="s">
        <v>24</v>
      </c>
      <c r="C214" s="1" t="s">
        <v>301</v>
      </c>
      <c r="D214" s="1" t="s">
        <v>64</v>
      </c>
      <c r="E214" s="1" t="s">
        <v>19</v>
      </c>
      <c r="F214" s="1"/>
      <c r="G214" s="6" t="s">
        <v>23</v>
      </c>
      <c r="H214" s="7">
        <v>55000</v>
      </c>
      <c r="I214" s="8"/>
      <c r="J214" s="1"/>
    </row>
    <row r="215" spans="1:10" x14ac:dyDescent="0.2">
      <c r="A215" s="5">
        <v>45775</v>
      </c>
      <c r="B215" s="1" t="s">
        <v>705</v>
      </c>
      <c r="C215" s="1" t="s">
        <v>514</v>
      </c>
      <c r="D215" s="1" t="s">
        <v>45</v>
      </c>
      <c r="E215" s="1" t="s">
        <v>19</v>
      </c>
      <c r="F215" s="1"/>
      <c r="G215" s="6" t="s">
        <v>23</v>
      </c>
      <c r="H215" s="7">
        <v>55000</v>
      </c>
      <c r="I215" s="8">
        <v>13.2</v>
      </c>
      <c r="J215" s="1"/>
    </row>
    <row r="216" spans="1:10" x14ac:dyDescent="0.2">
      <c r="A216" s="5">
        <v>45775</v>
      </c>
      <c r="B216" s="1" t="s">
        <v>111</v>
      </c>
      <c r="C216" s="1" t="s">
        <v>398</v>
      </c>
      <c r="D216" s="1" t="s">
        <v>112</v>
      </c>
      <c r="E216" s="1" t="s">
        <v>13</v>
      </c>
      <c r="F216" s="1"/>
      <c r="G216" s="6" t="s">
        <v>14</v>
      </c>
      <c r="H216" s="7">
        <v>90000</v>
      </c>
      <c r="I216" s="8">
        <v>2.6</v>
      </c>
      <c r="J216" s="1"/>
    </row>
    <row r="217" spans="1:10" x14ac:dyDescent="0.2">
      <c r="A217" s="5">
        <v>45775</v>
      </c>
      <c r="B217" s="1" t="s">
        <v>739</v>
      </c>
      <c r="C217" s="1" t="s">
        <v>740</v>
      </c>
      <c r="D217" s="1" t="s">
        <v>26</v>
      </c>
      <c r="E217" s="1" t="s">
        <v>19</v>
      </c>
      <c r="F217" s="1"/>
      <c r="G217" s="6" t="s">
        <v>14</v>
      </c>
      <c r="H217" s="7">
        <v>78000</v>
      </c>
      <c r="I217" s="8">
        <v>5.4</v>
      </c>
      <c r="J217" s="1"/>
    </row>
    <row r="218" spans="1:10" x14ac:dyDescent="0.2">
      <c r="A218" s="5">
        <v>45775</v>
      </c>
      <c r="B218" s="1"/>
      <c r="C218" s="1"/>
      <c r="D218" s="1"/>
      <c r="E218" s="1" t="s">
        <v>61</v>
      </c>
      <c r="F218" s="1"/>
      <c r="G218" s="6" t="s">
        <v>23</v>
      </c>
      <c r="H218" s="7">
        <v>10000</v>
      </c>
      <c r="I218" s="8"/>
      <c r="J218" s="1"/>
    </row>
    <row r="219" spans="1:10" x14ac:dyDescent="0.2">
      <c r="A219" s="5">
        <v>45776</v>
      </c>
      <c r="B219" s="1" t="s">
        <v>1008</v>
      </c>
      <c r="C219" s="1" t="s">
        <v>1009</v>
      </c>
      <c r="D219" s="1" t="s">
        <v>64</v>
      </c>
      <c r="E219" s="1" t="s">
        <v>1010</v>
      </c>
      <c r="F219" s="1"/>
      <c r="G219" s="6" t="s">
        <v>14</v>
      </c>
      <c r="H219" s="7">
        <v>70000</v>
      </c>
      <c r="I219" s="8">
        <v>5.8</v>
      </c>
      <c r="J219" s="1"/>
    </row>
    <row r="220" spans="1:10" x14ac:dyDescent="0.2">
      <c r="A220" s="5">
        <v>45776</v>
      </c>
      <c r="B220" s="1" t="s">
        <v>729</v>
      </c>
      <c r="C220" s="1" t="s">
        <v>730</v>
      </c>
      <c r="D220" s="1" t="s">
        <v>32</v>
      </c>
      <c r="E220" s="1" t="s">
        <v>19</v>
      </c>
      <c r="F220" s="1"/>
      <c r="G220" s="6" t="s">
        <v>14</v>
      </c>
      <c r="H220" s="7">
        <v>70000</v>
      </c>
      <c r="I220" s="8">
        <v>2.9</v>
      </c>
      <c r="J220" s="1"/>
    </row>
    <row r="221" spans="1:10" x14ac:dyDescent="0.2">
      <c r="A221" s="5">
        <v>45776</v>
      </c>
      <c r="B221" s="1" t="s">
        <v>441</v>
      </c>
      <c r="C221" s="1" t="s">
        <v>442</v>
      </c>
      <c r="D221" s="1" t="s">
        <v>64</v>
      </c>
      <c r="E221" s="1" t="s">
        <v>13</v>
      </c>
      <c r="F221" s="1"/>
      <c r="G221" s="6" t="s">
        <v>14</v>
      </c>
      <c r="H221" s="7">
        <v>90000</v>
      </c>
      <c r="I221" s="8">
        <v>12.6</v>
      </c>
      <c r="J221" s="1"/>
    </row>
    <row r="222" spans="1:10" x14ac:dyDescent="0.2">
      <c r="A222" s="5">
        <v>45776</v>
      </c>
      <c r="B222" s="1" t="s">
        <v>1011</v>
      </c>
      <c r="C222" s="1" t="s">
        <v>1012</v>
      </c>
      <c r="D222" s="1" t="s">
        <v>88</v>
      </c>
      <c r="E222" s="1" t="s">
        <v>13</v>
      </c>
      <c r="F222" s="1"/>
      <c r="G222" s="6" t="s">
        <v>14</v>
      </c>
      <c r="H222" s="7">
        <v>80000</v>
      </c>
      <c r="I222" s="8">
        <v>3.5</v>
      </c>
      <c r="J222" s="1"/>
    </row>
    <row r="223" spans="1:10" x14ac:dyDescent="0.2">
      <c r="A223" s="5">
        <v>45777</v>
      </c>
      <c r="B223" s="1" t="s">
        <v>1013</v>
      </c>
      <c r="C223" s="1" t="s">
        <v>692</v>
      </c>
      <c r="D223" s="1" t="s">
        <v>26</v>
      </c>
      <c r="E223" s="1" t="s">
        <v>13</v>
      </c>
      <c r="F223" s="1"/>
      <c r="G223" s="6" t="s">
        <v>14</v>
      </c>
      <c r="H223" s="7">
        <v>85000</v>
      </c>
      <c r="I223" s="8">
        <v>5.7</v>
      </c>
      <c r="J223" s="1"/>
    </row>
    <row r="224" spans="1:10" x14ac:dyDescent="0.2">
      <c r="A224" s="5">
        <v>45777</v>
      </c>
      <c r="B224" s="1" t="s">
        <v>27</v>
      </c>
      <c r="C224" s="1" t="s">
        <v>28</v>
      </c>
      <c r="D224" s="1" t="s">
        <v>29</v>
      </c>
      <c r="E224" s="1" t="s">
        <v>19</v>
      </c>
      <c r="F224" s="1"/>
      <c r="G224" s="6" t="s">
        <v>14</v>
      </c>
      <c r="H224" s="7">
        <v>55000</v>
      </c>
      <c r="I224" s="8">
        <v>14.4</v>
      </c>
      <c r="J224" s="1"/>
    </row>
    <row r="225" spans="1:10" x14ac:dyDescent="0.2">
      <c r="A225" s="5">
        <v>45777</v>
      </c>
      <c r="B225" s="1" t="s">
        <v>250</v>
      </c>
      <c r="C225" s="1" t="s">
        <v>251</v>
      </c>
      <c r="D225" s="1" t="s">
        <v>196</v>
      </c>
      <c r="E225" s="1" t="s">
        <v>94</v>
      </c>
      <c r="F225" s="1"/>
      <c r="G225" s="6" t="s">
        <v>14</v>
      </c>
      <c r="H225" s="7">
        <v>90000</v>
      </c>
      <c r="I225" s="8"/>
      <c r="J225" s="1"/>
    </row>
    <row r="226" spans="1:10" x14ac:dyDescent="0.2">
      <c r="A226" s="5">
        <v>45777</v>
      </c>
      <c r="B226" s="1" t="s">
        <v>474</v>
      </c>
      <c r="C226" s="1" t="s">
        <v>475</v>
      </c>
      <c r="D226" s="1" t="s">
        <v>122</v>
      </c>
      <c r="E226" s="1" t="s">
        <v>94</v>
      </c>
      <c r="F226" s="1"/>
      <c r="G226" s="6" t="s">
        <v>14</v>
      </c>
      <c r="H226" s="7">
        <v>80000</v>
      </c>
      <c r="I226" s="8">
        <v>19</v>
      </c>
      <c r="J226" s="1"/>
    </row>
    <row r="227" spans="1:10" x14ac:dyDescent="0.2">
      <c r="A227" s="5">
        <v>45777</v>
      </c>
      <c r="B227" s="1" t="s">
        <v>474</v>
      </c>
      <c r="C227" s="1" t="s">
        <v>440</v>
      </c>
      <c r="D227" s="1" t="s">
        <v>340</v>
      </c>
      <c r="E227" s="1" t="s">
        <v>19</v>
      </c>
      <c r="F227" s="1"/>
      <c r="G227" s="6" t="s">
        <v>23</v>
      </c>
      <c r="H227" s="7">
        <v>30000</v>
      </c>
      <c r="I227" s="8">
        <v>2.6</v>
      </c>
      <c r="J227" s="1"/>
    </row>
    <row r="228" spans="1:10" x14ac:dyDescent="0.2">
      <c r="A228" s="5">
        <v>45777</v>
      </c>
      <c r="B228" s="1" t="s">
        <v>1014</v>
      </c>
      <c r="C228" s="1" t="s">
        <v>1015</v>
      </c>
      <c r="D228" s="1" t="s">
        <v>26</v>
      </c>
      <c r="E228" s="1" t="s">
        <v>1010</v>
      </c>
      <c r="F228" s="1"/>
      <c r="G228" s="6" t="s">
        <v>14</v>
      </c>
      <c r="H228" s="7">
        <v>70000</v>
      </c>
      <c r="I228" s="8">
        <v>5.3</v>
      </c>
      <c r="J228" s="1"/>
    </row>
    <row r="229" spans="1:10" x14ac:dyDescent="0.2">
      <c r="A229" s="5"/>
      <c r="B229" s="1"/>
      <c r="C229" s="1"/>
      <c r="D229" s="1"/>
      <c r="E229" s="1"/>
      <c r="F229" s="1"/>
      <c r="G229" s="6"/>
      <c r="H229" s="7"/>
      <c r="I229" s="8"/>
      <c r="J229" s="1"/>
    </row>
    <row r="230" spans="1:10" x14ac:dyDescent="0.2">
      <c r="A230" s="5"/>
      <c r="B230" s="1"/>
      <c r="C230" s="1"/>
      <c r="D230" s="1"/>
      <c r="E230" s="1"/>
      <c r="F230" s="1"/>
      <c r="G230" s="6"/>
      <c r="H230" s="7"/>
      <c r="I230" s="8"/>
      <c r="J230" s="1"/>
    </row>
    <row r="231" spans="1:10" x14ac:dyDescent="0.2">
      <c r="A231" s="5"/>
      <c r="B231" s="1"/>
      <c r="C231" s="1"/>
      <c r="D231" s="1"/>
      <c r="E231" s="1"/>
      <c r="F231" s="1"/>
      <c r="G231" s="6"/>
      <c r="H231" s="7"/>
      <c r="I231" s="8"/>
      <c r="J231" s="1"/>
    </row>
    <row r="232" spans="1:10" x14ac:dyDescent="0.2">
      <c r="A232" s="5"/>
      <c r="B232" s="1"/>
      <c r="C232" s="1"/>
      <c r="D232" s="1"/>
      <c r="E232" s="1"/>
      <c r="F232" s="1"/>
      <c r="G232" s="6"/>
      <c r="H232" s="7"/>
      <c r="I232" s="8"/>
      <c r="J232" s="1"/>
    </row>
    <row r="233" spans="1:10" x14ac:dyDescent="0.2">
      <c r="A233" s="5"/>
      <c r="B233" s="1"/>
      <c r="C233" s="1"/>
      <c r="D233" s="1"/>
      <c r="E233" s="1"/>
      <c r="F233" s="1"/>
      <c r="G233" s="6"/>
      <c r="H233" s="7"/>
      <c r="I233" s="8"/>
      <c r="J233" s="1"/>
    </row>
    <row r="234" spans="1:10" x14ac:dyDescent="0.2">
      <c r="A234" s="5"/>
      <c r="B234" s="1"/>
      <c r="C234" s="1"/>
      <c r="D234" s="1"/>
      <c r="E234" s="1"/>
      <c r="F234" s="1"/>
      <c r="G234" s="6"/>
      <c r="H234" s="7"/>
      <c r="I234" s="8"/>
      <c r="J234" s="1"/>
    </row>
    <row r="235" spans="1:10" x14ac:dyDescent="0.2">
      <c r="A235" s="5"/>
      <c r="B235" s="1"/>
      <c r="C235" s="1"/>
      <c r="D235" s="1"/>
      <c r="E235" s="1"/>
      <c r="F235" s="1"/>
      <c r="G235" s="6"/>
      <c r="H235" s="7"/>
      <c r="I235" s="8"/>
      <c r="J235" s="1"/>
    </row>
    <row r="236" spans="1:10" x14ac:dyDescent="0.2">
      <c r="A236" s="5"/>
      <c r="B236" s="1"/>
      <c r="C236" s="1"/>
      <c r="D236" s="1"/>
      <c r="E236" s="1"/>
      <c r="F236" s="1"/>
      <c r="G236" s="6"/>
      <c r="H236" s="7"/>
      <c r="I236" s="8"/>
      <c r="J236" s="1"/>
    </row>
    <row r="237" spans="1:10" x14ac:dyDescent="0.2">
      <c r="A237" s="16"/>
      <c r="B237" s="17"/>
      <c r="C237" s="17"/>
      <c r="D237" s="1"/>
      <c r="E237" s="1"/>
      <c r="F237" s="17"/>
      <c r="G237" s="6"/>
      <c r="H237" s="17"/>
      <c r="I237" s="17"/>
      <c r="J237" s="1"/>
    </row>
    <row r="238" spans="1:10" x14ac:dyDescent="0.2">
      <c r="A238" s="17"/>
      <c r="B238" s="17"/>
      <c r="C238" s="17"/>
      <c r="D238" s="1"/>
      <c r="E238" s="1"/>
      <c r="F238" s="17"/>
      <c r="G238" s="6"/>
      <c r="H238" s="17"/>
      <c r="I238" s="17"/>
      <c r="J238" s="17"/>
    </row>
  </sheetData>
  <autoFilter ref="A1:J228" xr:uid="{00000000-0009-0000-0000-000003000000}"/>
  <dataValidations count="6">
    <dataValidation type="list" allowBlank="1" showErrorMessage="1" sqref="G2:G238" xr:uid="{00000000-0002-0000-0300-000000000000}">
      <formula1>"LARGO,CORTO"</formula1>
    </dataValidation>
    <dataValidation type="list" allowBlank="1" showErrorMessage="1" sqref="D85" xr:uid="{00000000-0002-0000-0300-000001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FRISE,SPRINGEL SPANIEL"</formula1>
    </dataValidation>
    <dataValidation type="list" allowBlank="1" showErrorMessage="1" sqref="D126" xr:uid="{00000000-0002-0000-0300-000002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37" xr:uid="{00000000-0002-0000-0300-000003000000}">
      <formula1>"MOÑO,MOÑOS,CORBATÍN,PAÑOLETA,NO"</formula1>
    </dataValidation>
    <dataValidation type="list" allowBlank="1" showErrorMessage="1" sqref="D2:D84 D86:D125 D127:D238" xr:uid="{00000000-0002-0000-0300-000004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FRISE,MUNCHKIN,DOBERMAN,WEIMARANER,SPRINGER SPANIEL"</formula1>
    </dataValidation>
    <dataValidation type="list" allowBlank="1" showErrorMessage="1" sqref="E2:E238" xr:uid="{00000000-0002-0000-0300-000005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51"/>
  <sheetViews>
    <sheetView workbookViewId="0"/>
  </sheetViews>
  <sheetFormatPr baseColWidth="10" defaultColWidth="12.6640625" defaultRowHeight="15.75" customHeight="1" x14ac:dyDescent="0.15"/>
  <cols>
    <col min="2" max="2" width="29.6640625" customWidth="1"/>
    <col min="3" max="3" width="16" customWidth="1"/>
    <col min="4" max="4" width="25.1640625" customWidth="1"/>
    <col min="5" max="5" width="25.6640625" customWidth="1"/>
    <col min="6" max="6" width="23.6640625" customWidth="1"/>
    <col min="7" max="7" width="13.6640625" customWidth="1"/>
    <col min="10" max="10" width="26.6640625" customWidth="1"/>
  </cols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45779</v>
      </c>
      <c r="B2" s="1" t="s">
        <v>299</v>
      </c>
      <c r="C2" s="1" t="s">
        <v>1016</v>
      </c>
      <c r="D2" s="1" t="s">
        <v>18</v>
      </c>
      <c r="E2" s="1" t="s">
        <v>13</v>
      </c>
      <c r="F2" s="1"/>
      <c r="G2" s="6" t="s">
        <v>14</v>
      </c>
      <c r="H2" s="7">
        <v>65000</v>
      </c>
      <c r="I2" s="8">
        <v>13</v>
      </c>
      <c r="J2" s="1" t="s">
        <v>15</v>
      </c>
    </row>
    <row r="3" spans="1:10" x14ac:dyDescent="0.2">
      <c r="A3" s="5">
        <v>45779</v>
      </c>
      <c r="B3" s="1" t="s">
        <v>299</v>
      </c>
      <c r="C3" s="1" t="s">
        <v>1017</v>
      </c>
      <c r="D3" s="1" t="s">
        <v>32</v>
      </c>
      <c r="E3" s="1" t="s">
        <v>19</v>
      </c>
      <c r="F3" s="1"/>
      <c r="G3" s="6" t="s">
        <v>14</v>
      </c>
      <c r="H3" s="7">
        <v>60000</v>
      </c>
      <c r="I3" s="8">
        <v>4.3</v>
      </c>
      <c r="J3" s="1" t="s">
        <v>15</v>
      </c>
    </row>
    <row r="4" spans="1:10" x14ac:dyDescent="0.2">
      <c r="A4" s="5">
        <v>45779</v>
      </c>
      <c r="B4" s="1" t="s">
        <v>833</v>
      </c>
      <c r="C4" s="1" t="s">
        <v>516</v>
      </c>
      <c r="D4" s="1" t="s">
        <v>834</v>
      </c>
      <c r="E4" s="1" t="s">
        <v>13</v>
      </c>
      <c r="F4" s="1"/>
      <c r="G4" s="6" t="s">
        <v>14</v>
      </c>
      <c r="H4" s="7">
        <v>72000</v>
      </c>
      <c r="I4" s="1"/>
      <c r="J4" s="1" t="s">
        <v>15</v>
      </c>
    </row>
    <row r="5" spans="1:10" x14ac:dyDescent="0.2">
      <c r="A5" s="5">
        <v>45779</v>
      </c>
      <c r="B5" s="1" t="s">
        <v>1018</v>
      </c>
      <c r="C5" s="1" t="s">
        <v>501</v>
      </c>
      <c r="D5" s="1" t="s">
        <v>64</v>
      </c>
      <c r="E5" s="1" t="s">
        <v>1010</v>
      </c>
      <c r="F5" s="1"/>
      <c r="G5" s="6" t="s">
        <v>14</v>
      </c>
      <c r="H5" s="7">
        <v>70000</v>
      </c>
      <c r="I5" s="8">
        <v>5.3</v>
      </c>
      <c r="J5" s="1" t="s">
        <v>15</v>
      </c>
    </row>
    <row r="6" spans="1:10" x14ac:dyDescent="0.2">
      <c r="A6" s="5">
        <v>45779</v>
      </c>
      <c r="B6" s="1" t="s">
        <v>256</v>
      </c>
      <c r="C6" s="1" t="s">
        <v>116</v>
      </c>
      <c r="D6" s="1" t="s">
        <v>32</v>
      </c>
      <c r="E6" s="1" t="s">
        <v>113</v>
      </c>
      <c r="F6" s="1"/>
      <c r="G6" s="6" t="s">
        <v>14</v>
      </c>
      <c r="H6" s="7">
        <v>100000</v>
      </c>
      <c r="I6" s="8"/>
      <c r="J6" s="1" t="s">
        <v>34</v>
      </c>
    </row>
    <row r="7" spans="1:10" x14ac:dyDescent="0.2">
      <c r="A7" s="5">
        <v>45779</v>
      </c>
      <c r="B7" s="1" t="s">
        <v>56</v>
      </c>
      <c r="C7" s="1" t="s">
        <v>437</v>
      </c>
      <c r="D7" s="1" t="s">
        <v>58</v>
      </c>
      <c r="E7" s="1" t="s">
        <v>59</v>
      </c>
      <c r="F7" s="1"/>
      <c r="G7" s="6" t="s">
        <v>14</v>
      </c>
      <c r="H7" s="7">
        <v>80000</v>
      </c>
      <c r="I7" s="8"/>
      <c r="J7" s="1" t="s">
        <v>15</v>
      </c>
    </row>
    <row r="8" spans="1:10" x14ac:dyDescent="0.2">
      <c r="A8" s="5">
        <v>45779</v>
      </c>
      <c r="B8" s="1" t="s">
        <v>841</v>
      </c>
      <c r="C8" s="1" t="s">
        <v>842</v>
      </c>
      <c r="D8" s="1" t="s">
        <v>119</v>
      </c>
      <c r="E8" s="1" t="s">
        <v>19</v>
      </c>
      <c r="F8" s="1"/>
      <c r="G8" s="6" t="s">
        <v>14</v>
      </c>
      <c r="H8" s="7">
        <v>50000</v>
      </c>
      <c r="I8" s="8">
        <v>7.7</v>
      </c>
      <c r="J8" s="1" t="s">
        <v>15</v>
      </c>
    </row>
    <row r="9" spans="1:10" x14ac:dyDescent="0.2">
      <c r="A9" s="5">
        <v>45779</v>
      </c>
      <c r="B9" s="1" t="s">
        <v>643</v>
      </c>
      <c r="C9" s="1" t="s">
        <v>148</v>
      </c>
      <c r="D9" s="1" t="s">
        <v>32</v>
      </c>
      <c r="E9" s="1" t="s">
        <v>19</v>
      </c>
      <c r="F9" s="1"/>
      <c r="G9" s="6" t="s">
        <v>14</v>
      </c>
      <c r="H9" s="7">
        <v>65000</v>
      </c>
      <c r="I9" s="1">
        <v>5.4</v>
      </c>
      <c r="J9" s="1" t="s">
        <v>15</v>
      </c>
    </row>
    <row r="10" spans="1:10" x14ac:dyDescent="0.2">
      <c r="A10" s="5">
        <v>45779</v>
      </c>
      <c r="B10" s="1" t="s">
        <v>395</v>
      </c>
      <c r="C10" s="1" t="s">
        <v>396</v>
      </c>
      <c r="D10" s="1" t="s">
        <v>32</v>
      </c>
      <c r="E10" s="1" t="s">
        <v>113</v>
      </c>
      <c r="F10" s="1"/>
      <c r="G10" s="6" t="s">
        <v>14</v>
      </c>
      <c r="H10" s="7" t="s">
        <v>114</v>
      </c>
      <c r="I10" s="8"/>
      <c r="J10" s="1" t="s">
        <v>15</v>
      </c>
    </row>
    <row r="11" spans="1:10" x14ac:dyDescent="0.2">
      <c r="A11" s="5">
        <v>45779</v>
      </c>
      <c r="B11" s="1" t="s">
        <v>397</v>
      </c>
      <c r="C11" s="1" t="s">
        <v>398</v>
      </c>
      <c r="D11" s="1" t="s">
        <v>112</v>
      </c>
      <c r="E11" s="1" t="s">
        <v>113</v>
      </c>
      <c r="F11" s="1"/>
      <c r="G11" s="6" t="s">
        <v>14</v>
      </c>
      <c r="H11" s="7" t="s">
        <v>114</v>
      </c>
      <c r="I11" s="8"/>
      <c r="J11" s="1" t="s">
        <v>34</v>
      </c>
    </row>
    <row r="12" spans="1:10" x14ac:dyDescent="0.2">
      <c r="A12" s="5">
        <v>45779</v>
      </c>
      <c r="B12" s="1" t="s">
        <v>1019</v>
      </c>
      <c r="C12" s="1" t="s">
        <v>162</v>
      </c>
      <c r="D12" s="1" t="s">
        <v>64</v>
      </c>
      <c r="E12" s="1" t="s">
        <v>19</v>
      </c>
      <c r="F12" s="1"/>
      <c r="G12" s="6" t="s">
        <v>23</v>
      </c>
      <c r="H12" s="7" t="s">
        <v>1020</v>
      </c>
      <c r="I12" s="8">
        <v>6.6</v>
      </c>
      <c r="J12" s="1" t="s">
        <v>15</v>
      </c>
    </row>
    <row r="13" spans="1:10" x14ac:dyDescent="0.2">
      <c r="A13" s="5">
        <v>45780</v>
      </c>
      <c r="B13" s="1" t="s">
        <v>759</v>
      </c>
      <c r="C13" s="1" t="s">
        <v>760</v>
      </c>
      <c r="D13" s="1" t="s">
        <v>26</v>
      </c>
      <c r="E13" s="1" t="s">
        <v>19</v>
      </c>
      <c r="F13" s="1"/>
      <c r="G13" s="6" t="s">
        <v>14</v>
      </c>
      <c r="H13" s="7">
        <v>70000</v>
      </c>
      <c r="I13" s="8">
        <v>10.199999999999999</v>
      </c>
      <c r="J13" s="1" t="s">
        <v>15</v>
      </c>
    </row>
    <row r="14" spans="1:10" x14ac:dyDescent="0.2">
      <c r="A14" s="5">
        <v>45780</v>
      </c>
      <c r="B14" s="1" t="s">
        <v>295</v>
      </c>
      <c r="C14" s="1" t="s">
        <v>152</v>
      </c>
      <c r="D14" s="1" t="s">
        <v>153</v>
      </c>
      <c r="E14" s="1" t="s">
        <v>78</v>
      </c>
      <c r="F14" s="1"/>
      <c r="G14" s="6" t="s">
        <v>14</v>
      </c>
      <c r="H14" s="7">
        <v>70000</v>
      </c>
      <c r="I14" s="8">
        <v>4.2</v>
      </c>
      <c r="J14" s="1" t="s">
        <v>15</v>
      </c>
    </row>
    <row r="15" spans="1:10" x14ac:dyDescent="0.2">
      <c r="A15" s="5">
        <v>45780</v>
      </c>
      <c r="B15" s="1" t="s">
        <v>125</v>
      </c>
      <c r="C15" s="1" t="s">
        <v>211</v>
      </c>
      <c r="D15" s="1" t="s">
        <v>32</v>
      </c>
      <c r="E15" s="1" t="s">
        <v>19</v>
      </c>
      <c r="F15" s="1"/>
      <c r="G15" s="6" t="s">
        <v>14</v>
      </c>
      <c r="H15" s="7">
        <v>55000</v>
      </c>
      <c r="I15" s="8"/>
      <c r="J15" s="1" t="s">
        <v>15</v>
      </c>
    </row>
    <row r="16" spans="1:10" x14ac:dyDescent="0.2">
      <c r="A16" s="5">
        <v>45780</v>
      </c>
      <c r="B16" s="1" t="s">
        <v>388</v>
      </c>
      <c r="C16" s="1" t="s">
        <v>389</v>
      </c>
      <c r="D16" s="1" t="s">
        <v>196</v>
      </c>
      <c r="E16" s="1" t="s">
        <v>94</v>
      </c>
      <c r="F16" s="1"/>
      <c r="G16" s="6" t="s">
        <v>14</v>
      </c>
      <c r="H16" s="7">
        <v>85000</v>
      </c>
      <c r="I16" s="8">
        <v>25.3</v>
      </c>
      <c r="J16" s="1" t="s">
        <v>15</v>
      </c>
    </row>
    <row r="17" spans="1:10" x14ac:dyDescent="0.2">
      <c r="A17" s="5">
        <v>45780</v>
      </c>
      <c r="B17" s="1" t="s">
        <v>553</v>
      </c>
      <c r="C17" s="1" t="s">
        <v>554</v>
      </c>
      <c r="D17" s="1" t="s">
        <v>18</v>
      </c>
      <c r="E17" s="1" t="s">
        <v>13</v>
      </c>
      <c r="F17" s="1"/>
      <c r="G17" s="6" t="s">
        <v>14</v>
      </c>
      <c r="H17" s="7">
        <v>75000</v>
      </c>
      <c r="I17" s="8">
        <v>10</v>
      </c>
      <c r="J17" s="1" t="s">
        <v>15</v>
      </c>
    </row>
    <row r="18" spans="1:10" x14ac:dyDescent="0.2">
      <c r="A18" s="5">
        <v>45780</v>
      </c>
      <c r="B18" s="1" t="s">
        <v>1021</v>
      </c>
      <c r="C18" s="1" t="s">
        <v>1022</v>
      </c>
      <c r="D18" s="1" t="s">
        <v>26</v>
      </c>
      <c r="E18" s="1" t="s">
        <v>13</v>
      </c>
      <c r="F18" s="1"/>
      <c r="G18" s="6" t="s">
        <v>14</v>
      </c>
      <c r="H18" s="7">
        <v>90000</v>
      </c>
      <c r="I18" s="8">
        <v>4.8</v>
      </c>
      <c r="J18" s="1" t="s">
        <v>15</v>
      </c>
    </row>
    <row r="19" spans="1:10" x14ac:dyDescent="0.2">
      <c r="A19" s="5">
        <v>45780</v>
      </c>
      <c r="B19" s="1" t="s">
        <v>430</v>
      </c>
      <c r="C19" s="1" t="s">
        <v>431</v>
      </c>
      <c r="D19" s="1" t="s">
        <v>64</v>
      </c>
      <c r="E19" s="1" t="s">
        <v>13</v>
      </c>
      <c r="F19" s="1"/>
      <c r="G19" s="6" t="s">
        <v>14</v>
      </c>
      <c r="H19" s="7">
        <v>65000</v>
      </c>
      <c r="I19" s="8">
        <v>8.1999999999999993</v>
      </c>
      <c r="J19" s="1" t="s">
        <v>15</v>
      </c>
    </row>
    <row r="20" spans="1:10" x14ac:dyDescent="0.2">
      <c r="A20" s="5">
        <v>45780</v>
      </c>
      <c r="B20" s="1" t="s">
        <v>381</v>
      </c>
      <c r="C20" s="1" t="s">
        <v>382</v>
      </c>
      <c r="D20" s="1" t="s">
        <v>165</v>
      </c>
      <c r="E20" s="1" t="s">
        <v>19</v>
      </c>
      <c r="F20" s="1"/>
      <c r="G20" s="6" t="s">
        <v>14</v>
      </c>
      <c r="H20" s="7">
        <v>65000</v>
      </c>
      <c r="I20" s="8">
        <v>8.9</v>
      </c>
      <c r="J20" s="1" t="s">
        <v>15</v>
      </c>
    </row>
    <row r="21" spans="1:10" x14ac:dyDescent="0.2">
      <c r="A21" s="5">
        <v>45780</v>
      </c>
      <c r="B21" s="1" t="s">
        <v>393</v>
      </c>
      <c r="C21" s="1" t="s">
        <v>715</v>
      </c>
      <c r="D21" s="1" t="s">
        <v>165</v>
      </c>
      <c r="E21" s="1" t="s">
        <v>13</v>
      </c>
      <c r="F21" s="1"/>
      <c r="G21" s="6" t="s">
        <v>14</v>
      </c>
      <c r="H21" s="7">
        <v>70000</v>
      </c>
      <c r="I21" s="8">
        <v>7.8</v>
      </c>
      <c r="J21" s="1" t="s">
        <v>15</v>
      </c>
    </row>
    <row r="22" spans="1:10" x14ac:dyDescent="0.2">
      <c r="A22" s="5">
        <v>45780</v>
      </c>
      <c r="B22" s="1" t="s">
        <v>393</v>
      </c>
      <c r="C22" s="1" t="s">
        <v>275</v>
      </c>
      <c r="D22" s="1" t="s">
        <v>165</v>
      </c>
      <c r="E22" s="1" t="s">
        <v>13</v>
      </c>
      <c r="F22" s="1"/>
      <c r="G22" s="6" t="s">
        <v>14</v>
      </c>
      <c r="H22" s="7">
        <v>70000</v>
      </c>
      <c r="I22" s="8">
        <v>6.7</v>
      </c>
      <c r="J22" s="1" t="s">
        <v>15</v>
      </c>
    </row>
    <row r="23" spans="1:10" x14ac:dyDescent="0.2">
      <c r="A23" s="5">
        <v>45780</v>
      </c>
      <c r="B23" s="1"/>
      <c r="C23" s="1"/>
      <c r="D23" s="1"/>
      <c r="E23" s="1" t="s">
        <v>61</v>
      </c>
      <c r="F23" s="1"/>
      <c r="G23" s="6"/>
      <c r="H23" s="7">
        <v>10000</v>
      </c>
      <c r="I23" s="8"/>
      <c r="J23" s="1" t="s">
        <v>160</v>
      </c>
    </row>
    <row r="24" spans="1:10" x14ac:dyDescent="0.2">
      <c r="A24" s="5">
        <v>45780</v>
      </c>
      <c r="B24" s="1"/>
      <c r="C24" s="1"/>
      <c r="D24" s="1"/>
      <c r="E24" s="1" t="s">
        <v>61</v>
      </c>
      <c r="F24" s="1"/>
      <c r="G24" s="6"/>
      <c r="H24" s="7">
        <v>10000</v>
      </c>
      <c r="I24" s="8"/>
      <c r="J24" s="1" t="s">
        <v>160</v>
      </c>
    </row>
    <row r="25" spans="1:10" x14ac:dyDescent="0.2">
      <c r="A25" s="5">
        <v>45782</v>
      </c>
      <c r="B25" s="1" t="s">
        <v>1023</v>
      </c>
      <c r="C25" s="1" t="s">
        <v>382</v>
      </c>
      <c r="D25" s="1" t="s">
        <v>32</v>
      </c>
      <c r="E25" s="1" t="s">
        <v>13</v>
      </c>
      <c r="F25" s="1"/>
      <c r="G25" s="6" t="s">
        <v>14</v>
      </c>
      <c r="H25" s="7">
        <v>75000</v>
      </c>
      <c r="I25" s="8"/>
      <c r="J25" s="1" t="s">
        <v>15</v>
      </c>
    </row>
    <row r="26" spans="1:10" x14ac:dyDescent="0.2">
      <c r="A26" s="5">
        <v>45782</v>
      </c>
      <c r="B26" s="1" t="s">
        <v>1024</v>
      </c>
      <c r="C26" s="1" t="s">
        <v>1025</v>
      </c>
      <c r="D26" s="1" t="s">
        <v>32</v>
      </c>
      <c r="E26" s="1" t="s">
        <v>78</v>
      </c>
      <c r="F26" s="1"/>
      <c r="G26" s="6" t="s">
        <v>14</v>
      </c>
      <c r="H26" s="7">
        <v>65000</v>
      </c>
      <c r="I26" s="8">
        <v>2.2999999999999998</v>
      </c>
      <c r="J26" s="1" t="s">
        <v>15</v>
      </c>
    </row>
    <row r="27" spans="1:10" x14ac:dyDescent="0.2">
      <c r="A27" s="5">
        <v>45782</v>
      </c>
      <c r="B27" s="1" t="s">
        <v>1026</v>
      </c>
      <c r="C27" s="1" t="s">
        <v>1027</v>
      </c>
      <c r="D27" s="1" t="s">
        <v>165</v>
      </c>
      <c r="E27" s="1" t="s">
        <v>19</v>
      </c>
      <c r="F27" s="1"/>
      <c r="G27" s="6" t="s">
        <v>14</v>
      </c>
      <c r="H27" s="7">
        <v>80000</v>
      </c>
      <c r="I27" s="8"/>
      <c r="J27" s="1" t="s">
        <v>15</v>
      </c>
    </row>
    <row r="28" spans="1:10" x14ac:dyDescent="0.2">
      <c r="A28" s="5">
        <v>45782</v>
      </c>
      <c r="B28" s="1" t="s">
        <v>822</v>
      </c>
      <c r="C28" s="1" t="s">
        <v>440</v>
      </c>
      <c r="D28" s="1" t="s">
        <v>26</v>
      </c>
      <c r="E28" s="1" t="s">
        <v>19</v>
      </c>
      <c r="F28" s="1"/>
      <c r="G28" s="6" t="s">
        <v>14</v>
      </c>
      <c r="H28" s="7">
        <v>65000</v>
      </c>
      <c r="I28" s="8">
        <v>7.5</v>
      </c>
      <c r="J28" s="1" t="s">
        <v>15</v>
      </c>
    </row>
    <row r="29" spans="1:10" x14ac:dyDescent="0.2">
      <c r="A29" s="5">
        <v>45783</v>
      </c>
      <c r="B29" s="1" t="s">
        <v>1028</v>
      </c>
      <c r="C29" s="1" t="s">
        <v>1029</v>
      </c>
      <c r="D29" s="1" t="s">
        <v>12</v>
      </c>
      <c r="E29" s="1" t="s">
        <v>13</v>
      </c>
      <c r="F29" s="1"/>
      <c r="G29" s="6" t="s">
        <v>14</v>
      </c>
      <c r="H29" s="7">
        <v>85000</v>
      </c>
      <c r="I29" s="8">
        <v>8.4</v>
      </c>
      <c r="J29" s="1" t="s">
        <v>15</v>
      </c>
    </row>
    <row r="30" spans="1:10" x14ac:dyDescent="0.2">
      <c r="A30" s="5">
        <v>45783</v>
      </c>
      <c r="B30" s="1" t="s">
        <v>1028</v>
      </c>
      <c r="C30" s="1" t="s">
        <v>1030</v>
      </c>
      <c r="D30" s="1" t="s">
        <v>12</v>
      </c>
      <c r="E30" s="1" t="s">
        <v>13</v>
      </c>
      <c r="F30" s="1"/>
      <c r="G30" s="6" t="s">
        <v>14</v>
      </c>
      <c r="H30" s="7">
        <v>85000</v>
      </c>
      <c r="I30" s="8">
        <v>8.6</v>
      </c>
      <c r="J30" s="1" t="s">
        <v>15</v>
      </c>
    </row>
    <row r="31" spans="1:10" x14ac:dyDescent="0.2">
      <c r="A31" s="5">
        <v>45783</v>
      </c>
      <c r="B31" s="1" t="s">
        <v>1031</v>
      </c>
      <c r="C31" s="1" t="s">
        <v>384</v>
      </c>
      <c r="D31" s="1" t="s">
        <v>49</v>
      </c>
      <c r="E31" s="1" t="s">
        <v>19</v>
      </c>
      <c r="F31" s="1"/>
      <c r="G31" s="6" t="s">
        <v>23</v>
      </c>
      <c r="H31" s="7">
        <v>30000</v>
      </c>
      <c r="I31" s="8">
        <v>3.6</v>
      </c>
      <c r="J31" s="1" t="s">
        <v>15</v>
      </c>
    </row>
    <row r="32" spans="1:10" x14ac:dyDescent="0.2">
      <c r="A32" s="5">
        <v>45783</v>
      </c>
      <c r="B32" s="1" t="s">
        <v>1031</v>
      </c>
      <c r="C32" s="1" t="s">
        <v>528</v>
      </c>
      <c r="D32" s="1" t="s">
        <v>88</v>
      </c>
      <c r="E32" s="1" t="s">
        <v>13</v>
      </c>
      <c r="F32" s="1"/>
      <c r="G32" s="6" t="s">
        <v>14</v>
      </c>
      <c r="H32" s="7">
        <v>65000</v>
      </c>
      <c r="I32" s="8">
        <v>5</v>
      </c>
      <c r="J32" s="1" t="s">
        <v>15</v>
      </c>
    </row>
    <row r="33" spans="1:10" x14ac:dyDescent="0.2">
      <c r="A33" s="5">
        <v>45783</v>
      </c>
      <c r="B33" s="1" t="s">
        <v>1031</v>
      </c>
      <c r="C33" s="1" t="s">
        <v>1032</v>
      </c>
      <c r="D33" s="1" t="s">
        <v>119</v>
      </c>
      <c r="E33" s="1" t="s">
        <v>19</v>
      </c>
      <c r="F33" s="1"/>
      <c r="G33" s="6" t="s">
        <v>23</v>
      </c>
      <c r="H33" s="7">
        <v>50000</v>
      </c>
      <c r="I33" s="8">
        <v>9</v>
      </c>
      <c r="J33" s="1" t="s">
        <v>15</v>
      </c>
    </row>
    <row r="34" spans="1:10" x14ac:dyDescent="0.2">
      <c r="A34" s="5">
        <v>45783</v>
      </c>
      <c r="B34" s="1" t="s">
        <v>860</v>
      </c>
      <c r="C34" s="1" t="s">
        <v>737</v>
      </c>
      <c r="D34" s="1" t="s">
        <v>153</v>
      </c>
      <c r="E34" s="1" t="s">
        <v>78</v>
      </c>
      <c r="F34" s="1"/>
      <c r="G34" s="6" t="s">
        <v>14</v>
      </c>
      <c r="H34" s="7">
        <v>65000</v>
      </c>
      <c r="I34" s="8">
        <v>2.2999999999999998</v>
      </c>
      <c r="J34" s="1" t="s">
        <v>34</v>
      </c>
    </row>
    <row r="35" spans="1:10" x14ac:dyDescent="0.2">
      <c r="A35" s="5">
        <v>45783</v>
      </c>
      <c r="B35" s="1" t="s">
        <v>694</v>
      </c>
      <c r="C35" s="1" t="s">
        <v>695</v>
      </c>
      <c r="D35" s="1" t="s">
        <v>131</v>
      </c>
      <c r="E35" s="1" t="s">
        <v>19</v>
      </c>
      <c r="F35" s="1"/>
      <c r="G35" s="6" t="s">
        <v>14</v>
      </c>
      <c r="H35" s="7">
        <v>80000</v>
      </c>
      <c r="I35" s="8">
        <v>36.5</v>
      </c>
      <c r="J35" s="1" t="s">
        <v>15</v>
      </c>
    </row>
    <row r="36" spans="1:10" x14ac:dyDescent="0.2">
      <c r="A36" s="5">
        <v>45783</v>
      </c>
      <c r="B36" s="1" t="s">
        <v>210</v>
      </c>
      <c r="C36" s="1" t="s">
        <v>126</v>
      </c>
      <c r="D36" s="1" t="s">
        <v>165</v>
      </c>
      <c r="E36" s="1" t="s">
        <v>13</v>
      </c>
      <c r="F36" s="1"/>
      <c r="G36" s="6" t="s">
        <v>14</v>
      </c>
      <c r="H36" s="7">
        <v>80000</v>
      </c>
      <c r="I36" s="8">
        <v>7.5</v>
      </c>
      <c r="J36" s="1" t="s">
        <v>15</v>
      </c>
    </row>
    <row r="37" spans="1:10" x14ac:dyDescent="0.2">
      <c r="A37" s="5">
        <v>45783</v>
      </c>
      <c r="B37" s="1" t="s">
        <v>471</v>
      </c>
      <c r="C37" s="1" t="s">
        <v>472</v>
      </c>
      <c r="D37" s="1" t="s">
        <v>88</v>
      </c>
      <c r="E37" s="1" t="s">
        <v>13</v>
      </c>
      <c r="F37" s="1"/>
      <c r="G37" s="6" t="s">
        <v>14</v>
      </c>
      <c r="H37" s="7">
        <v>70000</v>
      </c>
      <c r="I37" s="1">
        <v>5.6</v>
      </c>
      <c r="J37" s="1" t="s">
        <v>15</v>
      </c>
    </row>
    <row r="38" spans="1:10" x14ac:dyDescent="0.2">
      <c r="A38" s="5">
        <v>45783</v>
      </c>
      <c r="B38" s="1" t="s">
        <v>1033</v>
      </c>
      <c r="C38" s="1" t="s">
        <v>173</v>
      </c>
      <c r="D38" s="1" t="s">
        <v>18</v>
      </c>
      <c r="E38" s="1" t="s">
        <v>19</v>
      </c>
      <c r="F38" s="1"/>
      <c r="G38" s="6" t="s">
        <v>14</v>
      </c>
      <c r="H38" s="7">
        <v>60000</v>
      </c>
      <c r="I38" s="8">
        <v>10</v>
      </c>
      <c r="J38" s="1" t="s">
        <v>15</v>
      </c>
    </row>
    <row r="39" spans="1:10" x14ac:dyDescent="0.2">
      <c r="A39" s="5">
        <v>45783</v>
      </c>
      <c r="B39" s="1" t="s">
        <v>1034</v>
      </c>
      <c r="C39" s="1" t="s">
        <v>1035</v>
      </c>
      <c r="D39" s="1" t="s">
        <v>64</v>
      </c>
      <c r="E39" s="1" t="s">
        <v>19</v>
      </c>
      <c r="F39" s="1"/>
      <c r="G39" s="6" t="s">
        <v>23</v>
      </c>
      <c r="H39" s="7">
        <v>80000</v>
      </c>
      <c r="I39" s="8"/>
      <c r="J39" s="1"/>
    </row>
    <row r="40" spans="1:10" x14ac:dyDescent="0.2">
      <c r="A40" s="5">
        <v>45783</v>
      </c>
      <c r="B40" s="1"/>
      <c r="C40" s="1"/>
      <c r="D40" s="1"/>
      <c r="E40" s="1" t="s">
        <v>61</v>
      </c>
      <c r="F40" s="1"/>
      <c r="G40" s="6"/>
      <c r="H40" s="7">
        <v>10000</v>
      </c>
      <c r="I40" s="8"/>
      <c r="J40" s="1"/>
    </row>
    <row r="41" spans="1:10" x14ac:dyDescent="0.2">
      <c r="A41" s="5">
        <v>45784</v>
      </c>
      <c r="B41" s="1" t="s">
        <v>1036</v>
      </c>
      <c r="C41" s="1" t="s">
        <v>1037</v>
      </c>
      <c r="D41" s="1" t="s">
        <v>26</v>
      </c>
      <c r="E41" s="1" t="s">
        <v>13</v>
      </c>
      <c r="F41" s="1"/>
      <c r="G41" s="6" t="s">
        <v>14</v>
      </c>
      <c r="H41" s="7">
        <v>100000</v>
      </c>
      <c r="I41" s="8">
        <v>4.7</v>
      </c>
      <c r="J41" s="1"/>
    </row>
    <row r="42" spans="1:10" x14ac:dyDescent="0.2">
      <c r="A42" s="5">
        <v>45784</v>
      </c>
      <c r="B42" s="1" t="s">
        <v>288</v>
      </c>
      <c r="C42" s="1" t="s">
        <v>289</v>
      </c>
      <c r="D42" s="1" t="s">
        <v>64</v>
      </c>
      <c r="E42" s="1" t="s">
        <v>13</v>
      </c>
      <c r="F42" s="1"/>
      <c r="G42" s="6" t="s">
        <v>14</v>
      </c>
      <c r="H42" s="7">
        <v>60000</v>
      </c>
      <c r="I42" s="8">
        <v>16.8</v>
      </c>
      <c r="J42" s="1"/>
    </row>
    <row r="43" spans="1:10" x14ac:dyDescent="0.2">
      <c r="A43" s="5">
        <v>45784</v>
      </c>
      <c r="B43" s="1" t="s">
        <v>1038</v>
      </c>
      <c r="C43" s="1" t="s">
        <v>767</v>
      </c>
      <c r="D43" s="1" t="s">
        <v>88</v>
      </c>
      <c r="E43" s="1" t="s">
        <v>94</v>
      </c>
      <c r="F43" s="1"/>
      <c r="G43" s="6" t="s">
        <v>14</v>
      </c>
      <c r="H43" s="7">
        <v>70000</v>
      </c>
      <c r="I43" s="8"/>
      <c r="J43" s="1"/>
    </row>
    <row r="44" spans="1:10" x14ac:dyDescent="0.2">
      <c r="A44" s="5">
        <v>45784</v>
      </c>
      <c r="B44" s="1" t="s">
        <v>1038</v>
      </c>
      <c r="C44" s="1" t="s">
        <v>440</v>
      </c>
      <c r="D44" s="1" t="s">
        <v>88</v>
      </c>
      <c r="E44" s="1" t="s">
        <v>94</v>
      </c>
      <c r="F44" s="1"/>
      <c r="G44" s="6" t="s">
        <v>14</v>
      </c>
      <c r="H44" s="7">
        <v>70000</v>
      </c>
      <c r="I44" s="8"/>
      <c r="J44" s="1"/>
    </row>
    <row r="45" spans="1:10" x14ac:dyDescent="0.2">
      <c r="A45" s="5">
        <v>45784</v>
      </c>
      <c r="B45" s="1" t="s">
        <v>1039</v>
      </c>
      <c r="C45" s="1" t="s">
        <v>180</v>
      </c>
      <c r="D45" s="1" t="s">
        <v>18</v>
      </c>
      <c r="E45" s="1" t="s">
        <v>19</v>
      </c>
      <c r="F45" s="1"/>
      <c r="G45" s="6" t="s">
        <v>14</v>
      </c>
      <c r="H45" s="7">
        <v>70000</v>
      </c>
      <c r="I45" s="8"/>
      <c r="J45" s="1"/>
    </row>
    <row r="46" spans="1:10" x14ac:dyDescent="0.2">
      <c r="A46" s="5">
        <v>45784</v>
      </c>
      <c r="B46" s="1" t="s">
        <v>717</v>
      </c>
      <c r="C46" s="1" t="s">
        <v>433</v>
      </c>
      <c r="D46" s="1" t="s">
        <v>119</v>
      </c>
      <c r="E46" s="1" t="s">
        <v>19</v>
      </c>
      <c r="F46" s="1"/>
      <c r="G46" s="6" t="s">
        <v>23</v>
      </c>
      <c r="H46" s="7">
        <v>55000</v>
      </c>
      <c r="I46" s="8"/>
      <c r="J46" s="1"/>
    </row>
    <row r="47" spans="1:10" x14ac:dyDescent="0.2">
      <c r="A47" s="5">
        <v>45784</v>
      </c>
      <c r="B47" s="1" t="s">
        <v>781</v>
      </c>
      <c r="C47" s="1" t="s">
        <v>868</v>
      </c>
      <c r="D47" s="1" t="s">
        <v>340</v>
      </c>
      <c r="E47" s="1" t="s">
        <v>19</v>
      </c>
      <c r="F47" s="1"/>
      <c r="G47" s="6" t="s">
        <v>14</v>
      </c>
      <c r="H47" s="7">
        <v>30000</v>
      </c>
      <c r="I47" s="8">
        <v>1.8</v>
      </c>
      <c r="J47" s="1"/>
    </row>
    <row r="48" spans="1:10" x14ac:dyDescent="0.2">
      <c r="A48" s="5">
        <v>45784</v>
      </c>
      <c r="B48" s="1" t="s">
        <v>1040</v>
      </c>
      <c r="C48" s="1" t="s">
        <v>1041</v>
      </c>
      <c r="D48" s="1" t="s">
        <v>119</v>
      </c>
      <c r="E48" s="1" t="s">
        <v>19</v>
      </c>
      <c r="F48" s="1"/>
      <c r="G48" s="6" t="s">
        <v>23</v>
      </c>
      <c r="H48" s="7">
        <v>60000</v>
      </c>
      <c r="I48" s="8">
        <v>13.2</v>
      </c>
      <c r="J48" s="1"/>
    </row>
    <row r="49" spans="1:10" x14ac:dyDescent="0.2">
      <c r="A49" s="5">
        <v>45784</v>
      </c>
      <c r="B49" s="1" t="s">
        <v>1042</v>
      </c>
      <c r="C49" s="1" t="s">
        <v>1043</v>
      </c>
      <c r="D49" s="1" t="s">
        <v>119</v>
      </c>
      <c r="E49" s="1" t="s">
        <v>19</v>
      </c>
      <c r="F49" s="1"/>
      <c r="G49" s="6" t="s">
        <v>14</v>
      </c>
      <c r="H49" s="7">
        <v>60000</v>
      </c>
      <c r="I49" s="8">
        <v>6</v>
      </c>
      <c r="J49" s="1"/>
    </row>
    <row r="50" spans="1:10" x14ac:dyDescent="0.2">
      <c r="A50" s="5">
        <v>45784</v>
      </c>
      <c r="B50" s="1"/>
      <c r="C50" s="1"/>
      <c r="D50" s="1" t="s">
        <v>49</v>
      </c>
      <c r="E50" s="1" t="s">
        <v>61</v>
      </c>
      <c r="F50" s="1"/>
      <c r="G50" s="6" t="s">
        <v>23</v>
      </c>
      <c r="H50" s="7">
        <v>10000</v>
      </c>
      <c r="I50" s="8"/>
      <c r="J50" s="1"/>
    </row>
    <row r="51" spans="1:10" x14ac:dyDescent="0.2">
      <c r="A51" s="5">
        <v>45784</v>
      </c>
      <c r="B51" s="1"/>
      <c r="C51" s="1"/>
      <c r="D51" s="1" t="s">
        <v>49</v>
      </c>
      <c r="E51" s="1" t="s">
        <v>61</v>
      </c>
      <c r="F51" s="1" t="s">
        <v>1044</v>
      </c>
      <c r="G51" s="6" t="s">
        <v>23</v>
      </c>
      <c r="H51" s="7">
        <v>15000</v>
      </c>
      <c r="I51" s="8"/>
      <c r="J51" s="1"/>
    </row>
    <row r="52" spans="1:10" x14ac:dyDescent="0.2">
      <c r="A52" s="5">
        <v>45785</v>
      </c>
      <c r="B52" s="1" t="s">
        <v>1045</v>
      </c>
      <c r="C52" s="1" t="s">
        <v>255</v>
      </c>
      <c r="D52" s="1" t="s">
        <v>26</v>
      </c>
      <c r="E52" s="1" t="s">
        <v>13</v>
      </c>
      <c r="F52" s="1"/>
      <c r="G52" s="6" t="s">
        <v>14</v>
      </c>
      <c r="H52" s="7">
        <v>90000</v>
      </c>
      <c r="I52" s="8"/>
      <c r="J52" s="1"/>
    </row>
    <row r="53" spans="1:10" x14ac:dyDescent="0.2">
      <c r="A53" s="5">
        <v>45785</v>
      </c>
      <c r="B53" s="1" t="s">
        <v>1046</v>
      </c>
      <c r="C53" s="1" t="s">
        <v>1047</v>
      </c>
      <c r="D53" s="1" t="s">
        <v>64</v>
      </c>
      <c r="E53" s="1" t="s">
        <v>19</v>
      </c>
      <c r="F53" s="1"/>
      <c r="G53" s="6" t="s">
        <v>23</v>
      </c>
      <c r="H53" s="7">
        <v>60000</v>
      </c>
      <c r="I53" s="8"/>
      <c r="J53" s="1"/>
    </row>
    <row r="54" spans="1:10" x14ac:dyDescent="0.2">
      <c r="A54" s="5">
        <v>45785</v>
      </c>
      <c r="B54" s="1" t="s">
        <v>1048</v>
      </c>
      <c r="C54" s="1" t="s">
        <v>382</v>
      </c>
      <c r="D54" s="1" t="s">
        <v>32</v>
      </c>
      <c r="E54" s="1"/>
      <c r="F54" s="1"/>
      <c r="G54" s="6" t="s">
        <v>14</v>
      </c>
      <c r="H54" s="7">
        <v>75000</v>
      </c>
      <c r="I54" s="8"/>
      <c r="J54" s="1" t="s">
        <v>15</v>
      </c>
    </row>
    <row r="55" spans="1:10" x14ac:dyDescent="0.2">
      <c r="A55" s="5">
        <v>45785</v>
      </c>
      <c r="B55" s="1" t="s">
        <v>1049</v>
      </c>
      <c r="C55" s="1" t="s">
        <v>201</v>
      </c>
      <c r="D55" s="1" t="s">
        <v>88</v>
      </c>
      <c r="E55" s="1" t="s">
        <v>94</v>
      </c>
      <c r="F55" s="1"/>
      <c r="G55" s="6" t="s">
        <v>14</v>
      </c>
      <c r="H55" s="7">
        <v>90000</v>
      </c>
      <c r="I55" s="8">
        <v>8.1999999999999993</v>
      </c>
      <c r="J55" s="1" t="s">
        <v>15</v>
      </c>
    </row>
    <row r="56" spans="1:10" x14ac:dyDescent="0.2">
      <c r="A56" s="5">
        <v>45785</v>
      </c>
      <c r="B56" s="1" t="s">
        <v>1050</v>
      </c>
      <c r="C56" s="1" t="s">
        <v>859</v>
      </c>
      <c r="D56" s="1" t="s">
        <v>64</v>
      </c>
      <c r="E56" s="1" t="s">
        <v>19</v>
      </c>
      <c r="F56" s="1"/>
      <c r="G56" s="6" t="s">
        <v>23</v>
      </c>
      <c r="H56" s="7">
        <v>60000</v>
      </c>
      <c r="I56" s="8">
        <v>13</v>
      </c>
      <c r="J56" s="1" t="s">
        <v>15</v>
      </c>
    </row>
    <row r="57" spans="1:10" x14ac:dyDescent="0.2">
      <c r="A57" s="5">
        <v>45785</v>
      </c>
      <c r="B57" s="1" t="s">
        <v>758</v>
      </c>
      <c r="C57" s="1" t="s">
        <v>275</v>
      </c>
      <c r="D57" s="1" t="s">
        <v>26</v>
      </c>
      <c r="E57" s="1" t="s">
        <v>13</v>
      </c>
      <c r="F57" s="1"/>
      <c r="G57" s="6" t="s">
        <v>14</v>
      </c>
      <c r="H57" s="7">
        <v>70000</v>
      </c>
      <c r="I57" s="8">
        <v>5.5</v>
      </c>
      <c r="J57" s="1" t="s">
        <v>15</v>
      </c>
    </row>
    <row r="58" spans="1:10" x14ac:dyDescent="0.2">
      <c r="A58" s="5">
        <v>45785</v>
      </c>
      <c r="B58" s="1" t="s">
        <v>1051</v>
      </c>
      <c r="C58" s="1" t="s">
        <v>1052</v>
      </c>
      <c r="D58" s="1" t="s">
        <v>64</v>
      </c>
      <c r="E58" s="1" t="s">
        <v>13</v>
      </c>
      <c r="F58" s="1"/>
      <c r="G58" s="6" t="s">
        <v>14</v>
      </c>
      <c r="H58" s="7">
        <v>85000</v>
      </c>
      <c r="I58" s="8">
        <v>40</v>
      </c>
      <c r="J58" s="1" t="s">
        <v>15</v>
      </c>
    </row>
    <row r="59" spans="1:10" x14ac:dyDescent="0.2">
      <c r="A59" s="5">
        <v>45785</v>
      </c>
      <c r="B59" s="1"/>
      <c r="C59" s="1"/>
      <c r="D59" s="1"/>
      <c r="E59" s="1" t="s">
        <v>61</v>
      </c>
      <c r="F59" s="1"/>
      <c r="G59" s="6" t="s">
        <v>23</v>
      </c>
      <c r="H59" s="7">
        <v>10000</v>
      </c>
      <c r="I59" s="8"/>
      <c r="J59" s="1"/>
    </row>
    <row r="60" spans="1:10" x14ac:dyDescent="0.2">
      <c r="A60" s="5">
        <v>45786</v>
      </c>
      <c r="B60" s="1" t="s">
        <v>720</v>
      </c>
      <c r="C60" s="1" t="s">
        <v>373</v>
      </c>
      <c r="D60" s="1" t="s">
        <v>131</v>
      </c>
      <c r="E60" s="1" t="s">
        <v>19</v>
      </c>
      <c r="F60" s="1"/>
      <c r="G60" s="6" t="s">
        <v>14</v>
      </c>
      <c r="H60" s="7">
        <v>60000</v>
      </c>
      <c r="I60" s="8">
        <v>25.7</v>
      </c>
      <c r="J60" s="1" t="s">
        <v>15</v>
      </c>
    </row>
    <row r="61" spans="1:10" x14ac:dyDescent="0.2">
      <c r="A61" s="5">
        <v>45786</v>
      </c>
      <c r="B61" s="1" t="s">
        <v>720</v>
      </c>
      <c r="C61" s="1" t="s">
        <v>721</v>
      </c>
      <c r="D61" s="1" t="s">
        <v>131</v>
      </c>
      <c r="E61" s="1" t="s">
        <v>19</v>
      </c>
      <c r="F61" s="1"/>
      <c r="G61" s="6" t="s">
        <v>14</v>
      </c>
      <c r="H61" s="7">
        <v>90000</v>
      </c>
      <c r="I61" s="8">
        <v>40.200000000000003</v>
      </c>
      <c r="J61" s="1" t="s">
        <v>15</v>
      </c>
    </row>
    <row r="62" spans="1:10" x14ac:dyDescent="0.2">
      <c r="A62" s="5">
        <v>45786</v>
      </c>
      <c r="B62" s="1" t="s">
        <v>1034</v>
      </c>
      <c r="C62" s="1" t="s">
        <v>1053</v>
      </c>
      <c r="D62" s="1" t="s">
        <v>64</v>
      </c>
      <c r="E62" s="1" t="s">
        <v>13</v>
      </c>
      <c r="F62" s="1"/>
      <c r="G62" s="6" t="s">
        <v>14</v>
      </c>
      <c r="H62" s="7">
        <v>80000</v>
      </c>
      <c r="I62" s="8">
        <v>7.9</v>
      </c>
      <c r="J62" s="1" t="s">
        <v>15</v>
      </c>
    </row>
    <row r="63" spans="1:10" x14ac:dyDescent="0.2">
      <c r="A63" s="5">
        <v>45786</v>
      </c>
      <c r="B63" s="1" t="s">
        <v>1054</v>
      </c>
      <c r="C63" s="1" t="s">
        <v>31</v>
      </c>
      <c r="D63" s="1" t="s">
        <v>32</v>
      </c>
      <c r="E63" s="1" t="s">
        <v>19</v>
      </c>
      <c r="F63" s="1"/>
      <c r="G63" s="6" t="s">
        <v>14</v>
      </c>
      <c r="H63" s="7">
        <v>70000</v>
      </c>
      <c r="I63" s="8">
        <v>3.7</v>
      </c>
      <c r="J63" s="1" t="s">
        <v>34</v>
      </c>
    </row>
    <row r="64" spans="1:10" x14ac:dyDescent="0.2">
      <c r="A64" s="5">
        <v>45786</v>
      </c>
      <c r="B64" s="1" t="s">
        <v>934</v>
      </c>
      <c r="C64" s="1" t="s">
        <v>31</v>
      </c>
      <c r="D64" s="1" t="s">
        <v>88</v>
      </c>
      <c r="E64" s="1" t="s">
        <v>13</v>
      </c>
      <c r="F64" s="1"/>
      <c r="G64" s="6" t="s">
        <v>14</v>
      </c>
      <c r="H64" s="7">
        <v>65000</v>
      </c>
      <c r="I64" s="8">
        <v>2.2999999999999998</v>
      </c>
      <c r="J64" s="1" t="s">
        <v>15</v>
      </c>
    </row>
    <row r="65" spans="1:10" x14ac:dyDescent="0.2">
      <c r="A65" s="5">
        <v>45786</v>
      </c>
      <c r="B65" s="1" t="s">
        <v>368</v>
      </c>
      <c r="C65" s="1" t="s">
        <v>255</v>
      </c>
      <c r="D65" s="1" t="s">
        <v>49</v>
      </c>
      <c r="E65" s="1" t="s">
        <v>19</v>
      </c>
      <c r="F65" s="1"/>
      <c r="G65" s="6" t="s">
        <v>23</v>
      </c>
      <c r="H65" s="7">
        <v>30000</v>
      </c>
      <c r="I65" s="8">
        <v>5.6</v>
      </c>
      <c r="J65" s="1" t="s">
        <v>15</v>
      </c>
    </row>
    <row r="66" spans="1:10" x14ac:dyDescent="0.2">
      <c r="A66" s="5">
        <v>45786</v>
      </c>
      <c r="B66" s="1" t="s">
        <v>395</v>
      </c>
      <c r="C66" s="1" t="s">
        <v>396</v>
      </c>
      <c r="D66" s="1" t="s">
        <v>32</v>
      </c>
      <c r="E66" s="1" t="s">
        <v>19</v>
      </c>
      <c r="F66" s="1"/>
      <c r="G66" s="6" t="s">
        <v>14</v>
      </c>
      <c r="H66" s="7">
        <v>120000</v>
      </c>
      <c r="I66" s="8"/>
      <c r="J66" s="1"/>
    </row>
    <row r="67" spans="1:10" x14ac:dyDescent="0.2">
      <c r="A67" s="5">
        <v>45786</v>
      </c>
      <c r="B67" s="1" t="s">
        <v>397</v>
      </c>
      <c r="C67" s="1" t="s">
        <v>398</v>
      </c>
      <c r="D67" s="1" t="s">
        <v>112</v>
      </c>
      <c r="E67" s="1" t="s">
        <v>19</v>
      </c>
      <c r="F67" s="1"/>
      <c r="G67" s="6" t="s">
        <v>14</v>
      </c>
      <c r="H67" s="7" t="s">
        <v>114</v>
      </c>
      <c r="I67" s="8"/>
      <c r="J67" s="1"/>
    </row>
    <row r="68" spans="1:10" x14ac:dyDescent="0.2">
      <c r="A68" s="5">
        <v>45787</v>
      </c>
      <c r="B68" s="1" t="s">
        <v>610</v>
      </c>
      <c r="C68" s="1" t="s">
        <v>189</v>
      </c>
      <c r="D68" s="1" t="s">
        <v>32</v>
      </c>
      <c r="E68" s="1" t="s">
        <v>19</v>
      </c>
      <c r="F68" s="1"/>
      <c r="G68" s="6" t="s">
        <v>14</v>
      </c>
      <c r="H68" s="7">
        <v>50000</v>
      </c>
      <c r="I68" s="8">
        <v>4.3</v>
      </c>
      <c r="J68" s="1"/>
    </row>
    <row r="69" spans="1:10" x14ac:dyDescent="0.2">
      <c r="A69" s="5">
        <v>45787</v>
      </c>
      <c r="B69" s="1" t="s">
        <v>610</v>
      </c>
      <c r="C69" s="1" t="s">
        <v>613</v>
      </c>
      <c r="D69" s="1" t="s">
        <v>32</v>
      </c>
      <c r="E69" s="1" t="s">
        <v>19</v>
      </c>
      <c r="F69" s="1"/>
      <c r="G69" s="6" t="s">
        <v>14</v>
      </c>
      <c r="H69" s="7">
        <v>45000</v>
      </c>
      <c r="I69" s="8">
        <v>3.8</v>
      </c>
      <c r="J69" s="1"/>
    </row>
    <row r="70" spans="1:10" x14ac:dyDescent="0.2">
      <c r="A70" s="5">
        <v>45787</v>
      </c>
      <c r="B70" s="1" t="s">
        <v>610</v>
      </c>
      <c r="C70" s="1" t="s">
        <v>187</v>
      </c>
      <c r="D70" s="1" t="s">
        <v>32</v>
      </c>
      <c r="E70" s="1" t="s">
        <v>19</v>
      </c>
      <c r="F70" s="1"/>
      <c r="G70" s="6" t="s">
        <v>14</v>
      </c>
      <c r="H70" s="7">
        <v>45000</v>
      </c>
      <c r="I70" s="8">
        <v>3.1</v>
      </c>
      <c r="J70" s="1"/>
    </row>
    <row r="71" spans="1:10" x14ac:dyDescent="0.2">
      <c r="A71" s="5">
        <v>45787</v>
      </c>
      <c r="B71" s="1" t="s">
        <v>610</v>
      </c>
      <c r="C71" s="1" t="s">
        <v>188</v>
      </c>
      <c r="D71" s="1" t="s">
        <v>32</v>
      </c>
      <c r="E71" s="1" t="s">
        <v>19</v>
      </c>
      <c r="F71" s="1"/>
      <c r="G71" s="6" t="s">
        <v>14</v>
      </c>
      <c r="H71" s="7">
        <v>60000</v>
      </c>
      <c r="I71" s="8">
        <v>6.8</v>
      </c>
      <c r="J71" s="1"/>
    </row>
    <row r="72" spans="1:10" x14ac:dyDescent="0.2">
      <c r="A72" s="5">
        <v>45787</v>
      </c>
      <c r="B72" s="1" t="s">
        <v>1055</v>
      </c>
      <c r="C72" s="1" t="s">
        <v>1056</v>
      </c>
      <c r="D72" s="1" t="s">
        <v>131</v>
      </c>
      <c r="E72" s="1" t="s">
        <v>19</v>
      </c>
      <c r="F72" s="1"/>
      <c r="G72" s="6" t="s">
        <v>14</v>
      </c>
      <c r="H72" s="7">
        <v>70000</v>
      </c>
      <c r="I72" s="1">
        <v>30</v>
      </c>
      <c r="J72" s="1"/>
    </row>
    <row r="73" spans="1:10" x14ac:dyDescent="0.2">
      <c r="A73" s="5">
        <v>45787</v>
      </c>
      <c r="B73" s="1" t="s">
        <v>230</v>
      </c>
      <c r="C73" s="1" t="s">
        <v>808</v>
      </c>
      <c r="D73" s="1" t="s">
        <v>64</v>
      </c>
      <c r="E73" s="1" t="s">
        <v>19</v>
      </c>
      <c r="F73" s="1"/>
      <c r="G73" s="6" t="s">
        <v>14</v>
      </c>
      <c r="H73" s="7">
        <v>50000</v>
      </c>
      <c r="I73" s="8">
        <v>12.5</v>
      </c>
      <c r="J73" s="1"/>
    </row>
    <row r="74" spans="1:10" x14ac:dyDescent="0.2">
      <c r="A74" s="5">
        <v>45787</v>
      </c>
      <c r="B74" s="1" t="s">
        <v>115</v>
      </c>
      <c r="C74" s="1" t="s">
        <v>257</v>
      </c>
      <c r="D74" s="1" t="s">
        <v>32</v>
      </c>
      <c r="E74" s="1" t="s">
        <v>19</v>
      </c>
      <c r="F74" s="1"/>
      <c r="G74" s="6" t="s">
        <v>14</v>
      </c>
      <c r="H74" s="7" t="s">
        <v>114</v>
      </c>
      <c r="I74" s="1"/>
      <c r="J74" s="1"/>
    </row>
    <row r="75" spans="1:10" x14ac:dyDescent="0.2">
      <c r="A75" s="5">
        <v>45787</v>
      </c>
      <c r="B75" s="1" t="s">
        <v>1057</v>
      </c>
      <c r="C75" s="1" t="s">
        <v>1058</v>
      </c>
      <c r="D75" s="1" t="s">
        <v>64</v>
      </c>
      <c r="E75" s="1" t="s">
        <v>19</v>
      </c>
      <c r="F75" s="1"/>
      <c r="G75" s="6" t="s">
        <v>23</v>
      </c>
      <c r="H75" s="7">
        <v>50000</v>
      </c>
      <c r="I75" s="1">
        <v>11</v>
      </c>
      <c r="J75" s="1"/>
    </row>
    <row r="76" spans="1:10" x14ac:dyDescent="0.2">
      <c r="A76" s="5">
        <v>45787</v>
      </c>
      <c r="B76" s="1" t="s">
        <v>132</v>
      </c>
      <c r="C76" s="1" t="s">
        <v>36</v>
      </c>
      <c r="D76" s="1" t="s">
        <v>18</v>
      </c>
      <c r="E76" s="1" t="s">
        <v>19</v>
      </c>
      <c r="F76" s="1"/>
      <c r="G76" s="6" t="s">
        <v>14</v>
      </c>
      <c r="H76" s="7" t="s">
        <v>114</v>
      </c>
      <c r="I76" s="8"/>
      <c r="J76" s="1"/>
    </row>
    <row r="77" spans="1:10" x14ac:dyDescent="0.2">
      <c r="A77" s="5">
        <v>45787</v>
      </c>
      <c r="B77" s="1" t="s">
        <v>129</v>
      </c>
      <c r="C77" s="1" t="s">
        <v>130</v>
      </c>
      <c r="D77" s="1" t="s">
        <v>131</v>
      </c>
      <c r="E77" s="1" t="s">
        <v>13</v>
      </c>
      <c r="F77" s="1"/>
      <c r="G77" s="6" t="s">
        <v>14</v>
      </c>
      <c r="H77" s="7">
        <v>85000</v>
      </c>
      <c r="I77" s="8">
        <v>41.9</v>
      </c>
      <c r="J77" s="1"/>
    </row>
    <row r="78" spans="1:10" x14ac:dyDescent="0.2">
      <c r="A78" s="5">
        <v>45787</v>
      </c>
      <c r="B78" s="1" t="s">
        <v>1001</v>
      </c>
      <c r="C78" s="1" t="s">
        <v>370</v>
      </c>
      <c r="D78" s="1" t="s">
        <v>371</v>
      </c>
      <c r="E78" s="1" t="s">
        <v>19</v>
      </c>
      <c r="F78" s="1"/>
      <c r="G78" s="6" t="s">
        <v>23</v>
      </c>
      <c r="H78" s="7">
        <v>70000</v>
      </c>
      <c r="I78" s="8">
        <v>26</v>
      </c>
      <c r="J78" s="1"/>
    </row>
    <row r="79" spans="1:10" x14ac:dyDescent="0.2">
      <c r="A79" s="5">
        <v>45787</v>
      </c>
      <c r="B79" s="1" t="s">
        <v>722</v>
      </c>
      <c r="C79" s="1" t="s">
        <v>130</v>
      </c>
      <c r="D79" s="1" t="s">
        <v>45</v>
      </c>
      <c r="E79" s="1" t="s">
        <v>19</v>
      </c>
      <c r="F79" s="1"/>
      <c r="G79" s="6" t="s">
        <v>23</v>
      </c>
      <c r="H79" s="7">
        <v>55000</v>
      </c>
      <c r="I79" s="8">
        <v>17</v>
      </c>
      <c r="J79" s="1"/>
    </row>
    <row r="80" spans="1:10" x14ac:dyDescent="0.2">
      <c r="A80" s="5">
        <v>45787</v>
      </c>
      <c r="B80" s="1" t="s">
        <v>1059</v>
      </c>
      <c r="C80" s="1" t="s">
        <v>255</v>
      </c>
      <c r="D80" s="1" t="s">
        <v>26</v>
      </c>
      <c r="E80" s="1" t="s">
        <v>13</v>
      </c>
      <c r="F80" s="1"/>
      <c r="G80" s="6" t="s">
        <v>14</v>
      </c>
      <c r="H80" s="7">
        <v>70000</v>
      </c>
      <c r="I80" s="8">
        <v>2.1</v>
      </c>
      <c r="J80" s="1"/>
    </row>
    <row r="81" spans="1:10" x14ac:dyDescent="0.2">
      <c r="A81" s="5">
        <v>45787</v>
      </c>
      <c r="B81" s="1" t="s">
        <v>1060</v>
      </c>
      <c r="C81" s="1" t="s">
        <v>742</v>
      </c>
      <c r="D81" s="1" t="s">
        <v>196</v>
      </c>
      <c r="E81" s="1" t="s">
        <v>94</v>
      </c>
      <c r="F81" s="1"/>
      <c r="G81" s="6" t="s">
        <v>14</v>
      </c>
      <c r="H81" s="7">
        <v>55000</v>
      </c>
      <c r="I81" s="8">
        <v>6.8</v>
      </c>
      <c r="J81" s="1"/>
    </row>
    <row r="82" spans="1:10" x14ac:dyDescent="0.2">
      <c r="A82" s="5">
        <v>45789</v>
      </c>
      <c r="B82" s="1" t="s">
        <v>1061</v>
      </c>
      <c r="C82" s="1" t="s">
        <v>1062</v>
      </c>
      <c r="D82" s="1" t="s">
        <v>18</v>
      </c>
      <c r="E82" s="1" t="s">
        <v>13</v>
      </c>
      <c r="F82" s="1"/>
      <c r="G82" s="6" t="s">
        <v>14</v>
      </c>
      <c r="H82" s="7">
        <v>95000</v>
      </c>
      <c r="I82" s="8">
        <v>14.2</v>
      </c>
      <c r="J82" s="1"/>
    </row>
    <row r="83" spans="1:10" x14ac:dyDescent="0.2">
      <c r="A83" s="5">
        <v>45789</v>
      </c>
      <c r="B83" s="1" t="s">
        <v>67</v>
      </c>
      <c r="C83" s="1" t="s">
        <v>68</v>
      </c>
      <c r="D83" s="1" t="s">
        <v>26</v>
      </c>
      <c r="E83" s="1" t="s">
        <v>13</v>
      </c>
      <c r="F83" s="1"/>
      <c r="G83" s="6" t="s">
        <v>14</v>
      </c>
      <c r="H83" s="7">
        <v>85000</v>
      </c>
      <c r="I83" s="8">
        <v>5.7</v>
      </c>
      <c r="J83" s="1"/>
    </row>
    <row r="84" spans="1:10" x14ac:dyDescent="0.2">
      <c r="A84" s="5">
        <v>45789</v>
      </c>
      <c r="B84" s="1" t="s">
        <v>1063</v>
      </c>
      <c r="C84" s="1" t="s">
        <v>535</v>
      </c>
      <c r="D84" s="1" t="s">
        <v>119</v>
      </c>
      <c r="E84" s="1" t="s">
        <v>19</v>
      </c>
      <c r="F84" s="1"/>
      <c r="G84" s="6" t="s">
        <v>23</v>
      </c>
      <c r="H84" s="7">
        <v>55000</v>
      </c>
      <c r="I84" s="8">
        <v>12.4</v>
      </c>
      <c r="J84" s="1"/>
    </row>
    <row r="85" spans="1:10" x14ac:dyDescent="0.2">
      <c r="A85" s="5">
        <v>45789</v>
      </c>
      <c r="B85" s="1" t="s">
        <v>1064</v>
      </c>
      <c r="C85" s="1" t="s">
        <v>450</v>
      </c>
      <c r="D85" s="1" t="s">
        <v>26</v>
      </c>
      <c r="E85" s="1" t="s">
        <v>13</v>
      </c>
      <c r="F85" s="1"/>
      <c r="G85" s="6" t="s">
        <v>14</v>
      </c>
      <c r="H85" s="7">
        <v>90000</v>
      </c>
      <c r="I85" s="8">
        <v>5.4</v>
      </c>
      <c r="J85" s="1"/>
    </row>
    <row r="86" spans="1:10" x14ac:dyDescent="0.2">
      <c r="A86" s="5">
        <v>45789</v>
      </c>
      <c r="B86" s="1" t="s">
        <v>894</v>
      </c>
      <c r="C86" s="1" t="s">
        <v>895</v>
      </c>
      <c r="D86" s="1" t="s">
        <v>32</v>
      </c>
      <c r="E86" s="1" t="s">
        <v>19</v>
      </c>
      <c r="F86" s="1"/>
      <c r="G86" s="6" t="s">
        <v>14</v>
      </c>
      <c r="H86" s="7">
        <v>60000</v>
      </c>
      <c r="I86" s="8">
        <v>4.0999999999999996</v>
      </c>
      <c r="J86" s="1"/>
    </row>
    <row r="87" spans="1:10" x14ac:dyDescent="0.2">
      <c r="A87" s="5">
        <v>45789</v>
      </c>
      <c r="B87" s="1" t="s">
        <v>1065</v>
      </c>
      <c r="C87" s="1" t="s">
        <v>17</v>
      </c>
      <c r="D87" s="1" t="s">
        <v>18</v>
      </c>
      <c r="E87" s="1" t="s">
        <v>13</v>
      </c>
      <c r="F87" s="1"/>
      <c r="G87" s="6" t="s">
        <v>14</v>
      </c>
      <c r="H87" s="7">
        <v>70000</v>
      </c>
      <c r="I87" s="8">
        <v>15</v>
      </c>
      <c r="J87" s="1"/>
    </row>
    <row r="88" spans="1:10" x14ac:dyDescent="0.2">
      <c r="A88" s="5">
        <v>45789</v>
      </c>
      <c r="B88" s="1" t="s">
        <v>841</v>
      </c>
      <c r="C88" s="1" t="s">
        <v>842</v>
      </c>
      <c r="D88" s="1" t="s">
        <v>119</v>
      </c>
      <c r="E88" s="1" t="s">
        <v>19</v>
      </c>
      <c r="F88" s="1"/>
      <c r="G88" s="6" t="s">
        <v>14</v>
      </c>
      <c r="H88" s="7">
        <v>50000</v>
      </c>
      <c r="I88" s="8">
        <v>9</v>
      </c>
      <c r="J88" s="1"/>
    </row>
    <row r="89" spans="1:10" x14ac:dyDescent="0.2">
      <c r="A89" s="5">
        <v>45789</v>
      </c>
      <c r="B89" s="1" t="s">
        <v>1066</v>
      </c>
      <c r="C89" s="1" t="s">
        <v>1067</v>
      </c>
      <c r="D89" s="1" t="s">
        <v>88</v>
      </c>
      <c r="E89" s="1" t="s">
        <v>13</v>
      </c>
      <c r="F89" s="1"/>
      <c r="G89" s="6" t="s">
        <v>14</v>
      </c>
      <c r="H89" s="7">
        <v>85000</v>
      </c>
      <c r="I89" s="8">
        <v>4.4000000000000004</v>
      </c>
      <c r="J89" s="1"/>
    </row>
    <row r="90" spans="1:10" x14ac:dyDescent="0.2">
      <c r="A90" s="5">
        <v>45789</v>
      </c>
      <c r="B90" s="1" t="s">
        <v>1068</v>
      </c>
      <c r="C90" s="1" t="s">
        <v>1069</v>
      </c>
      <c r="D90" s="1" t="s">
        <v>32</v>
      </c>
      <c r="E90" s="1" t="s">
        <v>13</v>
      </c>
      <c r="F90" s="1"/>
      <c r="G90" s="6" t="s">
        <v>14</v>
      </c>
      <c r="H90" s="7">
        <v>70000</v>
      </c>
      <c r="I90" s="8">
        <v>9.6</v>
      </c>
      <c r="J90" s="1"/>
    </row>
    <row r="91" spans="1:10" x14ac:dyDescent="0.2">
      <c r="A91" s="5">
        <v>45790</v>
      </c>
      <c r="B91" s="1" t="s">
        <v>850</v>
      </c>
      <c r="C91" s="1" t="s">
        <v>663</v>
      </c>
      <c r="D91" s="1" t="s">
        <v>49</v>
      </c>
      <c r="E91" s="1" t="s">
        <v>19</v>
      </c>
      <c r="F91" s="1"/>
      <c r="G91" s="6" t="s">
        <v>23</v>
      </c>
      <c r="H91" s="7">
        <v>25000</v>
      </c>
      <c r="I91" s="8">
        <v>3</v>
      </c>
      <c r="J91" s="1"/>
    </row>
    <row r="92" spans="1:10" x14ac:dyDescent="0.2">
      <c r="A92" s="5">
        <v>45790</v>
      </c>
      <c r="B92" s="1" t="s">
        <v>576</v>
      </c>
      <c r="C92" s="1" t="s">
        <v>63</v>
      </c>
      <c r="D92" s="1" t="s">
        <v>49</v>
      </c>
      <c r="E92" s="1" t="s">
        <v>19</v>
      </c>
      <c r="F92" s="1"/>
      <c r="G92" s="6" t="s">
        <v>23</v>
      </c>
      <c r="H92" s="7">
        <v>25000</v>
      </c>
      <c r="I92" s="8">
        <v>3.1</v>
      </c>
      <c r="J92" s="1"/>
    </row>
    <row r="93" spans="1:10" x14ac:dyDescent="0.2">
      <c r="A93" s="5">
        <v>45790</v>
      </c>
      <c r="B93" s="1" t="s">
        <v>1070</v>
      </c>
      <c r="C93" s="1" t="s">
        <v>1071</v>
      </c>
      <c r="D93" s="1" t="s">
        <v>340</v>
      </c>
      <c r="E93" s="1" t="s">
        <v>19</v>
      </c>
      <c r="F93" s="1"/>
      <c r="G93" s="6" t="s">
        <v>23</v>
      </c>
      <c r="H93" s="7">
        <v>30000</v>
      </c>
      <c r="I93" s="8">
        <v>3.6</v>
      </c>
      <c r="J93" s="1"/>
    </row>
    <row r="94" spans="1:10" x14ac:dyDescent="0.2">
      <c r="A94" s="5">
        <v>45790</v>
      </c>
      <c r="B94" s="1" t="s">
        <v>470</v>
      </c>
      <c r="C94" s="1" t="s">
        <v>303</v>
      </c>
      <c r="D94" s="1" t="s">
        <v>101</v>
      </c>
      <c r="E94" s="1" t="s">
        <v>13</v>
      </c>
      <c r="F94" s="1"/>
      <c r="G94" s="6" t="s">
        <v>14</v>
      </c>
      <c r="H94" s="7">
        <v>75000</v>
      </c>
      <c r="I94" s="8">
        <v>9.4</v>
      </c>
      <c r="J94" s="1"/>
    </row>
    <row r="95" spans="1:10" x14ac:dyDescent="0.2">
      <c r="A95" s="5">
        <v>45790</v>
      </c>
      <c r="B95" s="1" t="s">
        <v>1072</v>
      </c>
      <c r="C95" s="1" t="s">
        <v>1073</v>
      </c>
      <c r="D95" s="1" t="s">
        <v>165</v>
      </c>
      <c r="E95" s="1" t="s">
        <v>13</v>
      </c>
      <c r="F95" s="1"/>
      <c r="G95" s="6" t="s">
        <v>14</v>
      </c>
      <c r="H95" s="7">
        <v>75000</v>
      </c>
      <c r="I95" s="8">
        <v>4</v>
      </c>
      <c r="J95" s="1"/>
    </row>
    <row r="96" spans="1:10" x14ac:dyDescent="0.2">
      <c r="A96" s="5">
        <v>45790</v>
      </c>
      <c r="B96" s="1" t="s">
        <v>1074</v>
      </c>
      <c r="C96" s="1" t="s">
        <v>1075</v>
      </c>
      <c r="D96" s="1" t="s">
        <v>26</v>
      </c>
      <c r="E96" s="1" t="s">
        <v>1010</v>
      </c>
      <c r="F96" s="1"/>
      <c r="G96" s="6" t="s">
        <v>14</v>
      </c>
      <c r="H96" s="7">
        <v>70000</v>
      </c>
      <c r="I96" s="8">
        <v>5.3</v>
      </c>
      <c r="J96" s="1"/>
    </row>
    <row r="97" spans="1:10" x14ac:dyDescent="0.2">
      <c r="A97" s="5">
        <v>45790</v>
      </c>
      <c r="B97" s="1" t="s">
        <v>757</v>
      </c>
      <c r="C97" s="1" t="s">
        <v>57</v>
      </c>
      <c r="D97" s="1" t="s">
        <v>88</v>
      </c>
      <c r="E97" s="1" t="s">
        <v>94</v>
      </c>
      <c r="F97" s="1" t="s">
        <v>91</v>
      </c>
      <c r="G97" s="6" t="s">
        <v>14</v>
      </c>
      <c r="H97" s="7">
        <f>60000+30000</f>
        <v>90000</v>
      </c>
      <c r="I97" s="8">
        <v>3.6</v>
      </c>
      <c r="J97" s="1"/>
    </row>
    <row r="98" spans="1:10" x14ac:dyDescent="0.2">
      <c r="A98" s="5">
        <v>45790</v>
      </c>
      <c r="B98" s="1" t="s">
        <v>1076</v>
      </c>
      <c r="C98" s="1" t="s">
        <v>198</v>
      </c>
      <c r="D98" s="1" t="s">
        <v>58</v>
      </c>
      <c r="E98" s="1" t="s">
        <v>59</v>
      </c>
      <c r="F98" s="1"/>
      <c r="G98" s="6" t="s">
        <v>14</v>
      </c>
      <c r="H98" s="7">
        <v>65000</v>
      </c>
      <c r="I98" s="8">
        <v>2.8</v>
      </c>
      <c r="J98" s="1"/>
    </row>
    <row r="99" spans="1:10" x14ac:dyDescent="0.2">
      <c r="A99" s="5">
        <v>45790</v>
      </c>
      <c r="B99" s="1" t="s">
        <v>400</v>
      </c>
      <c r="C99" s="1" t="s">
        <v>401</v>
      </c>
      <c r="D99" s="1" t="s">
        <v>119</v>
      </c>
      <c r="E99" s="1" t="s">
        <v>19</v>
      </c>
      <c r="F99" s="1"/>
      <c r="G99" s="6" t="s">
        <v>23</v>
      </c>
      <c r="H99" s="7">
        <v>45000</v>
      </c>
      <c r="I99" s="8">
        <v>15.8</v>
      </c>
      <c r="J99" s="1"/>
    </row>
    <row r="100" spans="1:10" x14ac:dyDescent="0.2">
      <c r="A100" s="5">
        <v>45790</v>
      </c>
      <c r="B100" s="1" t="s">
        <v>1077</v>
      </c>
      <c r="C100" s="1" t="s">
        <v>128</v>
      </c>
      <c r="D100" s="1" t="s">
        <v>49</v>
      </c>
      <c r="E100" s="1" t="s">
        <v>19</v>
      </c>
      <c r="F100" s="1"/>
      <c r="G100" s="6" t="s">
        <v>23</v>
      </c>
      <c r="H100" s="7">
        <v>25000</v>
      </c>
      <c r="I100" s="8">
        <v>2.5</v>
      </c>
      <c r="J100" s="1"/>
    </row>
    <row r="101" spans="1:10" x14ac:dyDescent="0.2">
      <c r="A101" s="5">
        <v>45790</v>
      </c>
      <c r="B101" s="1" t="s">
        <v>1078</v>
      </c>
      <c r="C101" s="1" t="s">
        <v>1079</v>
      </c>
      <c r="D101" s="1" t="s">
        <v>64</v>
      </c>
      <c r="E101" s="1" t="s">
        <v>19</v>
      </c>
      <c r="F101" s="1"/>
      <c r="G101" s="6" t="s">
        <v>23</v>
      </c>
      <c r="H101" s="7">
        <v>55000</v>
      </c>
      <c r="I101" s="8">
        <v>9.1999999999999993</v>
      </c>
      <c r="J101" s="1"/>
    </row>
    <row r="102" spans="1:10" x14ac:dyDescent="0.2">
      <c r="A102" s="5">
        <v>45790</v>
      </c>
      <c r="B102" s="1"/>
      <c r="C102" s="1"/>
      <c r="D102" s="1"/>
      <c r="E102" s="1" t="s">
        <v>61</v>
      </c>
      <c r="F102" s="1"/>
      <c r="G102" s="6"/>
      <c r="H102" s="7">
        <v>10000</v>
      </c>
      <c r="I102" s="8"/>
      <c r="J102" s="1"/>
    </row>
    <row r="103" spans="1:10" x14ac:dyDescent="0.2">
      <c r="A103" s="5">
        <v>45791</v>
      </c>
      <c r="B103" s="1" t="s">
        <v>896</v>
      </c>
      <c r="C103" s="1" t="s">
        <v>185</v>
      </c>
      <c r="D103" s="1" t="s">
        <v>32</v>
      </c>
      <c r="E103" s="1" t="s">
        <v>13</v>
      </c>
      <c r="F103" s="1"/>
      <c r="G103" s="6" t="s">
        <v>14</v>
      </c>
      <c r="H103" s="7">
        <v>70000</v>
      </c>
      <c r="I103" s="8">
        <v>1.7</v>
      </c>
      <c r="J103" s="1"/>
    </row>
    <row r="104" spans="1:10" x14ac:dyDescent="0.2">
      <c r="A104" s="5">
        <v>45791</v>
      </c>
      <c r="B104" s="1" t="s">
        <v>1080</v>
      </c>
      <c r="C104" s="1" t="s">
        <v>243</v>
      </c>
      <c r="D104" s="1" t="s">
        <v>64</v>
      </c>
      <c r="E104" s="1" t="s">
        <v>19</v>
      </c>
      <c r="F104" s="1" t="s">
        <v>91</v>
      </c>
      <c r="G104" s="6" t="s">
        <v>23</v>
      </c>
      <c r="H104" s="7">
        <f>65000+80000</f>
        <v>145000</v>
      </c>
      <c r="I104" s="8">
        <v>22</v>
      </c>
      <c r="J104" s="1"/>
    </row>
    <row r="105" spans="1:10" x14ac:dyDescent="0.2">
      <c r="A105" s="5">
        <v>45791</v>
      </c>
      <c r="B105" s="1" t="s">
        <v>1081</v>
      </c>
      <c r="C105" s="1" t="s">
        <v>1082</v>
      </c>
      <c r="D105" s="1" t="s">
        <v>131</v>
      </c>
      <c r="E105" s="1" t="s">
        <v>19</v>
      </c>
      <c r="F105" s="1"/>
      <c r="G105" s="6" t="s">
        <v>14</v>
      </c>
      <c r="H105" s="7">
        <v>95000</v>
      </c>
      <c r="I105" s="8">
        <v>35</v>
      </c>
      <c r="J105" s="1"/>
    </row>
    <row r="106" spans="1:10" x14ac:dyDescent="0.2">
      <c r="A106" s="5">
        <v>45791</v>
      </c>
      <c r="B106" s="1" t="s">
        <v>1083</v>
      </c>
      <c r="C106" s="1" t="s">
        <v>1084</v>
      </c>
      <c r="D106" s="1" t="s">
        <v>119</v>
      </c>
      <c r="E106" s="1" t="s">
        <v>19</v>
      </c>
      <c r="F106" s="1"/>
      <c r="G106" s="6" t="s">
        <v>23</v>
      </c>
      <c r="H106" s="7">
        <v>60000</v>
      </c>
      <c r="I106" s="8">
        <v>13.2</v>
      </c>
      <c r="J106" s="1"/>
    </row>
    <row r="107" spans="1:10" x14ac:dyDescent="0.2">
      <c r="A107" s="5">
        <v>45791</v>
      </c>
      <c r="B107" s="1" t="s">
        <v>1085</v>
      </c>
      <c r="C107" s="1" t="s">
        <v>192</v>
      </c>
      <c r="D107" s="1" t="s">
        <v>32</v>
      </c>
      <c r="E107" s="1" t="s">
        <v>19</v>
      </c>
      <c r="F107" s="1"/>
      <c r="G107" s="6" t="s">
        <v>14</v>
      </c>
      <c r="H107" s="7">
        <v>60000</v>
      </c>
      <c r="I107" s="8">
        <v>5.3</v>
      </c>
      <c r="J107" s="1"/>
    </row>
    <row r="108" spans="1:10" x14ac:dyDescent="0.2">
      <c r="A108" s="5">
        <v>45791</v>
      </c>
      <c r="B108" s="1" t="s">
        <v>154</v>
      </c>
      <c r="C108" s="1" t="s">
        <v>155</v>
      </c>
      <c r="D108" s="1" t="s">
        <v>26</v>
      </c>
      <c r="E108" s="1" t="s">
        <v>13</v>
      </c>
      <c r="F108" s="1" t="s">
        <v>209</v>
      </c>
      <c r="G108" s="6" t="s">
        <v>14</v>
      </c>
      <c r="H108" s="7">
        <v>95000</v>
      </c>
      <c r="I108" s="8">
        <v>6.7</v>
      </c>
      <c r="J108" s="1"/>
    </row>
    <row r="109" spans="1:10" x14ac:dyDescent="0.2">
      <c r="A109" s="5">
        <v>45791</v>
      </c>
      <c r="B109" s="1" t="s">
        <v>1086</v>
      </c>
      <c r="C109" s="1" t="s">
        <v>770</v>
      </c>
      <c r="D109" s="1" t="s">
        <v>371</v>
      </c>
      <c r="E109" s="1" t="s">
        <v>19</v>
      </c>
      <c r="F109" s="1"/>
      <c r="G109" s="6" t="s">
        <v>23</v>
      </c>
      <c r="H109" s="7">
        <v>70000</v>
      </c>
      <c r="I109" s="8">
        <v>33</v>
      </c>
      <c r="J109" s="1"/>
    </row>
    <row r="110" spans="1:10" x14ac:dyDescent="0.2">
      <c r="A110" s="5">
        <v>45791</v>
      </c>
      <c r="B110" s="1" t="s">
        <v>1087</v>
      </c>
      <c r="C110" s="1" t="s">
        <v>1088</v>
      </c>
      <c r="D110" s="1" t="s">
        <v>64</v>
      </c>
      <c r="E110" s="1" t="s">
        <v>19</v>
      </c>
      <c r="F110" s="1"/>
      <c r="G110" s="6" t="s">
        <v>23</v>
      </c>
      <c r="H110" s="7">
        <v>70000</v>
      </c>
      <c r="I110" s="8">
        <v>25</v>
      </c>
      <c r="J110" s="1"/>
    </row>
    <row r="111" spans="1:10" x14ac:dyDescent="0.2">
      <c r="A111" s="5">
        <v>45791</v>
      </c>
      <c r="B111" s="1" t="s">
        <v>1087</v>
      </c>
      <c r="C111" s="1" t="s">
        <v>1089</v>
      </c>
      <c r="D111" s="1" t="s">
        <v>64</v>
      </c>
      <c r="E111" s="1" t="s">
        <v>19</v>
      </c>
      <c r="F111" s="1"/>
      <c r="G111" s="6" t="s">
        <v>23</v>
      </c>
      <c r="H111" s="7">
        <v>65000</v>
      </c>
      <c r="I111" s="8"/>
      <c r="J111" s="1"/>
    </row>
    <row r="112" spans="1:10" x14ac:dyDescent="0.2">
      <c r="A112" s="5">
        <v>45792</v>
      </c>
      <c r="B112" s="1" t="s">
        <v>1090</v>
      </c>
      <c r="C112" s="1" t="s">
        <v>522</v>
      </c>
      <c r="D112" s="1" t="s">
        <v>64</v>
      </c>
      <c r="E112" s="1" t="s">
        <v>19</v>
      </c>
      <c r="F112" s="1"/>
      <c r="G112" s="6" t="s">
        <v>23</v>
      </c>
      <c r="H112" s="7">
        <v>60000</v>
      </c>
      <c r="I112" s="8"/>
      <c r="J112" s="1"/>
    </row>
    <row r="113" spans="1:10" x14ac:dyDescent="0.2">
      <c r="A113" s="5">
        <v>45792</v>
      </c>
      <c r="B113" s="1" t="s">
        <v>24</v>
      </c>
      <c r="C113" s="1" t="s">
        <v>25</v>
      </c>
      <c r="D113" s="1" t="s">
        <v>26</v>
      </c>
      <c r="E113" s="1" t="s">
        <v>13</v>
      </c>
      <c r="F113" s="1"/>
      <c r="G113" s="6" t="s">
        <v>14</v>
      </c>
      <c r="H113" s="7">
        <v>90000</v>
      </c>
      <c r="I113" s="8">
        <v>7.7</v>
      </c>
      <c r="J113" s="1"/>
    </row>
    <row r="114" spans="1:10" x14ac:dyDescent="0.2">
      <c r="A114" s="5">
        <v>45792</v>
      </c>
      <c r="B114" s="1" t="s">
        <v>24</v>
      </c>
      <c r="C114" s="1" t="s">
        <v>31</v>
      </c>
      <c r="D114" s="1" t="s">
        <v>64</v>
      </c>
      <c r="E114" s="1" t="s">
        <v>19</v>
      </c>
      <c r="F114" s="1"/>
      <c r="G114" s="6" t="s">
        <v>23</v>
      </c>
      <c r="H114" s="7">
        <v>60000</v>
      </c>
      <c r="I114" s="8">
        <v>13</v>
      </c>
      <c r="J114" s="1"/>
    </row>
    <row r="115" spans="1:10" x14ac:dyDescent="0.2">
      <c r="A115" s="5">
        <v>45792</v>
      </c>
      <c r="B115" s="1" t="s">
        <v>72</v>
      </c>
      <c r="C115" s="1" t="s">
        <v>453</v>
      </c>
      <c r="D115" s="1" t="s">
        <v>58</v>
      </c>
      <c r="E115" s="1" t="s">
        <v>59</v>
      </c>
      <c r="F115" s="1"/>
      <c r="G115" s="6" t="s">
        <v>14</v>
      </c>
      <c r="H115" s="7">
        <v>80000</v>
      </c>
      <c r="I115" s="8"/>
      <c r="J115" s="1"/>
    </row>
    <row r="116" spans="1:10" x14ac:dyDescent="0.2">
      <c r="A116" s="5">
        <v>45792</v>
      </c>
      <c r="B116" s="1" t="s">
        <v>204</v>
      </c>
      <c r="C116" s="1" t="s">
        <v>180</v>
      </c>
      <c r="D116" s="1" t="s">
        <v>88</v>
      </c>
      <c r="E116" s="1" t="s">
        <v>94</v>
      </c>
      <c r="F116" s="1"/>
      <c r="G116" s="6" t="s">
        <v>14</v>
      </c>
      <c r="H116" s="7">
        <v>80000</v>
      </c>
      <c r="I116" s="8"/>
      <c r="J116" s="1"/>
    </row>
    <row r="117" spans="1:10" x14ac:dyDescent="0.2">
      <c r="A117" s="5">
        <v>45792</v>
      </c>
      <c r="B117" s="1" t="s">
        <v>1091</v>
      </c>
      <c r="C117" s="1" t="s">
        <v>859</v>
      </c>
      <c r="D117" s="1" t="s">
        <v>32</v>
      </c>
      <c r="E117" s="1" t="s">
        <v>19</v>
      </c>
      <c r="F117" s="1"/>
      <c r="G117" s="6" t="s">
        <v>14</v>
      </c>
      <c r="H117" s="7">
        <v>70000</v>
      </c>
      <c r="I117" s="8"/>
      <c r="J117" s="1"/>
    </row>
    <row r="118" spans="1:10" x14ac:dyDescent="0.2">
      <c r="A118" s="5">
        <v>45792</v>
      </c>
      <c r="B118" s="1" t="s">
        <v>1092</v>
      </c>
      <c r="C118" s="1" t="s">
        <v>526</v>
      </c>
      <c r="D118" s="1" t="s">
        <v>22</v>
      </c>
      <c r="E118" s="1" t="s">
        <v>19</v>
      </c>
      <c r="F118" s="1"/>
      <c r="G118" s="6" t="s">
        <v>23</v>
      </c>
      <c r="H118" s="7">
        <v>55000</v>
      </c>
      <c r="I118" s="8"/>
      <c r="J118" s="1"/>
    </row>
    <row r="119" spans="1:10" x14ac:dyDescent="0.2">
      <c r="A119" s="5">
        <v>45792</v>
      </c>
      <c r="B119" s="1" t="s">
        <v>1093</v>
      </c>
      <c r="C119" s="1" t="s">
        <v>275</v>
      </c>
      <c r="D119" s="1" t="s">
        <v>340</v>
      </c>
      <c r="E119" s="1" t="s">
        <v>19</v>
      </c>
      <c r="F119" s="1"/>
      <c r="G119" s="6" t="s">
        <v>23</v>
      </c>
      <c r="H119" s="7">
        <v>30000</v>
      </c>
      <c r="I119" s="8"/>
      <c r="J119" s="1"/>
    </row>
    <row r="120" spans="1:10" x14ac:dyDescent="0.2">
      <c r="A120" s="5">
        <v>45793</v>
      </c>
      <c r="B120" s="1" t="s">
        <v>518</v>
      </c>
      <c r="C120" s="1" t="s">
        <v>519</v>
      </c>
      <c r="D120" s="1" t="s">
        <v>26</v>
      </c>
      <c r="E120" s="1" t="s">
        <v>13</v>
      </c>
      <c r="F120" s="1"/>
      <c r="G120" s="6" t="s">
        <v>14</v>
      </c>
      <c r="H120" s="7">
        <v>75000</v>
      </c>
      <c r="I120" s="8">
        <v>9</v>
      </c>
      <c r="J120" s="1"/>
    </row>
    <row r="121" spans="1:10" x14ac:dyDescent="0.2">
      <c r="A121" s="5">
        <v>45793</v>
      </c>
      <c r="B121" s="1" t="s">
        <v>1094</v>
      </c>
      <c r="C121" s="15" t="s">
        <v>512</v>
      </c>
      <c r="D121" s="15" t="s">
        <v>32</v>
      </c>
      <c r="E121" s="15" t="s">
        <v>13</v>
      </c>
      <c r="F121" s="1"/>
      <c r="G121" s="6" t="s">
        <v>14</v>
      </c>
      <c r="H121" s="7">
        <v>75000</v>
      </c>
      <c r="I121" s="8">
        <v>3.3</v>
      </c>
      <c r="J121" s="1"/>
    </row>
    <row r="122" spans="1:10" x14ac:dyDescent="0.2">
      <c r="A122" s="5">
        <v>45793</v>
      </c>
      <c r="B122" s="1" t="s">
        <v>888</v>
      </c>
      <c r="C122" s="1" t="s">
        <v>889</v>
      </c>
      <c r="D122" s="1" t="s">
        <v>165</v>
      </c>
      <c r="E122" s="1" t="s">
        <v>13</v>
      </c>
      <c r="F122" s="1"/>
      <c r="G122" s="6" t="s">
        <v>14</v>
      </c>
      <c r="H122" s="7">
        <v>60000</v>
      </c>
      <c r="I122" s="8"/>
      <c r="J122" s="1"/>
    </row>
    <row r="123" spans="1:10" x14ac:dyDescent="0.2">
      <c r="A123" s="5">
        <v>45793</v>
      </c>
      <c r="B123" s="1" t="s">
        <v>888</v>
      </c>
      <c r="C123" s="1" t="s">
        <v>890</v>
      </c>
      <c r="D123" s="1" t="s">
        <v>26</v>
      </c>
      <c r="E123" s="1" t="s">
        <v>13</v>
      </c>
      <c r="F123" s="1"/>
      <c r="G123" s="6" t="s">
        <v>14</v>
      </c>
      <c r="H123" s="7">
        <v>60000</v>
      </c>
      <c r="I123" s="8"/>
      <c r="J123" s="1"/>
    </row>
    <row r="124" spans="1:10" x14ac:dyDescent="0.2">
      <c r="A124" s="5">
        <v>45793</v>
      </c>
      <c r="B124" s="1" t="s">
        <v>1095</v>
      </c>
      <c r="C124" s="1" t="s">
        <v>766</v>
      </c>
      <c r="D124" s="1" t="s">
        <v>352</v>
      </c>
      <c r="E124" s="1" t="s">
        <v>19</v>
      </c>
      <c r="F124" s="1"/>
      <c r="G124" s="6" t="s">
        <v>23</v>
      </c>
      <c r="H124" s="7">
        <v>50000</v>
      </c>
      <c r="I124" s="8"/>
      <c r="J124" s="1"/>
    </row>
    <row r="125" spans="1:10" x14ac:dyDescent="0.2">
      <c r="A125" s="5">
        <v>45793</v>
      </c>
      <c r="B125" s="1" t="s">
        <v>1096</v>
      </c>
      <c r="C125" s="1" t="s">
        <v>1097</v>
      </c>
      <c r="D125" s="1" t="s">
        <v>97</v>
      </c>
      <c r="E125" s="1" t="s">
        <v>13</v>
      </c>
      <c r="F125" s="1"/>
      <c r="G125" s="6" t="s">
        <v>14</v>
      </c>
      <c r="H125" s="7">
        <v>75000</v>
      </c>
      <c r="I125" s="8">
        <v>12</v>
      </c>
      <c r="J125" s="1"/>
    </row>
    <row r="126" spans="1:10" x14ac:dyDescent="0.2">
      <c r="A126" s="5">
        <v>45793</v>
      </c>
      <c r="B126" s="1" t="s">
        <v>805</v>
      </c>
      <c r="C126" s="1" t="s">
        <v>31</v>
      </c>
      <c r="D126" s="1" t="s">
        <v>32</v>
      </c>
      <c r="E126" s="1" t="s">
        <v>19</v>
      </c>
      <c r="F126" s="1"/>
      <c r="G126" s="6" t="s">
        <v>14</v>
      </c>
      <c r="H126" s="7">
        <v>80000</v>
      </c>
      <c r="I126" s="8">
        <v>4.3</v>
      </c>
      <c r="J126" s="1"/>
    </row>
    <row r="127" spans="1:10" x14ac:dyDescent="0.2">
      <c r="A127" s="5">
        <v>45793</v>
      </c>
      <c r="B127" s="1" t="s">
        <v>397</v>
      </c>
      <c r="C127" s="1" t="s">
        <v>398</v>
      </c>
      <c r="D127" s="1" t="s">
        <v>112</v>
      </c>
      <c r="E127" s="1" t="s">
        <v>113</v>
      </c>
      <c r="F127" s="1"/>
      <c r="G127" s="6" t="s">
        <v>14</v>
      </c>
      <c r="H127" s="7" t="s">
        <v>114</v>
      </c>
      <c r="I127" s="8"/>
      <c r="J127" s="1"/>
    </row>
    <row r="128" spans="1:10" x14ac:dyDescent="0.2">
      <c r="A128" s="5">
        <v>45794</v>
      </c>
      <c r="B128" s="1" t="s">
        <v>918</v>
      </c>
      <c r="C128" s="1" t="s">
        <v>919</v>
      </c>
      <c r="D128" s="1" t="s">
        <v>64</v>
      </c>
      <c r="E128" s="1" t="s">
        <v>19</v>
      </c>
      <c r="F128" s="1"/>
      <c r="G128" s="6" t="s">
        <v>23</v>
      </c>
      <c r="H128" s="7">
        <v>70000</v>
      </c>
      <c r="I128" s="8">
        <v>32</v>
      </c>
      <c r="J128" s="1"/>
    </row>
    <row r="129" spans="1:10" x14ac:dyDescent="0.2">
      <c r="A129" s="5">
        <v>45794</v>
      </c>
      <c r="B129" s="1" t="s">
        <v>256</v>
      </c>
      <c r="C129" s="1" t="s">
        <v>257</v>
      </c>
      <c r="D129" s="1" t="s">
        <v>32</v>
      </c>
      <c r="E129" s="1" t="s">
        <v>113</v>
      </c>
      <c r="F129" s="1"/>
      <c r="G129" s="6" t="s">
        <v>14</v>
      </c>
      <c r="H129" s="7"/>
      <c r="I129" s="8"/>
      <c r="J129" s="1"/>
    </row>
    <row r="130" spans="1:10" x14ac:dyDescent="0.2">
      <c r="A130" s="5">
        <v>45794</v>
      </c>
      <c r="B130" s="1" t="s">
        <v>607</v>
      </c>
      <c r="C130" s="1" t="s">
        <v>211</v>
      </c>
      <c r="D130" s="1" t="s">
        <v>32</v>
      </c>
      <c r="E130" s="1" t="s">
        <v>19</v>
      </c>
      <c r="F130" s="1"/>
      <c r="G130" s="6" t="s">
        <v>14</v>
      </c>
      <c r="H130" s="7">
        <v>55000</v>
      </c>
      <c r="I130" s="8"/>
      <c r="J130" s="1"/>
    </row>
    <row r="131" spans="1:10" x14ac:dyDescent="0.2">
      <c r="A131" s="5">
        <v>45794</v>
      </c>
      <c r="B131" s="1" t="s">
        <v>798</v>
      </c>
      <c r="C131" s="1" t="s">
        <v>522</v>
      </c>
      <c r="D131" s="1" t="s">
        <v>18</v>
      </c>
      <c r="E131" s="1" t="s">
        <v>13</v>
      </c>
      <c r="F131" s="1"/>
      <c r="G131" s="6" t="s">
        <v>14</v>
      </c>
      <c r="H131" s="7">
        <v>88000</v>
      </c>
      <c r="I131" s="8">
        <v>14.8</v>
      </c>
      <c r="J131" s="1"/>
    </row>
    <row r="132" spans="1:10" x14ac:dyDescent="0.2">
      <c r="A132" s="5">
        <v>45794</v>
      </c>
      <c r="B132" s="1" t="s">
        <v>35</v>
      </c>
      <c r="C132" s="1" t="s">
        <v>36</v>
      </c>
      <c r="D132" s="1" t="s">
        <v>18</v>
      </c>
      <c r="E132" s="1" t="s">
        <v>19</v>
      </c>
      <c r="F132" s="1"/>
      <c r="G132" s="6" t="s">
        <v>14</v>
      </c>
      <c r="H132" s="7"/>
      <c r="I132" s="8"/>
      <c r="J132" s="1"/>
    </row>
    <row r="133" spans="1:10" x14ac:dyDescent="0.2">
      <c r="A133" s="5">
        <v>45794</v>
      </c>
      <c r="B133" s="1" t="s">
        <v>741</v>
      </c>
      <c r="C133" s="1" t="s">
        <v>1098</v>
      </c>
      <c r="D133" s="1" t="s">
        <v>45</v>
      </c>
      <c r="E133" s="1" t="s">
        <v>19</v>
      </c>
      <c r="F133" s="1"/>
      <c r="G133" s="6" t="s">
        <v>23</v>
      </c>
      <c r="H133" s="7">
        <v>60000</v>
      </c>
      <c r="I133" s="8">
        <v>15</v>
      </c>
      <c r="J133" s="1"/>
    </row>
    <row r="134" spans="1:10" x14ac:dyDescent="0.2">
      <c r="A134" s="5">
        <v>45794</v>
      </c>
      <c r="B134" s="1" t="s">
        <v>1099</v>
      </c>
      <c r="C134" s="1" t="s">
        <v>440</v>
      </c>
      <c r="D134" s="1" t="s">
        <v>131</v>
      </c>
      <c r="E134" s="1" t="s">
        <v>19</v>
      </c>
      <c r="F134" s="1"/>
      <c r="G134" s="6" t="s">
        <v>14</v>
      </c>
      <c r="H134" s="7">
        <v>85000</v>
      </c>
      <c r="I134" s="8">
        <v>32</v>
      </c>
      <c r="J134" s="1"/>
    </row>
    <row r="135" spans="1:10" x14ac:dyDescent="0.2">
      <c r="A135" s="5">
        <v>45794</v>
      </c>
      <c r="B135" s="1"/>
      <c r="C135" s="1"/>
      <c r="D135" s="1"/>
      <c r="E135" s="1" t="s">
        <v>61</v>
      </c>
      <c r="F135" s="1"/>
      <c r="G135" s="6" t="s">
        <v>23</v>
      </c>
      <c r="H135" s="7">
        <v>10000</v>
      </c>
      <c r="I135" s="8"/>
      <c r="J135" s="1"/>
    </row>
    <row r="136" spans="1:10" x14ac:dyDescent="0.2">
      <c r="A136" s="5">
        <v>45794</v>
      </c>
      <c r="B136" s="1" t="s">
        <v>485</v>
      </c>
      <c r="C136" s="1" t="s">
        <v>486</v>
      </c>
      <c r="D136" s="1" t="s">
        <v>32</v>
      </c>
      <c r="E136" s="1" t="s">
        <v>78</v>
      </c>
      <c r="F136" s="1"/>
      <c r="G136" s="6" t="s">
        <v>14</v>
      </c>
      <c r="H136" s="7">
        <v>75000</v>
      </c>
      <c r="I136" s="8">
        <v>4.4000000000000004</v>
      </c>
      <c r="J136" s="1"/>
    </row>
    <row r="137" spans="1:10" x14ac:dyDescent="0.2">
      <c r="A137" s="5">
        <v>45794</v>
      </c>
      <c r="B137" s="1" t="s">
        <v>1100</v>
      </c>
      <c r="C137" s="1"/>
      <c r="D137" s="1" t="s">
        <v>32</v>
      </c>
      <c r="E137" s="1" t="s">
        <v>13</v>
      </c>
      <c r="F137" s="1"/>
      <c r="G137" s="6" t="s">
        <v>14</v>
      </c>
      <c r="H137" s="7">
        <v>80000</v>
      </c>
      <c r="I137" s="8"/>
      <c r="J137" s="1"/>
    </row>
    <row r="138" spans="1:10" x14ac:dyDescent="0.2">
      <c r="A138" s="5">
        <v>45794</v>
      </c>
      <c r="B138" s="1"/>
      <c r="C138" s="1"/>
      <c r="D138" s="1"/>
      <c r="E138" s="1" t="s">
        <v>61</v>
      </c>
      <c r="F138" s="1"/>
      <c r="G138" s="6" t="s">
        <v>23</v>
      </c>
      <c r="H138" s="7">
        <v>10000</v>
      </c>
      <c r="I138" s="8"/>
      <c r="J138" s="1"/>
    </row>
    <row r="139" spans="1:10" x14ac:dyDescent="0.2">
      <c r="A139" s="5">
        <v>45794</v>
      </c>
      <c r="B139" s="1"/>
      <c r="C139" s="1"/>
      <c r="D139" s="1"/>
      <c r="E139" s="1" t="s">
        <v>61</v>
      </c>
      <c r="F139" s="1"/>
      <c r="G139" s="6" t="s">
        <v>23</v>
      </c>
      <c r="H139" s="7">
        <v>10000</v>
      </c>
      <c r="I139" s="8"/>
      <c r="J139" s="1"/>
    </row>
    <row r="140" spans="1:10" x14ac:dyDescent="0.2">
      <c r="A140" s="5">
        <v>45794</v>
      </c>
      <c r="B140" s="1"/>
      <c r="C140" s="1"/>
      <c r="D140" s="1"/>
      <c r="E140" s="1" t="s">
        <v>61</v>
      </c>
      <c r="F140" s="1"/>
      <c r="G140" s="6" t="s">
        <v>23</v>
      </c>
      <c r="H140" s="7">
        <v>10000</v>
      </c>
      <c r="I140" s="8"/>
      <c r="J140" s="1"/>
    </row>
    <row r="141" spans="1:10" x14ac:dyDescent="0.2">
      <c r="A141" s="5">
        <v>45794</v>
      </c>
      <c r="B141" s="1"/>
      <c r="C141" s="1"/>
      <c r="D141" s="1"/>
      <c r="E141" s="1" t="s">
        <v>61</v>
      </c>
      <c r="F141" s="1"/>
      <c r="G141" s="6" t="s">
        <v>23</v>
      </c>
      <c r="H141" s="7">
        <v>10000</v>
      </c>
      <c r="I141" s="8"/>
      <c r="J141" s="1"/>
    </row>
    <row r="142" spans="1:10" x14ac:dyDescent="0.2">
      <c r="A142" s="5">
        <v>45794</v>
      </c>
      <c r="B142" s="1"/>
      <c r="C142" s="1"/>
      <c r="D142" s="1"/>
      <c r="E142" s="1" t="s">
        <v>61</v>
      </c>
      <c r="F142" s="1"/>
      <c r="G142" s="6" t="s">
        <v>23</v>
      </c>
      <c r="H142" s="7">
        <v>10000</v>
      </c>
      <c r="I142" s="8"/>
      <c r="J142" s="1"/>
    </row>
    <row r="143" spans="1:10" x14ac:dyDescent="0.2">
      <c r="A143" s="5">
        <v>45796</v>
      </c>
      <c r="B143" s="1" t="s">
        <v>169</v>
      </c>
      <c r="C143" s="1" t="s">
        <v>1101</v>
      </c>
      <c r="D143" s="1" t="s">
        <v>18</v>
      </c>
      <c r="E143" s="1" t="s">
        <v>13</v>
      </c>
      <c r="F143" s="1"/>
      <c r="G143" s="6" t="s">
        <v>14</v>
      </c>
      <c r="H143" s="7">
        <v>80000</v>
      </c>
      <c r="I143" s="8">
        <v>9.6</v>
      </c>
      <c r="J143" s="1"/>
    </row>
    <row r="144" spans="1:10" x14ac:dyDescent="0.2">
      <c r="A144" s="5">
        <v>45796</v>
      </c>
      <c r="B144" s="1" t="s">
        <v>1102</v>
      </c>
      <c r="C144" s="1" t="s">
        <v>1103</v>
      </c>
      <c r="D144" s="1" t="s">
        <v>22</v>
      </c>
      <c r="E144" s="1" t="s">
        <v>19</v>
      </c>
      <c r="F144" s="1" t="s">
        <v>209</v>
      </c>
      <c r="G144" s="6" t="s">
        <v>23</v>
      </c>
      <c r="H144" s="7">
        <v>140000</v>
      </c>
      <c r="I144" s="8">
        <v>11</v>
      </c>
      <c r="J144" s="1"/>
    </row>
    <row r="145" spans="1:10" x14ac:dyDescent="0.2">
      <c r="A145" s="5">
        <v>45796</v>
      </c>
      <c r="B145" s="1" t="s">
        <v>509</v>
      </c>
      <c r="C145" s="1" t="s">
        <v>180</v>
      </c>
      <c r="D145" s="1" t="s">
        <v>26</v>
      </c>
      <c r="E145" s="1" t="s">
        <v>13</v>
      </c>
      <c r="F145" s="1"/>
      <c r="G145" s="6" t="s">
        <v>14</v>
      </c>
      <c r="H145" s="7">
        <v>90000</v>
      </c>
      <c r="I145" s="8">
        <v>6.8</v>
      </c>
      <c r="J145" s="1"/>
    </row>
    <row r="146" spans="1:10" x14ac:dyDescent="0.2">
      <c r="A146" s="5">
        <v>45796</v>
      </c>
      <c r="B146" s="1" t="s">
        <v>930</v>
      </c>
      <c r="C146" s="1" t="s">
        <v>398</v>
      </c>
      <c r="D146" s="1" t="s">
        <v>131</v>
      </c>
      <c r="E146" s="1" t="s">
        <v>19</v>
      </c>
      <c r="F146" s="1"/>
      <c r="G146" s="6" t="s">
        <v>14</v>
      </c>
      <c r="H146" s="7">
        <v>80000</v>
      </c>
      <c r="I146" s="8">
        <v>24</v>
      </c>
      <c r="J146" s="1"/>
    </row>
    <row r="147" spans="1:10" x14ac:dyDescent="0.2">
      <c r="A147" s="5">
        <v>45796</v>
      </c>
      <c r="B147" s="1" t="s">
        <v>930</v>
      </c>
      <c r="C147" s="1" t="s">
        <v>931</v>
      </c>
      <c r="D147" s="1" t="s">
        <v>131</v>
      </c>
      <c r="E147" s="1" t="s">
        <v>19</v>
      </c>
      <c r="F147" s="1"/>
      <c r="G147" s="6" t="s">
        <v>14</v>
      </c>
      <c r="H147" s="7">
        <v>80000</v>
      </c>
      <c r="I147" s="8">
        <v>32</v>
      </c>
      <c r="J147" s="1"/>
    </row>
    <row r="148" spans="1:10" x14ac:dyDescent="0.2">
      <c r="A148" s="5">
        <v>45796</v>
      </c>
      <c r="B148" s="1" t="s">
        <v>1104</v>
      </c>
      <c r="C148" s="1" t="s">
        <v>699</v>
      </c>
      <c r="D148" s="1" t="s">
        <v>165</v>
      </c>
      <c r="E148" s="1" t="s">
        <v>13</v>
      </c>
      <c r="F148" s="1"/>
      <c r="G148" s="6" t="s">
        <v>14</v>
      </c>
      <c r="H148" s="7">
        <v>75000</v>
      </c>
      <c r="I148" s="8">
        <v>4.4000000000000004</v>
      </c>
      <c r="J148" s="1"/>
    </row>
    <row r="149" spans="1:10" x14ac:dyDescent="0.2">
      <c r="A149" s="5">
        <v>45796</v>
      </c>
      <c r="B149" s="1" t="s">
        <v>560</v>
      </c>
      <c r="C149" s="1" t="s">
        <v>303</v>
      </c>
      <c r="D149" s="1" t="s">
        <v>49</v>
      </c>
      <c r="E149" s="1" t="s">
        <v>19</v>
      </c>
      <c r="F149" s="1"/>
      <c r="G149" s="6" t="s">
        <v>23</v>
      </c>
      <c r="H149" s="7">
        <v>30000</v>
      </c>
      <c r="I149" s="8">
        <v>1.8</v>
      </c>
      <c r="J149" s="1"/>
    </row>
    <row r="150" spans="1:10" x14ac:dyDescent="0.2">
      <c r="A150" s="5">
        <v>45796</v>
      </c>
      <c r="B150" s="1"/>
      <c r="C150" s="1"/>
      <c r="D150" s="1"/>
      <c r="E150" s="1" t="s">
        <v>61</v>
      </c>
      <c r="F150" s="1"/>
      <c r="G150" s="6" t="s">
        <v>23</v>
      </c>
      <c r="H150" s="7">
        <v>10000</v>
      </c>
      <c r="I150" s="8"/>
      <c r="J150" s="1" t="s">
        <v>160</v>
      </c>
    </row>
    <row r="151" spans="1:10" x14ac:dyDescent="0.2">
      <c r="A151" s="5">
        <v>45796</v>
      </c>
      <c r="B151" s="1"/>
      <c r="C151" s="1"/>
      <c r="D151" s="1"/>
      <c r="E151" s="1" t="s">
        <v>61</v>
      </c>
      <c r="F151" s="1"/>
      <c r="G151" s="6" t="s">
        <v>23</v>
      </c>
      <c r="H151" s="7">
        <v>10000</v>
      </c>
      <c r="I151" s="8"/>
      <c r="J151" s="1" t="s">
        <v>160</v>
      </c>
    </row>
    <row r="152" spans="1:10" x14ac:dyDescent="0.2">
      <c r="A152" s="5">
        <v>45797</v>
      </c>
      <c r="B152" s="1" t="s">
        <v>976</v>
      </c>
      <c r="C152" s="1" t="s">
        <v>185</v>
      </c>
      <c r="D152" s="1" t="s">
        <v>32</v>
      </c>
      <c r="E152" s="1" t="s">
        <v>13</v>
      </c>
      <c r="F152" s="1"/>
      <c r="G152" s="6" t="s">
        <v>14</v>
      </c>
      <c r="H152" s="7">
        <v>80000</v>
      </c>
      <c r="I152" s="8">
        <v>2.8</v>
      </c>
      <c r="J152" s="1" t="s">
        <v>15</v>
      </c>
    </row>
    <row r="153" spans="1:10" x14ac:dyDescent="0.2">
      <c r="A153" s="5">
        <v>45797</v>
      </c>
      <c r="B153" s="1" t="s">
        <v>200</v>
      </c>
      <c r="C153" s="1" t="s">
        <v>1105</v>
      </c>
      <c r="D153" s="1" t="s">
        <v>26</v>
      </c>
      <c r="E153" s="1" t="s">
        <v>13</v>
      </c>
      <c r="F153" s="1"/>
      <c r="G153" s="6" t="s">
        <v>14</v>
      </c>
      <c r="H153" s="7">
        <v>95000</v>
      </c>
      <c r="I153" s="8">
        <v>7.4</v>
      </c>
      <c r="J153" s="1" t="s">
        <v>15</v>
      </c>
    </row>
    <row r="154" spans="1:10" x14ac:dyDescent="0.2">
      <c r="A154" s="5">
        <v>45797</v>
      </c>
      <c r="B154" s="1" t="s">
        <v>89</v>
      </c>
      <c r="C154" s="1" t="s">
        <v>480</v>
      </c>
      <c r="D154" s="1" t="s">
        <v>64</v>
      </c>
      <c r="E154" s="1" t="s">
        <v>13</v>
      </c>
      <c r="F154" s="1"/>
      <c r="G154" s="6" t="s">
        <v>14</v>
      </c>
      <c r="H154" s="7">
        <v>85000</v>
      </c>
      <c r="I154" s="8">
        <v>6.8</v>
      </c>
      <c r="J154" s="1" t="s">
        <v>15</v>
      </c>
    </row>
    <row r="155" spans="1:10" x14ac:dyDescent="0.2">
      <c r="A155" s="5">
        <v>45797</v>
      </c>
      <c r="B155" s="1" t="s">
        <v>1065</v>
      </c>
      <c r="C155" s="1" t="s">
        <v>637</v>
      </c>
      <c r="D155" s="1" t="s">
        <v>32</v>
      </c>
      <c r="E155" s="1" t="s">
        <v>1010</v>
      </c>
      <c r="F155" s="1"/>
      <c r="G155" s="6" t="s">
        <v>14</v>
      </c>
      <c r="H155" s="7">
        <v>70000</v>
      </c>
      <c r="I155" s="8">
        <v>2.7</v>
      </c>
      <c r="J155" s="1" t="s">
        <v>15</v>
      </c>
    </row>
    <row r="156" spans="1:10" x14ac:dyDescent="0.2">
      <c r="A156" s="5">
        <v>45797</v>
      </c>
      <c r="B156" s="1" t="s">
        <v>481</v>
      </c>
      <c r="C156" s="1" t="s">
        <v>1106</v>
      </c>
      <c r="D156" s="1" t="s">
        <v>371</v>
      </c>
      <c r="E156" s="1" t="s">
        <v>19</v>
      </c>
      <c r="F156" s="1"/>
      <c r="G156" s="6" t="s">
        <v>23</v>
      </c>
      <c r="H156" s="7">
        <v>60000</v>
      </c>
      <c r="I156" s="8"/>
      <c r="J156" s="1" t="s">
        <v>15</v>
      </c>
    </row>
    <row r="157" spans="1:10" x14ac:dyDescent="0.2">
      <c r="A157" s="5">
        <v>45798</v>
      </c>
      <c r="B157" s="1" t="s">
        <v>1107</v>
      </c>
      <c r="C157" s="1" t="s">
        <v>737</v>
      </c>
      <c r="D157" s="1" t="s">
        <v>26</v>
      </c>
      <c r="E157" s="1" t="s">
        <v>13</v>
      </c>
      <c r="F157" s="1"/>
      <c r="G157" s="6" t="s">
        <v>14</v>
      </c>
      <c r="H157" s="7">
        <v>65000</v>
      </c>
      <c r="I157" s="8">
        <v>5.8</v>
      </c>
      <c r="J157" s="1" t="s">
        <v>40</v>
      </c>
    </row>
    <row r="158" spans="1:10" x14ac:dyDescent="0.2">
      <c r="A158" s="5">
        <v>45798</v>
      </c>
      <c r="B158" s="1" t="s">
        <v>1108</v>
      </c>
      <c r="C158" s="1" t="s">
        <v>375</v>
      </c>
      <c r="D158" s="1" t="s">
        <v>131</v>
      </c>
      <c r="E158" s="1" t="s">
        <v>19</v>
      </c>
      <c r="F158" s="1"/>
      <c r="G158" s="6" t="s">
        <v>14</v>
      </c>
      <c r="H158" s="7">
        <v>75000</v>
      </c>
      <c r="I158" s="8">
        <v>30.9</v>
      </c>
      <c r="J158" s="1" t="s">
        <v>15</v>
      </c>
    </row>
    <row r="159" spans="1:10" x14ac:dyDescent="0.2">
      <c r="A159" s="5">
        <v>45798</v>
      </c>
      <c r="B159" s="1" t="s">
        <v>1109</v>
      </c>
      <c r="C159" s="1" t="s">
        <v>398</v>
      </c>
      <c r="D159" s="1" t="s">
        <v>26</v>
      </c>
      <c r="E159" s="1" t="s">
        <v>13</v>
      </c>
      <c r="F159" s="1"/>
      <c r="G159" s="6" t="s">
        <v>14</v>
      </c>
      <c r="H159" s="7">
        <v>100000</v>
      </c>
      <c r="I159" s="8">
        <v>3.8</v>
      </c>
      <c r="J159" s="1" t="s">
        <v>15</v>
      </c>
    </row>
    <row r="160" spans="1:10" x14ac:dyDescent="0.2">
      <c r="A160" s="5">
        <v>45798</v>
      </c>
      <c r="B160" s="1" t="s">
        <v>1110</v>
      </c>
      <c r="C160" s="1" t="s">
        <v>469</v>
      </c>
      <c r="D160" s="1" t="s">
        <v>26</v>
      </c>
      <c r="E160" s="1" t="s">
        <v>13</v>
      </c>
      <c r="F160" s="1"/>
      <c r="G160" s="6" t="s">
        <v>14</v>
      </c>
      <c r="H160" s="7">
        <v>80000</v>
      </c>
      <c r="I160" s="8">
        <v>6.8</v>
      </c>
      <c r="J160" s="1" t="s">
        <v>37</v>
      </c>
    </row>
    <row r="161" spans="1:10" x14ac:dyDescent="0.2">
      <c r="A161" s="5">
        <v>45798</v>
      </c>
      <c r="B161" s="1" t="s">
        <v>1110</v>
      </c>
      <c r="C161" s="1" t="s">
        <v>401</v>
      </c>
      <c r="D161" s="1" t="s">
        <v>26</v>
      </c>
      <c r="E161" s="1" t="s">
        <v>13</v>
      </c>
      <c r="F161" s="1"/>
      <c r="G161" s="6" t="s">
        <v>14</v>
      </c>
      <c r="H161" s="7">
        <v>80000</v>
      </c>
      <c r="I161" s="8">
        <v>7.4</v>
      </c>
      <c r="J161" s="1" t="s">
        <v>37</v>
      </c>
    </row>
    <row r="162" spans="1:10" x14ac:dyDescent="0.2">
      <c r="A162" s="5">
        <v>45798</v>
      </c>
      <c r="B162" s="1"/>
      <c r="C162" s="1"/>
      <c r="D162" s="1"/>
      <c r="E162" s="1" t="s">
        <v>61</v>
      </c>
      <c r="F162" s="1"/>
      <c r="G162" s="6"/>
      <c r="H162" s="7">
        <v>10000</v>
      </c>
      <c r="I162" s="8"/>
      <c r="J162" s="1" t="s">
        <v>160</v>
      </c>
    </row>
    <row r="163" spans="1:10" x14ac:dyDescent="0.2">
      <c r="A163" s="5">
        <v>45799</v>
      </c>
      <c r="B163" s="1" t="s">
        <v>564</v>
      </c>
      <c r="C163" s="1" t="s">
        <v>195</v>
      </c>
      <c r="D163" s="1" t="s">
        <v>196</v>
      </c>
      <c r="E163" s="1" t="s">
        <v>94</v>
      </c>
      <c r="F163" s="1"/>
      <c r="G163" s="6" t="s">
        <v>14</v>
      </c>
      <c r="H163" s="7">
        <v>90000</v>
      </c>
      <c r="I163" s="8">
        <v>32.9</v>
      </c>
      <c r="J163" s="1" t="s">
        <v>15</v>
      </c>
    </row>
    <row r="164" spans="1:10" x14ac:dyDescent="0.2">
      <c r="A164" s="5">
        <v>45799</v>
      </c>
      <c r="B164" s="1" t="s">
        <v>1111</v>
      </c>
      <c r="C164" s="1" t="s">
        <v>282</v>
      </c>
      <c r="D164" s="1" t="s">
        <v>914</v>
      </c>
      <c r="E164" s="1" t="s">
        <v>19</v>
      </c>
      <c r="F164" s="1"/>
      <c r="G164" s="6" t="s">
        <v>23</v>
      </c>
      <c r="H164" s="7">
        <v>60000</v>
      </c>
      <c r="I164" s="8">
        <v>21.8</v>
      </c>
      <c r="J164" s="1" t="s">
        <v>15</v>
      </c>
    </row>
    <row r="165" spans="1:10" x14ac:dyDescent="0.2">
      <c r="A165" s="5">
        <v>45799</v>
      </c>
      <c r="B165" s="1" t="s">
        <v>1112</v>
      </c>
      <c r="C165" s="1" t="s">
        <v>1113</v>
      </c>
      <c r="D165" s="1" t="s">
        <v>32</v>
      </c>
      <c r="E165" s="1" t="s">
        <v>19</v>
      </c>
      <c r="F165" s="1"/>
      <c r="G165" s="6" t="s">
        <v>14</v>
      </c>
      <c r="H165" s="7">
        <v>65000</v>
      </c>
      <c r="I165" s="8">
        <v>1.5</v>
      </c>
      <c r="J165" s="1" t="s">
        <v>15</v>
      </c>
    </row>
    <row r="166" spans="1:10" x14ac:dyDescent="0.2">
      <c r="A166" s="5">
        <v>45799</v>
      </c>
      <c r="B166" s="1" t="s">
        <v>497</v>
      </c>
      <c r="C166" s="1" t="s">
        <v>39</v>
      </c>
      <c r="D166" s="1" t="s">
        <v>26</v>
      </c>
      <c r="E166" s="1" t="s">
        <v>19</v>
      </c>
      <c r="F166" s="1"/>
      <c r="G166" s="6" t="s">
        <v>14</v>
      </c>
      <c r="H166" s="7">
        <v>65000</v>
      </c>
      <c r="I166" s="8">
        <v>3.8</v>
      </c>
      <c r="J166" s="1" t="s">
        <v>40</v>
      </c>
    </row>
    <row r="167" spans="1:10" x14ac:dyDescent="0.2">
      <c r="A167" s="5">
        <v>45799</v>
      </c>
      <c r="B167" s="1" t="s">
        <v>837</v>
      </c>
      <c r="C167" s="1" t="s">
        <v>282</v>
      </c>
      <c r="D167" s="1" t="s">
        <v>307</v>
      </c>
      <c r="E167" s="1" t="s">
        <v>94</v>
      </c>
      <c r="F167" s="1"/>
      <c r="G167" s="6" t="s">
        <v>14</v>
      </c>
      <c r="H167" s="7">
        <v>90000</v>
      </c>
      <c r="I167" s="8">
        <v>31</v>
      </c>
      <c r="J167" s="1" t="s">
        <v>15</v>
      </c>
    </row>
    <row r="168" spans="1:10" x14ac:dyDescent="0.2">
      <c r="A168" s="5">
        <v>45799</v>
      </c>
      <c r="B168" s="1" t="s">
        <v>1114</v>
      </c>
      <c r="C168" s="1" t="s">
        <v>979</v>
      </c>
      <c r="D168" s="1" t="s">
        <v>18</v>
      </c>
      <c r="E168" s="1" t="s">
        <v>13</v>
      </c>
      <c r="F168" s="1"/>
      <c r="G168" s="6" t="s">
        <v>14</v>
      </c>
      <c r="H168" s="7">
        <v>85000</v>
      </c>
      <c r="I168" s="8">
        <v>9.3000000000000007</v>
      </c>
      <c r="J168" s="1" t="s">
        <v>15</v>
      </c>
    </row>
    <row r="169" spans="1:10" x14ac:dyDescent="0.2">
      <c r="A169" s="5">
        <v>45800</v>
      </c>
      <c r="B169" s="1" t="s">
        <v>1115</v>
      </c>
      <c r="C169" s="1" t="s">
        <v>1116</v>
      </c>
      <c r="D169" s="1" t="s">
        <v>64</v>
      </c>
      <c r="E169" s="1" t="s">
        <v>13</v>
      </c>
      <c r="F169" s="1"/>
      <c r="G169" s="6" t="s">
        <v>14</v>
      </c>
      <c r="H169" s="7">
        <v>80000</v>
      </c>
      <c r="I169" s="8">
        <v>5.6</v>
      </c>
      <c r="J169" s="1" t="s">
        <v>15</v>
      </c>
    </row>
    <row r="170" spans="1:10" x14ac:dyDescent="0.2">
      <c r="A170" s="5">
        <v>45800</v>
      </c>
      <c r="B170" s="1" t="s">
        <v>1018</v>
      </c>
      <c r="C170" s="1" t="s">
        <v>1009</v>
      </c>
      <c r="D170" s="1" t="s">
        <v>64</v>
      </c>
      <c r="E170" s="1" t="s">
        <v>1010</v>
      </c>
      <c r="F170" s="1"/>
      <c r="G170" s="6" t="s">
        <v>14</v>
      </c>
      <c r="H170" s="7">
        <v>70000</v>
      </c>
      <c r="I170" s="8">
        <v>5.7</v>
      </c>
      <c r="J170" s="1" t="s">
        <v>37</v>
      </c>
    </row>
    <row r="171" spans="1:10" x14ac:dyDescent="0.2">
      <c r="A171" s="5">
        <v>45800</v>
      </c>
      <c r="B171" s="1" t="s">
        <v>995</v>
      </c>
      <c r="C171" s="1" t="s">
        <v>1117</v>
      </c>
      <c r="D171" s="1" t="s">
        <v>88</v>
      </c>
      <c r="E171" s="1" t="s">
        <v>19</v>
      </c>
      <c r="F171" s="1"/>
      <c r="G171" s="6" t="s">
        <v>14</v>
      </c>
      <c r="H171" s="7">
        <v>50000</v>
      </c>
      <c r="I171" s="8">
        <v>3.9</v>
      </c>
      <c r="J171" s="1" t="s">
        <v>15</v>
      </c>
    </row>
    <row r="172" spans="1:10" x14ac:dyDescent="0.2">
      <c r="A172" s="5">
        <v>45800</v>
      </c>
      <c r="B172" s="1" t="s">
        <v>995</v>
      </c>
      <c r="C172" s="1" t="s">
        <v>1118</v>
      </c>
      <c r="D172" s="1" t="s">
        <v>88</v>
      </c>
      <c r="E172" s="1" t="s">
        <v>19</v>
      </c>
      <c r="F172" s="1"/>
      <c r="G172" s="6" t="s">
        <v>14</v>
      </c>
      <c r="H172" s="7">
        <v>55000</v>
      </c>
      <c r="I172" s="8">
        <v>3.5</v>
      </c>
      <c r="J172" s="1" t="s">
        <v>15</v>
      </c>
    </row>
    <row r="173" spans="1:10" x14ac:dyDescent="0.2">
      <c r="A173" s="5">
        <v>45800</v>
      </c>
      <c r="B173" s="1" t="s">
        <v>995</v>
      </c>
      <c r="C173" s="1" t="s">
        <v>1119</v>
      </c>
      <c r="D173" s="1" t="s">
        <v>88</v>
      </c>
      <c r="E173" s="1" t="s">
        <v>19</v>
      </c>
      <c r="F173" s="1"/>
      <c r="G173" s="6" t="s">
        <v>14</v>
      </c>
      <c r="H173" s="7">
        <v>50000</v>
      </c>
      <c r="I173" s="8">
        <v>5.2</v>
      </c>
      <c r="J173" s="1" t="s">
        <v>15</v>
      </c>
    </row>
    <row r="174" spans="1:10" x14ac:dyDescent="0.2">
      <c r="A174" s="5">
        <v>45800</v>
      </c>
      <c r="B174" s="1" t="s">
        <v>1120</v>
      </c>
      <c r="C174" s="1" t="s">
        <v>1121</v>
      </c>
      <c r="D174" s="1" t="s">
        <v>64</v>
      </c>
      <c r="E174" s="1" t="s">
        <v>19</v>
      </c>
      <c r="F174" s="1"/>
      <c r="G174" s="6" t="s">
        <v>23</v>
      </c>
      <c r="H174" s="7">
        <v>55000</v>
      </c>
      <c r="I174" s="8">
        <v>7.7</v>
      </c>
      <c r="J174" s="1" t="s">
        <v>37</v>
      </c>
    </row>
    <row r="175" spans="1:10" x14ac:dyDescent="0.2">
      <c r="A175" s="5">
        <v>45800</v>
      </c>
      <c r="B175" s="1" t="s">
        <v>1120</v>
      </c>
      <c r="C175" s="1" t="s">
        <v>1098</v>
      </c>
      <c r="D175" s="1" t="s">
        <v>18</v>
      </c>
      <c r="E175" s="1" t="s">
        <v>13</v>
      </c>
      <c r="F175" s="1"/>
      <c r="G175" s="6"/>
      <c r="H175" s="7">
        <v>70000</v>
      </c>
      <c r="I175" s="1">
        <v>11.1</v>
      </c>
      <c r="J175" s="1" t="s">
        <v>37</v>
      </c>
    </row>
    <row r="176" spans="1:10" x14ac:dyDescent="0.2">
      <c r="A176" s="5">
        <v>45800</v>
      </c>
      <c r="B176" s="1" t="s">
        <v>569</v>
      </c>
      <c r="C176" s="1" t="s">
        <v>216</v>
      </c>
      <c r="D176" s="1" t="s">
        <v>165</v>
      </c>
      <c r="E176" s="1" t="s">
        <v>13</v>
      </c>
      <c r="F176" s="1"/>
      <c r="G176" s="6"/>
      <c r="H176" s="7">
        <v>60000</v>
      </c>
      <c r="I176" s="8">
        <v>5.0999999999999996</v>
      </c>
      <c r="J176" s="1" t="s">
        <v>15</v>
      </c>
    </row>
    <row r="177" spans="1:10" x14ac:dyDescent="0.2">
      <c r="A177" s="5">
        <v>45800</v>
      </c>
      <c r="B177" s="1" t="s">
        <v>1122</v>
      </c>
      <c r="C177" s="1" t="s">
        <v>902</v>
      </c>
      <c r="D177" s="1" t="s">
        <v>88</v>
      </c>
      <c r="E177" s="1" t="s">
        <v>94</v>
      </c>
      <c r="F177" s="1"/>
      <c r="G177" s="6" t="s">
        <v>14</v>
      </c>
      <c r="H177" s="7">
        <v>80000</v>
      </c>
      <c r="I177" s="8">
        <v>7.5</v>
      </c>
      <c r="J177" s="1" t="s">
        <v>15</v>
      </c>
    </row>
    <row r="178" spans="1:10" x14ac:dyDescent="0.2">
      <c r="A178" s="5">
        <v>45800</v>
      </c>
      <c r="B178" s="1"/>
      <c r="C178" s="1"/>
      <c r="D178" s="1"/>
      <c r="E178" s="1" t="s">
        <v>61</v>
      </c>
      <c r="F178" s="1"/>
      <c r="G178" s="6" t="s">
        <v>23</v>
      </c>
      <c r="H178" s="7">
        <v>10000</v>
      </c>
      <c r="I178" s="8"/>
      <c r="J178" s="1" t="s">
        <v>160</v>
      </c>
    </row>
    <row r="179" spans="1:10" x14ac:dyDescent="0.2">
      <c r="A179" s="5">
        <v>45800</v>
      </c>
      <c r="B179" s="1" t="s">
        <v>107</v>
      </c>
      <c r="C179" s="1" t="s">
        <v>396</v>
      </c>
      <c r="D179" s="1" t="s">
        <v>32</v>
      </c>
      <c r="E179" s="1" t="s">
        <v>19</v>
      </c>
      <c r="F179" s="1"/>
      <c r="G179" s="6" t="s">
        <v>14</v>
      </c>
      <c r="H179" s="7" t="s">
        <v>114</v>
      </c>
      <c r="I179" s="8"/>
      <c r="J179" s="1" t="s">
        <v>15</v>
      </c>
    </row>
    <row r="180" spans="1:10" x14ac:dyDescent="0.2">
      <c r="A180" s="5">
        <v>45800</v>
      </c>
      <c r="B180" s="1" t="s">
        <v>111</v>
      </c>
      <c r="C180" s="1" t="s">
        <v>63</v>
      </c>
      <c r="D180" s="1" t="s">
        <v>112</v>
      </c>
      <c r="E180" s="1" t="s">
        <v>19</v>
      </c>
      <c r="F180" s="1"/>
      <c r="G180" s="6" t="s">
        <v>14</v>
      </c>
      <c r="H180" s="7">
        <v>90000</v>
      </c>
      <c r="I180" s="8"/>
      <c r="J180" s="1" t="s">
        <v>34</v>
      </c>
    </row>
    <row r="181" spans="1:10" x14ac:dyDescent="0.2">
      <c r="A181" s="5">
        <v>45801</v>
      </c>
      <c r="B181" s="1" t="s">
        <v>1123</v>
      </c>
      <c r="C181" s="1" t="s">
        <v>955</v>
      </c>
      <c r="D181" s="1" t="s">
        <v>97</v>
      </c>
      <c r="E181" s="1" t="s">
        <v>13</v>
      </c>
      <c r="F181" s="1"/>
      <c r="G181" s="6" t="s">
        <v>14</v>
      </c>
      <c r="H181" s="7">
        <v>85000</v>
      </c>
      <c r="I181" s="8">
        <v>8.1999999999999993</v>
      </c>
      <c r="J181" s="1" t="s">
        <v>15</v>
      </c>
    </row>
    <row r="182" spans="1:10" x14ac:dyDescent="0.2">
      <c r="A182" s="5">
        <v>45801</v>
      </c>
      <c r="B182" s="1" t="s">
        <v>603</v>
      </c>
      <c r="C182" s="1" t="s">
        <v>604</v>
      </c>
      <c r="D182" s="1" t="s">
        <v>18</v>
      </c>
      <c r="E182" s="1" t="s">
        <v>19</v>
      </c>
      <c r="F182" s="1"/>
      <c r="G182" s="6" t="s">
        <v>14</v>
      </c>
      <c r="H182" s="7">
        <v>55000</v>
      </c>
      <c r="I182" s="8"/>
      <c r="J182" s="1" t="s">
        <v>15</v>
      </c>
    </row>
    <row r="183" spans="1:10" x14ac:dyDescent="0.2">
      <c r="A183" s="5">
        <v>45801</v>
      </c>
      <c r="B183" s="1" t="s">
        <v>601</v>
      </c>
      <c r="C183" s="1" t="s">
        <v>730</v>
      </c>
      <c r="D183" s="1" t="s">
        <v>18</v>
      </c>
      <c r="E183" s="1" t="s">
        <v>13</v>
      </c>
      <c r="F183" s="1"/>
      <c r="G183" s="6" t="s">
        <v>14</v>
      </c>
      <c r="H183" s="7">
        <v>80000</v>
      </c>
      <c r="I183" s="1"/>
      <c r="J183" s="1" t="s">
        <v>15</v>
      </c>
    </row>
    <row r="184" spans="1:10" x14ac:dyDescent="0.2">
      <c r="A184" s="5">
        <v>45801</v>
      </c>
      <c r="B184" s="1" t="s">
        <v>256</v>
      </c>
      <c r="C184" s="1" t="s">
        <v>257</v>
      </c>
      <c r="D184" s="1" t="s">
        <v>32</v>
      </c>
      <c r="E184" s="1" t="s">
        <v>19</v>
      </c>
      <c r="F184" s="1"/>
      <c r="G184" s="6" t="s">
        <v>14</v>
      </c>
      <c r="H184" s="7" t="s">
        <v>114</v>
      </c>
      <c r="I184" s="8"/>
      <c r="J184" s="1" t="s">
        <v>160</v>
      </c>
    </row>
    <row r="185" spans="1:10" x14ac:dyDescent="0.2">
      <c r="A185" s="5">
        <v>45801</v>
      </c>
      <c r="B185" s="1" t="s">
        <v>1124</v>
      </c>
      <c r="C185" s="1" t="s">
        <v>842</v>
      </c>
      <c r="D185" s="1" t="s">
        <v>119</v>
      </c>
      <c r="E185" s="1" t="s">
        <v>19</v>
      </c>
      <c r="F185" s="1"/>
      <c r="G185" s="6" t="s">
        <v>14</v>
      </c>
      <c r="H185" s="7">
        <v>50000</v>
      </c>
      <c r="I185" s="8"/>
      <c r="J185" s="1" t="s">
        <v>15</v>
      </c>
    </row>
    <row r="186" spans="1:10" x14ac:dyDescent="0.2">
      <c r="A186" s="5">
        <v>45801</v>
      </c>
      <c r="B186" s="1" t="s">
        <v>894</v>
      </c>
      <c r="C186" s="1" t="s">
        <v>226</v>
      </c>
      <c r="D186" s="1" t="s">
        <v>32</v>
      </c>
      <c r="E186" s="1" t="s">
        <v>19</v>
      </c>
      <c r="F186" s="1"/>
      <c r="G186" s="6" t="s">
        <v>14</v>
      </c>
      <c r="H186" s="7">
        <v>55000</v>
      </c>
      <c r="I186" s="8">
        <v>4.0999999999999996</v>
      </c>
      <c r="J186" s="1" t="s">
        <v>15</v>
      </c>
    </row>
    <row r="187" spans="1:10" x14ac:dyDescent="0.2">
      <c r="A187" s="5">
        <v>45801</v>
      </c>
      <c r="B187" s="1" t="s">
        <v>1125</v>
      </c>
      <c r="C187" s="1" t="s">
        <v>526</v>
      </c>
      <c r="D187" s="1" t="s">
        <v>22</v>
      </c>
      <c r="E187" s="1" t="s">
        <v>19</v>
      </c>
      <c r="F187" s="1"/>
      <c r="G187" s="6" t="s">
        <v>23</v>
      </c>
      <c r="H187" s="7">
        <v>55000</v>
      </c>
      <c r="I187" s="8">
        <v>10.4</v>
      </c>
      <c r="J187" s="1" t="s">
        <v>15</v>
      </c>
    </row>
    <row r="188" spans="1:10" x14ac:dyDescent="0.2">
      <c r="A188" s="5">
        <v>45801</v>
      </c>
      <c r="B188" s="1" t="s">
        <v>35</v>
      </c>
      <c r="C188" s="1" t="s">
        <v>36</v>
      </c>
      <c r="D188" s="1" t="s">
        <v>18</v>
      </c>
      <c r="E188" s="1" t="s">
        <v>13</v>
      </c>
      <c r="F188" s="1"/>
      <c r="G188" s="6" t="s">
        <v>14</v>
      </c>
      <c r="H188" s="7">
        <v>200000</v>
      </c>
      <c r="I188" s="8"/>
      <c r="J188" s="1" t="s">
        <v>15</v>
      </c>
    </row>
    <row r="189" spans="1:10" x14ac:dyDescent="0.2">
      <c r="A189" s="5">
        <v>45801</v>
      </c>
      <c r="B189" s="1" t="s">
        <v>809</v>
      </c>
      <c r="C189" s="1" t="s">
        <v>21</v>
      </c>
      <c r="D189" s="1" t="s">
        <v>18</v>
      </c>
      <c r="E189" s="1" t="s">
        <v>13</v>
      </c>
      <c r="F189" s="1"/>
      <c r="G189" s="6" t="s">
        <v>14</v>
      </c>
      <c r="H189" s="7">
        <v>70000</v>
      </c>
      <c r="I189" s="8">
        <v>17</v>
      </c>
      <c r="J189" s="1" t="s">
        <v>15</v>
      </c>
    </row>
    <row r="190" spans="1:10" x14ac:dyDescent="0.2">
      <c r="A190" s="5">
        <v>45801</v>
      </c>
      <c r="B190" s="1" t="s">
        <v>1126</v>
      </c>
      <c r="C190" s="1" t="s">
        <v>422</v>
      </c>
      <c r="D190" s="1" t="s">
        <v>18</v>
      </c>
      <c r="E190" s="1" t="s">
        <v>19</v>
      </c>
      <c r="F190" s="1"/>
      <c r="G190" s="6" t="s">
        <v>14</v>
      </c>
      <c r="H190" s="7">
        <v>65000</v>
      </c>
      <c r="I190" s="1">
        <v>11.6</v>
      </c>
      <c r="J190" s="1" t="s">
        <v>15</v>
      </c>
    </row>
    <row r="191" spans="1:10" x14ac:dyDescent="0.2">
      <c r="A191" s="5">
        <v>45801</v>
      </c>
      <c r="B191" s="1" t="s">
        <v>1127</v>
      </c>
      <c r="C191" s="1" t="s">
        <v>1128</v>
      </c>
      <c r="D191" s="1" t="s">
        <v>494</v>
      </c>
      <c r="E191" s="1" t="s">
        <v>59</v>
      </c>
      <c r="F191" s="1"/>
      <c r="G191" s="6" t="s">
        <v>14</v>
      </c>
      <c r="H191" s="7">
        <v>75000</v>
      </c>
      <c r="I191" s="8">
        <v>2.2000000000000002</v>
      </c>
      <c r="J191" s="1" t="s">
        <v>15</v>
      </c>
    </row>
    <row r="192" spans="1:10" x14ac:dyDescent="0.2">
      <c r="A192" s="5">
        <v>45801</v>
      </c>
      <c r="B192" s="1" t="s">
        <v>711</v>
      </c>
      <c r="C192" s="1" t="s">
        <v>712</v>
      </c>
      <c r="D192" s="1" t="s">
        <v>49</v>
      </c>
      <c r="E192" s="1" t="s">
        <v>19</v>
      </c>
      <c r="F192" s="1"/>
      <c r="G192" s="6" t="s">
        <v>23</v>
      </c>
      <c r="H192" s="7">
        <v>25000</v>
      </c>
      <c r="I192" s="8">
        <v>3.5</v>
      </c>
      <c r="J192" s="1" t="s">
        <v>15</v>
      </c>
    </row>
    <row r="193" spans="1:10" x14ac:dyDescent="0.2">
      <c r="A193" s="5">
        <v>45801</v>
      </c>
      <c r="B193" s="1" t="s">
        <v>1129</v>
      </c>
      <c r="C193" s="1" t="s">
        <v>1130</v>
      </c>
      <c r="D193" s="1" t="s">
        <v>97</v>
      </c>
      <c r="E193" s="1" t="s">
        <v>19</v>
      </c>
      <c r="F193" s="1"/>
      <c r="G193" s="6" t="s">
        <v>14</v>
      </c>
      <c r="H193" s="7">
        <v>80000</v>
      </c>
      <c r="I193" s="8">
        <v>9.4</v>
      </c>
      <c r="J193" s="1" t="s">
        <v>15</v>
      </c>
    </row>
    <row r="194" spans="1:10" x14ac:dyDescent="0.2">
      <c r="A194" s="5">
        <v>45803</v>
      </c>
      <c r="B194" s="1" t="s">
        <v>700</v>
      </c>
      <c r="C194" s="1" t="s">
        <v>41</v>
      </c>
      <c r="D194" s="1" t="s">
        <v>64</v>
      </c>
      <c r="E194" s="1" t="s">
        <v>19</v>
      </c>
      <c r="F194" s="1"/>
      <c r="G194" s="6" t="s">
        <v>14</v>
      </c>
      <c r="H194" s="7">
        <v>70000</v>
      </c>
      <c r="I194" s="8">
        <v>3.7</v>
      </c>
      <c r="J194" s="1" t="s">
        <v>15</v>
      </c>
    </row>
    <row r="195" spans="1:10" x14ac:dyDescent="0.2">
      <c r="A195" s="5">
        <v>45803</v>
      </c>
      <c r="B195" s="1" t="s">
        <v>1131</v>
      </c>
      <c r="C195" s="1" t="s">
        <v>904</v>
      </c>
      <c r="D195" s="1" t="s">
        <v>196</v>
      </c>
      <c r="E195" s="1" t="s">
        <v>94</v>
      </c>
      <c r="F195" s="1"/>
      <c r="G195" s="6" t="s">
        <v>14</v>
      </c>
      <c r="H195" s="7">
        <v>130000</v>
      </c>
      <c r="I195" s="8">
        <v>26.3</v>
      </c>
      <c r="J195" s="1" t="s">
        <v>15</v>
      </c>
    </row>
    <row r="196" spans="1:10" x14ac:dyDescent="0.2">
      <c r="A196" s="5">
        <v>45803</v>
      </c>
      <c r="B196" s="1" t="s">
        <v>508</v>
      </c>
      <c r="C196" s="1" t="s">
        <v>821</v>
      </c>
      <c r="D196" s="1" t="s">
        <v>64</v>
      </c>
      <c r="E196" s="1" t="s">
        <v>13</v>
      </c>
      <c r="F196" s="1"/>
      <c r="G196" s="6" t="s">
        <v>14</v>
      </c>
      <c r="H196" s="7">
        <v>70000</v>
      </c>
      <c r="I196" s="8">
        <v>14.5</v>
      </c>
      <c r="J196" s="1" t="s">
        <v>15</v>
      </c>
    </row>
    <row r="197" spans="1:10" x14ac:dyDescent="0.2">
      <c r="A197" s="5">
        <v>45803</v>
      </c>
      <c r="B197" s="1" t="s">
        <v>508</v>
      </c>
      <c r="C197" s="1" t="s">
        <v>63</v>
      </c>
      <c r="D197" s="1" t="s">
        <v>165</v>
      </c>
      <c r="E197" s="1" t="s">
        <v>13</v>
      </c>
      <c r="F197" s="1"/>
      <c r="G197" s="6" t="s">
        <v>14</v>
      </c>
      <c r="H197" s="7">
        <v>85000</v>
      </c>
      <c r="I197" s="8">
        <v>6.6</v>
      </c>
      <c r="J197" s="1" t="s">
        <v>15</v>
      </c>
    </row>
    <row r="198" spans="1:10" x14ac:dyDescent="0.2">
      <c r="A198" s="5">
        <v>45803</v>
      </c>
      <c r="B198" s="1" t="s">
        <v>393</v>
      </c>
      <c r="C198" s="1" t="s">
        <v>275</v>
      </c>
      <c r="D198" s="1" t="s">
        <v>165</v>
      </c>
      <c r="E198" s="1" t="s">
        <v>13</v>
      </c>
      <c r="F198" s="1"/>
      <c r="G198" s="6" t="s">
        <v>14</v>
      </c>
      <c r="H198" s="7">
        <v>80000</v>
      </c>
      <c r="I198" s="8"/>
      <c r="J198" s="1" t="s">
        <v>15</v>
      </c>
    </row>
    <row r="199" spans="1:10" x14ac:dyDescent="0.2">
      <c r="A199" s="5">
        <v>45803</v>
      </c>
      <c r="B199" s="1" t="s">
        <v>393</v>
      </c>
      <c r="C199" s="1" t="s">
        <v>715</v>
      </c>
      <c r="D199" s="1" t="s">
        <v>165</v>
      </c>
      <c r="E199" s="1" t="s">
        <v>13</v>
      </c>
      <c r="F199" s="1"/>
      <c r="G199" s="6" t="s">
        <v>14</v>
      </c>
      <c r="H199" s="7">
        <v>80000</v>
      </c>
      <c r="I199" s="8">
        <v>8.5</v>
      </c>
      <c r="J199" s="1" t="s">
        <v>15</v>
      </c>
    </row>
    <row r="200" spans="1:10" x14ac:dyDescent="0.2">
      <c r="A200" s="5">
        <v>45803</v>
      </c>
      <c r="B200" s="1" t="s">
        <v>1132</v>
      </c>
      <c r="C200" s="1" t="s">
        <v>1133</v>
      </c>
      <c r="D200" s="1" t="s">
        <v>131</v>
      </c>
      <c r="E200" s="1" t="s">
        <v>19</v>
      </c>
      <c r="F200" s="1"/>
      <c r="G200" s="6" t="s">
        <v>14</v>
      </c>
      <c r="H200" s="7">
        <v>95000</v>
      </c>
      <c r="I200" s="8">
        <v>32</v>
      </c>
      <c r="J200" s="1" t="s">
        <v>15</v>
      </c>
    </row>
    <row r="201" spans="1:10" x14ac:dyDescent="0.2">
      <c r="A201" s="5">
        <v>45803</v>
      </c>
      <c r="B201" s="1" t="s">
        <v>1134</v>
      </c>
      <c r="C201" s="1" t="s">
        <v>1135</v>
      </c>
      <c r="D201" s="1" t="s">
        <v>18</v>
      </c>
      <c r="E201" s="1" t="s">
        <v>19</v>
      </c>
      <c r="F201" s="1"/>
      <c r="G201" s="6" t="s">
        <v>14</v>
      </c>
      <c r="H201" s="7">
        <v>65000</v>
      </c>
      <c r="I201" s="8">
        <v>9</v>
      </c>
      <c r="J201" s="1" t="s">
        <v>15</v>
      </c>
    </row>
    <row r="202" spans="1:10" x14ac:dyDescent="0.2">
      <c r="A202" s="5">
        <v>45804</v>
      </c>
      <c r="B202" s="1" t="s">
        <v>1136</v>
      </c>
      <c r="C202" s="1" t="s">
        <v>116</v>
      </c>
      <c r="D202" s="1" t="s">
        <v>196</v>
      </c>
      <c r="E202" s="1" t="s">
        <v>94</v>
      </c>
      <c r="F202" s="1"/>
      <c r="G202" s="6" t="s">
        <v>14</v>
      </c>
      <c r="H202" s="7">
        <v>95000</v>
      </c>
      <c r="I202" s="8">
        <v>20.9</v>
      </c>
      <c r="J202" s="1" t="s">
        <v>15</v>
      </c>
    </row>
    <row r="203" spans="1:10" x14ac:dyDescent="0.2">
      <c r="A203" s="5">
        <v>45804</v>
      </c>
      <c r="B203" s="1" t="s">
        <v>1137</v>
      </c>
      <c r="C203" s="1" t="s">
        <v>1138</v>
      </c>
      <c r="D203" s="1" t="s">
        <v>26</v>
      </c>
      <c r="E203" s="1" t="s">
        <v>13</v>
      </c>
      <c r="F203" s="1"/>
      <c r="G203" s="6" t="s">
        <v>14</v>
      </c>
      <c r="H203" s="7">
        <v>85000</v>
      </c>
      <c r="I203" s="8">
        <v>7.4</v>
      </c>
      <c r="J203" s="1" t="s">
        <v>15</v>
      </c>
    </row>
    <row r="204" spans="1:10" x14ac:dyDescent="0.2">
      <c r="A204" s="5">
        <v>45804</v>
      </c>
      <c r="B204" s="1" t="s">
        <v>1137</v>
      </c>
      <c r="C204" s="1" t="s">
        <v>737</v>
      </c>
      <c r="D204" s="1" t="s">
        <v>26</v>
      </c>
      <c r="E204" s="1" t="s">
        <v>19</v>
      </c>
      <c r="F204" s="1"/>
      <c r="G204" s="6" t="s">
        <v>14</v>
      </c>
      <c r="H204" s="7">
        <v>65000</v>
      </c>
      <c r="I204" s="8">
        <v>4.5</v>
      </c>
      <c r="J204" s="1" t="s">
        <v>34</v>
      </c>
    </row>
    <row r="205" spans="1:10" x14ac:dyDescent="0.2">
      <c r="A205" s="5">
        <v>45804</v>
      </c>
      <c r="B205" s="1" t="s">
        <v>464</v>
      </c>
      <c r="C205" s="1" t="s">
        <v>465</v>
      </c>
      <c r="D205" s="1" t="s">
        <v>153</v>
      </c>
      <c r="E205" s="1" t="s">
        <v>13</v>
      </c>
      <c r="F205" s="1"/>
      <c r="G205" s="6" t="s">
        <v>14</v>
      </c>
      <c r="H205" s="7">
        <v>78000</v>
      </c>
      <c r="I205" s="8">
        <v>6</v>
      </c>
      <c r="J205" s="1" t="s">
        <v>15</v>
      </c>
    </row>
    <row r="206" spans="1:10" x14ac:dyDescent="0.2">
      <c r="A206" s="5">
        <v>45804</v>
      </c>
      <c r="B206" s="1" t="s">
        <v>985</v>
      </c>
      <c r="C206" s="1" t="s">
        <v>738</v>
      </c>
      <c r="D206" s="1" t="s">
        <v>18</v>
      </c>
      <c r="E206" s="1" t="s">
        <v>13</v>
      </c>
      <c r="F206" s="1"/>
      <c r="G206" s="6" t="s">
        <v>14</v>
      </c>
      <c r="H206" s="7">
        <v>80000</v>
      </c>
      <c r="I206" s="8">
        <v>19</v>
      </c>
      <c r="J206" s="1" t="s">
        <v>15</v>
      </c>
    </row>
    <row r="207" spans="1:10" x14ac:dyDescent="0.2">
      <c r="A207" s="5">
        <v>45804</v>
      </c>
      <c r="B207" s="1" t="s">
        <v>355</v>
      </c>
      <c r="C207" s="1" t="s">
        <v>1139</v>
      </c>
      <c r="D207" s="1" t="s">
        <v>32</v>
      </c>
      <c r="E207" s="1" t="s">
        <v>13</v>
      </c>
      <c r="F207" s="1"/>
      <c r="G207" s="6" t="s">
        <v>14</v>
      </c>
      <c r="H207" s="7">
        <v>60000</v>
      </c>
      <c r="I207" s="8">
        <v>3.4</v>
      </c>
      <c r="J207" s="1" t="s">
        <v>15</v>
      </c>
    </row>
    <row r="208" spans="1:10" x14ac:dyDescent="0.2">
      <c r="A208" s="5">
        <v>45805</v>
      </c>
      <c r="B208" s="1" t="s">
        <v>1140</v>
      </c>
      <c r="C208" s="1" t="s">
        <v>832</v>
      </c>
      <c r="D208" s="1" t="s">
        <v>122</v>
      </c>
      <c r="E208" s="1" t="s">
        <v>19</v>
      </c>
      <c r="F208" s="1"/>
      <c r="G208" s="6" t="s">
        <v>14</v>
      </c>
      <c r="H208" s="7">
        <v>80000</v>
      </c>
      <c r="I208" s="8">
        <v>19.3</v>
      </c>
      <c r="J208" s="1" t="s">
        <v>15</v>
      </c>
    </row>
    <row r="209" spans="1:10" x14ac:dyDescent="0.2">
      <c r="A209" s="5">
        <v>45805</v>
      </c>
      <c r="B209" s="1" t="s">
        <v>580</v>
      </c>
      <c r="C209" s="1" t="s">
        <v>275</v>
      </c>
      <c r="D209" s="1" t="s">
        <v>26</v>
      </c>
      <c r="E209" s="1" t="s">
        <v>13</v>
      </c>
      <c r="F209" s="1"/>
      <c r="G209" s="6" t="s">
        <v>14</v>
      </c>
      <c r="H209" s="7">
        <v>70000</v>
      </c>
      <c r="I209" s="8">
        <v>5.5</v>
      </c>
      <c r="J209" s="1" t="s">
        <v>15</v>
      </c>
    </row>
    <row r="210" spans="1:10" x14ac:dyDescent="0.2">
      <c r="A210" s="5">
        <v>45805</v>
      </c>
      <c r="B210" s="1" t="s">
        <v>72</v>
      </c>
      <c r="C210" s="1" t="s">
        <v>454</v>
      </c>
      <c r="D210" s="1" t="s">
        <v>58</v>
      </c>
      <c r="E210" s="1" t="s">
        <v>59</v>
      </c>
      <c r="F210" s="1"/>
      <c r="G210" s="6" t="s">
        <v>14</v>
      </c>
      <c r="H210" s="7">
        <v>80000</v>
      </c>
      <c r="I210" s="8"/>
      <c r="J210" s="1" t="s">
        <v>15</v>
      </c>
    </row>
    <row r="211" spans="1:10" x14ac:dyDescent="0.2">
      <c r="A211" s="5">
        <v>45805</v>
      </c>
      <c r="B211" s="1" t="s">
        <v>72</v>
      </c>
      <c r="C211" s="1" t="s">
        <v>604</v>
      </c>
      <c r="D211" s="1" t="s">
        <v>58</v>
      </c>
      <c r="E211" s="1" t="s">
        <v>59</v>
      </c>
      <c r="F211" s="1"/>
      <c r="G211" s="6" t="s">
        <v>14</v>
      </c>
      <c r="H211" s="7">
        <v>80000</v>
      </c>
      <c r="I211" s="8"/>
      <c r="J211" s="1" t="s">
        <v>15</v>
      </c>
    </row>
    <row r="212" spans="1:10" x14ac:dyDescent="0.2">
      <c r="A212" s="5">
        <v>45805</v>
      </c>
      <c r="B212" s="1" t="s">
        <v>489</v>
      </c>
      <c r="C212" s="1" t="s">
        <v>998</v>
      </c>
      <c r="D212" s="1" t="s">
        <v>64</v>
      </c>
      <c r="E212" s="1" t="s">
        <v>19</v>
      </c>
      <c r="F212" s="1"/>
      <c r="G212" s="6" t="s">
        <v>23</v>
      </c>
      <c r="H212" s="7">
        <v>45000</v>
      </c>
      <c r="I212" s="8">
        <v>9</v>
      </c>
      <c r="J212" s="1" t="s">
        <v>15</v>
      </c>
    </row>
    <row r="213" spans="1:10" x14ac:dyDescent="0.2">
      <c r="A213" s="5">
        <v>45805</v>
      </c>
      <c r="B213" s="1" t="s">
        <v>1141</v>
      </c>
      <c r="C213" s="1" t="s">
        <v>11</v>
      </c>
      <c r="D213" s="1" t="s">
        <v>64</v>
      </c>
      <c r="E213" s="1" t="s">
        <v>13</v>
      </c>
      <c r="F213" s="1"/>
      <c r="G213" s="6" t="s">
        <v>14</v>
      </c>
      <c r="H213" s="7">
        <v>75000</v>
      </c>
      <c r="I213" s="8">
        <v>8</v>
      </c>
      <c r="J213" s="1" t="s">
        <v>15</v>
      </c>
    </row>
    <row r="214" spans="1:10" x14ac:dyDescent="0.2">
      <c r="A214" s="5">
        <v>45806</v>
      </c>
      <c r="B214" s="1" t="s">
        <v>576</v>
      </c>
      <c r="C214" s="1" t="s">
        <v>63</v>
      </c>
      <c r="D214" s="1" t="s">
        <v>49</v>
      </c>
      <c r="E214" s="1" t="s">
        <v>61</v>
      </c>
      <c r="F214" s="1"/>
      <c r="G214" s="6" t="s">
        <v>23</v>
      </c>
      <c r="H214" s="7">
        <v>8000</v>
      </c>
      <c r="I214" s="8"/>
      <c r="J214" s="1"/>
    </row>
    <row r="215" spans="1:10" x14ac:dyDescent="0.2">
      <c r="A215" s="5">
        <v>45806</v>
      </c>
      <c r="B215" s="1" t="s">
        <v>388</v>
      </c>
      <c r="C215" s="1" t="s">
        <v>389</v>
      </c>
      <c r="D215" s="1" t="s">
        <v>196</v>
      </c>
      <c r="E215" s="1" t="s">
        <v>94</v>
      </c>
      <c r="F215" s="1"/>
      <c r="G215" s="6" t="s">
        <v>14</v>
      </c>
      <c r="H215" s="7">
        <v>85000</v>
      </c>
      <c r="I215" s="8">
        <v>25.3</v>
      </c>
      <c r="J215" s="1"/>
    </row>
    <row r="216" spans="1:10" x14ac:dyDescent="0.2">
      <c r="A216" s="5">
        <v>45806</v>
      </c>
      <c r="B216" s="1" t="s">
        <v>705</v>
      </c>
      <c r="C216" s="1" t="s">
        <v>514</v>
      </c>
      <c r="D216" s="1" t="s">
        <v>45</v>
      </c>
      <c r="E216" s="1" t="s">
        <v>19</v>
      </c>
      <c r="F216" s="1"/>
      <c r="G216" s="6" t="s">
        <v>23</v>
      </c>
      <c r="H216" s="7">
        <v>55000</v>
      </c>
      <c r="I216" s="8">
        <v>12</v>
      </c>
      <c r="J216" s="1"/>
    </row>
    <row r="217" spans="1:10" x14ac:dyDescent="0.2">
      <c r="A217" s="5">
        <v>45806</v>
      </c>
      <c r="B217" s="1" t="s">
        <v>464</v>
      </c>
      <c r="C217" s="1" t="s">
        <v>760</v>
      </c>
      <c r="D217" s="1" t="s">
        <v>26</v>
      </c>
      <c r="E217" s="1" t="s">
        <v>13</v>
      </c>
      <c r="F217" s="1"/>
      <c r="G217" s="6" t="s">
        <v>14</v>
      </c>
      <c r="H217" s="7">
        <v>90000</v>
      </c>
      <c r="I217" s="8">
        <v>10.3</v>
      </c>
      <c r="J217" s="1"/>
    </row>
    <row r="218" spans="1:10" x14ac:dyDescent="0.2">
      <c r="A218" s="5">
        <v>45806</v>
      </c>
      <c r="B218" s="1" t="s">
        <v>1142</v>
      </c>
      <c r="C218" s="1" t="s">
        <v>940</v>
      </c>
      <c r="D218" s="1" t="s">
        <v>49</v>
      </c>
      <c r="E218" s="1" t="s">
        <v>19</v>
      </c>
      <c r="F218" s="1"/>
      <c r="G218" s="6" t="s">
        <v>23</v>
      </c>
      <c r="H218" s="7">
        <v>30000</v>
      </c>
      <c r="I218" s="8">
        <v>3.6</v>
      </c>
      <c r="J218" s="1"/>
    </row>
    <row r="219" spans="1:10" x14ac:dyDescent="0.2">
      <c r="A219" s="5">
        <v>45806</v>
      </c>
      <c r="B219" s="1" t="s">
        <v>1143</v>
      </c>
      <c r="C219" s="1" t="s">
        <v>382</v>
      </c>
      <c r="D219" s="1" t="s">
        <v>22</v>
      </c>
      <c r="E219" s="1" t="s">
        <v>19</v>
      </c>
      <c r="F219" s="1"/>
      <c r="G219" s="6" t="s">
        <v>23</v>
      </c>
      <c r="H219" s="7">
        <v>55000</v>
      </c>
      <c r="I219" s="8">
        <v>11</v>
      </c>
      <c r="J219" s="1"/>
    </row>
    <row r="220" spans="1:10" x14ac:dyDescent="0.2">
      <c r="A220" s="5">
        <v>45806</v>
      </c>
      <c r="B220" s="1" t="s">
        <v>861</v>
      </c>
      <c r="C220" s="1" t="s">
        <v>356</v>
      </c>
      <c r="D220" s="1" t="s">
        <v>49</v>
      </c>
      <c r="E220" s="1" t="s">
        <v>19</v>
      </c>
      <c r="F220" s="1"/>
      <c r="G220" s="6" t="s">
        <v>23</v>
      </c>
      <c r="H220" s="7">
        <v>30000</v>
      </c>
      <c r="I220" s="8">
        <v>5.2</v>
      </c>
      <c r="J220" s="1"/>
    </row>
    <row r="221" spans="1:10" x14ac:dyDescent="0.2">
      <c r="A221" s="5">
        <v>45806</v>
      </c>
      <c r="B221" s="1" t="s">
        <v>728</v>
      </c>
      <c r="C221" s="1" t="s">
        <v>313</v>
      </c>
      <c r="D221" s="1" t="s">
        <v>196</v>
      </c>
      <c r="E221" s="1" t="s">
        <v>94</v>
      </c>
      <c r="F221" s="1"/>
      <c r="G221" s="6"/>
      <c r="H221" s="7">
        <v>65000</v>
      </c>
      <c r="I221" s="8">
        <v>17</v>
      </c>
      <c r="J221" s="1"/>
    </row>
    <row r="222" spans="1:10" x14ac:dyDescent="0.2">
      <c r="A222" s="5">
        <v>45806</v>
      </c>
      <c r="B222" s="1" t="s">
        <v>1144</v>
      </c>
      <c r="C222" s="1" t="s">
        <v>890</v>
      </c>
      <c r="D222" s="1" t="s">
        <v>165</v>
      </c>
      <c r="E222" s="1" t="s">
        <v>13</v>
      </c>
      <c r="F222" s="1"/>
      <c r="G222" s="6" t="s">
        <v>14</v>
      </c>
      <c r="H222" s="7">
        <v>90000</v>
      </c>
      <c r="I222" s="8">
        <v>4.2</v>
      </c>
      <c r="J222" s="1"/>
    </row>
    <row r="223" spans="1:10" x14ac:dyDescent="0.2">
      <c r="A223" s="5">
        <v>45806</v>
      </c>
      <c r="B223" s="1" t="s">
        <v>92</v>
      </c>
      <c r="C223" s="1" t="s">
        <v>93</v>
      </c>
      <c r="D223" s="1" t="s">
        <v>88</v>
      </c>
      <c r="E223" s="1" t="s">
        <v>13</v>
      </c>
      <c r="F223" s="1"/>
      <c r="G223" s="6"/>
      <c r="H223" s="7">
        <v>70000</v>
      </c>
      <c r="I223" s="8">
        <v>5.6</v>
      </c>
      <c r="J223" s="1"/>
    </row>
    <row r="224" spans="1:10" x14ac:dyDescent="0.2">
      <c r="A224" s="5">
        <v>45806</v>
      </c>
      <c r="B224" s="1" t="s">
        <v>1145</v>
      </c>
      <c r="C224" s="1" t="s">
        <v>63</v>
      </c>
      <c r="D224" s="1" t="s">
        <v>64</v>
      </c>
      <c r="E224" s="1" t="s">
        <v>19</v>
      </c>
      <c r="F224" s="1"/>
      <c r="G224" s="6" t="s">
        <v>23</v>
      </c>
      <c r="H224" s="7">
        <v>45000</v>
      </c>
      <c r="I224" s="8">
        <v>6.9</v>
      </c>
      <c r="J224" s="1"/>
    </row>
    <row r="225" spans="1:10" x14ac:dyDescent="0.2">
      <c r="A225" s="5">
        <v>45806</v>
      </c>
      <c r="B225" s="1" t="s">
        <v>1145</v>
      </c>
      <c r="C225" s="1" t="s">
        <v>526</v>
      </c>
      <c r="D225" s="1" t="s">
        <v>64</v>
      </c>
      <c r="E225" s="1" t="s">
        <v>19</v>
      </c>
      <c r="F225" s="1"/>
      <c r="G225" s="6" t="s">
        <v>23</v>
      </c>
      <c r="H225" s="7">
        <v>50000</v>
      </c>
      <c r="I225" s="8">
        <v>9.6</v>
      </c>
      <c r="J225" s="1"/>
    </row>
    <row r="226" spans="1:10" x14ac:dyDescent="0.2">
      <c r="A226" s="5">
        <v>45806</v>
      </c>
      <c r="B226" s="1" t="s">
        <v>1146</v>
      </c>
      <c r="C226" s="1" t="s">
        <v>803</v>
      </c>
      <c r="D226" s="1" t="s">
        <v>32</v>
      </c>
      <c r="E226" s="1" t="s">
        <v>78</v>
      </c>
      <c r="F226" s="1"/>
      <c r="G226" s="6" t="s">
        <v>14</v>
      </c>
      <c r="H226" s="7">
        <v>75000</v>
      </c>
      <c r="I226" s="8">
        <v>2.4</v>
      </c>
      <c r="J226" s="1"/>
    </row>
    <row r="227" spans="1:10" x14ac:dyDescent="0.2">
      <c r="A227" s="5">
        <v>45806</v>
      </c>
      <c r="B227" s="17"/>
      <c r="C227" s="17"/>
      <c r="D227" s="1"/>
      <c r="E227" s="1" t="s">
        <v>61</v>
      </c>
      <c r="F227" s="17"/>
      <c r="G227" s="6"/>
      <c r="H227" s="7">
        <v>10000</v>
      </c>
      <c r="I227" s="17"/>
      <c r="J227" s="1"/>
    </row>
    <row r="228" spans="1:10" x14ac:dyDescent="0.2">
      <c r="A228" s="5">
        <v>45807</v>
      </c>
      <c r="B228" s="1" t="s">
        <v>782</v>
      </c>
      <c r="C228" s="1" t="s">
        <v>1016</v>
      </c>
      <c r="D228" s="1" t="s">
        <v>18</v>
      </c>
      <c r="E228" s="1" t="s">
        <v>13</v>
      </c>
      <c r="F228" s="1"/>
      <c r="G228" s="6" t="s">
        <v>14</v>
      </c>
      <c r="H228" s="7">
        <v>65000</v>
      </c>
      <c r="I228" s="8">
        <v>12.7</v>
      </c>
      <c r="J228" s="1"/>
    </row>
    <row r="229" spans="1:10" x14ac:dyDescent="0.2">
      <c r="A229" s="5">
        <v>45807</v>
      </c>
      <c r="B229" s="1" t="s">
        <v>665</v>
      </c>
      <c r="C229" s="1" t="s">
        <v>433</v>
      </c>
      <c r="D229" s="1" t="s">
        <v>64</v>
      </c>
      <c r="E229" s="1" t="s">
        <v>13</v>
      </c>
      <c r="F229" s="1"/>
      <c r="G229" s="6" t="s">
        <v>14</v>
      </c>
      <c r="H229" s="7">
        <v>75000</v>
      </c>
      <c r="I229" s="8">
        <v>8.5</v>
      </c>
      <c r="J229" s="1"/>
    </row>
    <row r="230" spans="1:10" x14ac:dyDescent="0.2">
      <c r="A230" s="5">
        <v>45807</v>
      </c>
      <c r="B230" s="1" t="s">
        <v>288</v>
      </c>
      <c r="C230" s="1" t="s">
        <v>289</v>
      </c>
      <c r="D230" s="1" t="s">
        <v>64</v>
      </c>
      <c r="E230" s="1" t="s">
        <v>13</v>
      </c>
      <c r="F230" s="1"/>
      <c r="G230" s="6" t="s">
        <v>14</v>
      </c>
      <c r="H230" s="7">
        <v>60000</v>
      </c>
      <c r="I230" s="8"/>
      <c r="J230" s="1"/>
    </row>
    <row r="231" spans="1:10" x14ac:dyDescent="0.2">
      <c r="A231" s="5">
        <v>45807</v>
      </c>
      <c r="B231" s="1" t="s">
        <v>795</v>
      </c>
      <c r="C231" s="1" t="s">
        <v>796</v>
      </c>
      <c r="D231" s="1" t="s">
        <v>18</v>
      </c>
      <c r="E231" s="1" t="s">
        <v>19</v>
      </c>
      <c r="F231" s="1"/>
      <c r="G231" s="6" t="s">
        <v>14</v>
      </c>
      <c r="H231" s="7">
        <v>150000</v>
      </c>
      <c r="I231" s="8">
        <v>12.5</v>
      </c>
      <c r="J231" s="1"/>
    </row>
    <row r="232" spans="1:10" x14ac:dyDescent="0.2">
      <c r="A232" s="5">
        <v>45807</v>
      </c>
      <c r="B232" s="1" t="s">
        <v>835</v>
      </c>
      <c r="C232" s="1" t="s">
        <v>836</v>
      </c>
      <c r="D232" s="1" t="s">
        <v>119</v>
      </c>
      <c r="E232" s="1" t="s">
        <v>19</v>
      </c>
      <c r="F232" s="1"/>
      <c r="G232" s="6" t="s">
        <v>23</v>
      </c>
      <c r="H232" s="7">
        <v>45000</v>
      </c>
      <c r="I232" s="8">
        <v>11.3</v>
      </c>
      <c r="J232" s="1"/>
    </row>
    <row r="233" spans="1:10" x14ac:dyDescent="0.2">
      <c r="A233" s="5">
        <v>45807</v>
      </c>
      <c r="B233" s="1" t="s">
        <v>739</v>
      </c>
      <c r="C233" s="1" t="s">
        <v>140</v>
      </c>
      <c r="D233" s="1" t="s">
        <v>26</v>
      </c>
      <c r="E233" s="1" t="s">
        <v>19</v>
      </c>
      <c r="F233" s="1"/>
      <c r="G233" s="6" t="s">
        <v>14</v>
      </c>
      <c r="H233" s="7">
        <v>78000</v>
      </c>
      <c r="I233" s="8">
        <v>5.0999999999999996</v>
      </c>
      <c r="J233" s="1"/>
    </row>
    <row r="234" spans="1:10" x14ac:dyDescent="0.2">
      <c r="A234" s="5">
        <v>45807</v>
      </c>
      <c r="B234" s="1" t="s">
        <v>397</v>
      </c>
      <c r="C234" s="1" t="s">
        <v>398</v>
      </c>
      <c r="D234" s="1" t="s">
        <v>112</v>
      </c>
      <c r="E234" s="1" t="s">
        <v>113</v>
      </c>
      <c r="F234" s="1"/>
      <c r="G234" s="6" t="s">
        <v>14</v>
      </c>
      <c r="H234" s="7" t="s">
        <v>114</v>
      </c>
      <c r="I234" s="8"/>
      <c r="J234" s="1"/>
    </row>
    <row r="235" spans="1:10" x14ac:dyDescent="0.2">
      <c r="A235" s="5">
        <v>45808</v>
      </c>
      <c r="B235" s="1" t="s">
        <v>1147</v>
      </c>
      <c r="C235" s="1" t="s">
        <v>148</v>
      </c>
      <c r="D235" s="1" t="s">
        <v>32</v>
      </c>
      <c r="E235" s="1" t="s">
        <v>19</v>
      </c>
      <c r="F235" s="1"/>
      <c r="G235" s="6" t="s">
        <v>14</v>
      </c>
      <c r="H235" s="7">
        <v>65000</v>
      </c>
      <c r="I235" s="8">
        <v>5.4</v>
      </c>
      <c r="J235" s="1"/>
    </row>
    <row r="236" spans="1:10" x14ac:dyDescent="0.2">
      <c r="A236" s="5">
        <v>45808</v>
      </c>
      <c r="B236" s="1" t="s">
        <v>607</v>
      </c>
      <c r="C236" s="1" t="s">
        <v>211</v>
      </c>
      <c r="D236" s="1" t="s">
        <v>32</v>
      </c>
      <c r="E236" s="1" t="s">
        <v>19</v>
      </c>
      <c r="F236" s="1"/>
      <c r="G236" s="6" t="s">
        <v>14</v>
      </c>
      <c r="H236" s="7">
        <v>55000</v>
      </c>
      <c r="I236" s="8"/>
      <c r="J236" s="1"/>
    </row>
    <row r="237" spans="1:10" x14ac:dyDescent="0.2">
      <c r="A237" s="5">
        <v>45808</v>
      </c>
      <c r="B237" s="1" t="s">
        <v>115</v>
      </c>
      <c r="C237" s="1" t="s">
        <v>257</v>
      </c>
      <c r="D237" s="1" t="s">
        <v>32</v>
      </c>
      <c r="E237" s="1" t="s">
        <v>113</v>
      </c>
      <c r="F237" s="1"/>
      <c r="G237" s="6" t="s">
        <v>14</v>
      </c>
      <c r="H237" s="7">
        <v>100000</v>
      </c>
      <c r="I237" s="8"/>
      <c r="J237" s="1"/>
    </row>
    <row r="238" spans="1:10" x14ac:dyDescent="0.2">
      <c r="A238" s="5">
        <v>45808</v>
      </c>
      <c r="B238" s="1" t="s">
        <v>132</v>
      </c>
      <c r="C238" s="1" t="s">
        <v>36</v>
      </c>
      <c r="D238" s="1" t="s">
        <v>18</v>
      </c>
      <c r="E238" s="1" t="s">
        <v>19</v>
      </c>
      <c r="F238" s="1"/>
      <c r="G238" s="6" t="s">
        <v>14</v>
      </c>
      <c r="H238" s="7" t="s">
        <v>114</v>
      </c>
      <c r="I238" s="8"/>
      <c r="J238" s="1"/>
    </row>
    <row r="239" spans="1:10" x14ac:dyDescent="0.2">
      <c r="A239" s="5">
        <v>45808</v>
      </c>
      <c r="B239" s="1" t="s">
        <v>230</v>
      </c>
      <c r="C239" s="1" t="s">
        <v>808</v>
      </c>
      <c r="D239" s="1" t="s">
        <v>64</v>
      </c>
      <c r="E239" s="1" t="s">
        <v>19</v>
      </c>
      <c r="F239" s="1"/>
      <c r="G239" s="6" t="s">
        <v>23</v>
      </c>
      <c r="H239" s="7">
        <v>50000</v>
      </c>
      <c r="I239" s="8">
        <v>12</v>
      </c>
      <c r="J239" s="1"/>
    </row>
    <row r="240" spans="1:10" x14ac:dyDescent="0.2">
      <c r="A240" s="5">
        <v>45808</v>
      </c>
      <c r="B240" s="1" t="s">
        <v>1148</v>
      </c>
      <c r="C240" s="1" t="s">
        <v>1149</v>
      </c>
      <c r="D240" s="1" t="s">
        <v>119</v>
      </c>
      <c r="E240" s="1" t="s">
        <v>19</v>
      </c>
      <c r="F240" s="1"/>
      <c r="G240" s="6" t="s">
        <v>23</v>
      </c>
      <c r="H240" s="7">
        <v>55000</v>
      </c>
      <c r="I240" s="8">
        <v>9.1999999999999993</v>
      </c>
      <c r="J240" s="1"/>
    </row>
    <row r="241" spans="1:10" x14ac:dyDescent="0.2">
      <c r="A241" s="5">
        <v>45808</v>
      </c>
      <c r="B241" s="1" t="s">
        <v>922</v>
      </c>
      <c r="C241" s="1" t="s">
        <v>923</v>
      </c>
      <c r="D241" s="1" t="s">
        <v>64</v>
      </c>
      <c r="E241" s="1" t="s">
        <v>19</v>
      </c>
      <c r="F241" s="1"/>
      <c r="G241" s="6" t="s">
        <v>23</v>
      </c>
      <c r="H241" s="7">
        <v>60000</v>
      </c>
      <c r="I241" s="8"/>
      <c r="J241" s="1"/>
    </row>
    <row r="242" spans="1:10" x14ac:dyDescent="0.2">
      <c r="A242" s="5">
        <v>45808</v>
      </c>
      <c r="B242" s="1" t="s">
        <v>1150</v>
      </c>
      <c r="C242" s="1" t="s">
        <v>46</v>
      </c>
      <c r="D242" s="1" t="s">
        <v>88</v>
      </c>
      <c r="E242" s="1" t="s">
        <v>94</v>
      </c>
      <c r="F242" s="1"/>
      <c r="G242" s="6" t="s">
        <v>14</v>
      </c>
      <c r="H242" s="7">
        <v>65000</v>
      </c>
      <c r="I242" s="8"/>
      <c r="J242" s="1"/>
    </row>
    <row r="243" spans="1:10" x14ac:dyDescent="0.2">
      <c r="A243" s="5">
        <v>45808</v>
      </c>
      <c r="B243" s="1" t="s">
        <v>1150</v>
      </c>
      <c r="C243" s="1" t="s">
        <v>245</v>
      </c>
      <c r="D243" s="1" t="s">
        <v>88</v>
      </c>
      <c r="E243" s="1" t="s">
        <v>94</v>
      </c>
      <c r="F243" s="1"/>
      <c r="G243" s="6" t="s">
        <v>14</v>
      </c>
      <c r="H243" s="7">
        <v>65000</v>
      </c>
      <c r="I243" s="8"/>
      <c r="J243" s="1"/>
    </row>
    <row r="244" spans="1:10" x14ac:dyDescent="0.2">
      <c r="A244" s="5">
        <v>45808</v>
      </c>
      <c r="B244" s="1" t="s">
        <v>84</v>
      </c>
      <c r="C244" s="1" t="s">
        <v>85</v>
      </c>
      <c r="D244" s="1" t="s">
        <v>64</v>
      </c>
      <c r="E244" s="1" t="s">
        <v>19</v>
      </c>
      <c r="F244" s="1"/>
      <c r="G244" s="6" t="s">
        <v>23</v>
      </c>
      <c r="H244" s="7">
        <v>50000</v>
      </c>
      <c r="I244" s="8"/>
      <c r="J244" s="1"/>
    </row>
    <row r="245" spans="1:10" x14ac:dyDescent="0.2">
      <c r="A245" s="5"/>
      <c r="B245" s="1"/>
      <c r="C245" s="1"/>
      <c r="D245" s="1"/>
      <c r="E245" s="1" t="s">
        <v>61</v>
      </c>
      <c r="F245" s="1"/>
      <c r="G245" s="6"/>
      <c r="H245" s="7">
        <v>10000</v>
      </c>
      <c r="I245" s="8"/>
      <c r="J245" s="1"/>
    </row>
    <row r="246" spans="1:10" x14ac:dyDescent="0.2">
      <c r="A246" s="5"/>
      <c r="B246" s="1"/>
      <c r="C246" s="1"/>
      <c r="D246" s="1"/>
      <c r="E246" s="1"/>
      <c r="F246" s="1"/>
      <c r="G246" s="6"/>
      <c r="H246" s="7"/>
      <c r="I246" s="8"/>
      <c r="J246" s="1"/>
    </row>
    <row r="247" spans="1:10" x14ac:dyDescent="0.2">
      <c r="A247" s="5"/>
      <c r="B247" s="1"/>
      <c r="C247" s="1"/>
      <c r="D247" s="1"/>
      <c r="E247" s="1"/>
      <c r="F247" s="1"/>
      <c r="G247" s="6"/>
      <c r="H247" s="7"/>
      <c r="I247" s="8"/>
      <c r="J247" s="1"/>
    </row>
    <row r="248" spans="1:10" x14ac:dyDescent="0.2">
      <c r="A248" s="5"/>
      <c r="B248" s="1"/>
      <c r="C248" s="1"/>
      <c r="D248" s="1"/>
      <c r="E248" s="1"/>
      <c r="F248" s="1"/>
      <c r="G248" s="6"/>
      <c r="H248" s="7"/>
      <c r="I248" s="8"/>
      <c r="J248" s="1"/>
    </row>
    <row r="249" spans="1:10" x14ac:dyDescent="0.2">
      <c r="A249" s="5"/>
      <c r="B249" s="1"/>
      <c r="C249" s="1"/>
      <c r="D249" s="1"/>
      <c r="E249" s="1"/>
      <c r="F249" s="1"/>
      <c r="G249" s="6"/>
      <c r="H249" s="7"/>
      <c r="I249" s="8"/>
      <c r="J249" s="1"/>
    </row>
    <row r="250" spans="1:10" x14ac:dyDescent="0.2">
      <c r="A250" s="5"/>
      <c r="B250" s="1"/>
      <c r="C250" s="1"/>
      <c r="D250" s="1"/>
      <c r="E250" s="1"/>
      <c r="F250" s="1"/>
      <c r="G250" s="6"/>
      <c r="H250" s="7"/>
      <c r="I250" s="8"/>
      <c r="J250" s="1"/>
    </row>
    <row r="251" spans="1:10" x14ac:dyDescent="0.2">
      <c r="A251" s="5"/>
      <c r="B251" s="1"/>
      <c r="C251" s="1"/>
      <c r="D251" s="1"/>
      <c r="E251" s="1"/>
      <c r="F251" s="1"/>
      <c r="G251" s="6"/>
      <c r="H251" s="7"/>
      <c r="I251" s="8"/>
      <c r="J251" s="1"/>
    </row>
  </sheetData>
  <autoFilter ref="A1:J245" xr:uid="{00000000-0009-0000-0000-000004000000}"/>
  <dataValidations count="6">
    <dataValidation type="list" allowBlank="1" showErrorMessage="1" sqref="D244" xr:uid="{00000000-0002-0000-04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51" xr:uid="{00000000-0002-0000-0400-000001000000}">
      <formula1>"LARGO,CORTO"</formula1>
    </dataValidation>
    <dataValidation type="list" allowBlank="1" showErrorMessage="1" sqref="D121" xr:uid="{00000000-0002-0000-0400-000002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51" xr:uid="{00000000-0002-0000-0400-000003000000}">
      <formula1>"MOÑO,MOÑOS,CORBATÍN,PAÑOLETA,NO"</formula1>
    </dataValidation>
    <dataValidation type="list" allowBlank="1" showErrorMessage="1" sqref="D2:D120 D122:D243 D245:D251" xr:uid="{00000000-0002-0000-0400-000004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FRISE,MUNCHKIN,DOBERMAN,WEIMARANER,SPRINGER SPANIEL"</formula1>
    </dataValidation>
    <dataValidation type="list" allowBlank="1" showErrorMessage="1" sqref="E2:E251" xr:uid="{00000000-0002-0000-0400-000005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43"/>
  <sheetViews>
    <sheetView workbookViewId="0"/>
  </sheetViews>
  <sheetFormatPr baseColWidth="10" defaultColWidth="12.6640625" defaultRowHeight="15.75" customHeight="1" x14ac:dyDescent="0.15"/>
  <cols>
    <col min="2" max="2" width="29.6640625" customWidth="1"/>
    <col min="3" max="3" width="16" customWidth="1"/>
    <col min="4" max="4" width="25.1640625" customWidth="1"/>
    <col min="5" max="5" width="25.6640625" customWidth="1"/>
    <col min="6" max="6" width="23.6640625" customWidth="1"/>
    <col min="7" max="7" width="13.6640625" customWidth="1"/>
    <col min="10" max="10" width="26.6640625" customWidth="1"/>
  </cols>
  <sheetData>
    <row r="1" spans="1:10" x14ac:dyDescent="0.2">
      <c r="A1" s="2" t="s">
        <v>1151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45811</v>
      </c>
      <c r="B2" s="1" t="s">
        <v>909</v>
      </c>
      <c r="C2" s="1" t="s">
        <v>910</v>
      </c>
      <c r="D2" s="1" t="s">
        <v>49</v>
      </c>
      <c r="E2" s="1" t="s">
        <v>19</v>
      </c>
      <c r="F2" s="1"/>
      <c r="G2" s="6" t="s">
        <v>23</v>
      </c>
      <c r="H2" s="7">
        <v>30000</v>
      </c>
      <c r="I2" s="8">
        <v>4.3</v>
      </c>
      <c r="J2" s="1" t="s">
        <v>15</v>
      </c>
    </row>
    <row r="3" spans="1:10" x14ac:dyDescent="0.2">
      <c r="A3" s="5">
        <v>45811</v>
      </c>
      <c r="B3" s="1" t="s">
        <v>328</v>
      </c>
      <c r="C3" s="1" t="s">
        <v>46</v>
      </c>
      <c r="D3" s="1" t="s">
        <v>18</v>
      </c>
      <c r="E3" s="1" t="s">
        <v>13</v>
      </c>
      <c r="F3" s="1"/>
      <c r="G3" s="6" t="s">
        <v>14</v>
      </c>
      <c r="H3" s="7">
        <v>80000</v>
      </c>
      <c r="I3" s="8">
        <v>14.2</v>
      </c>
      <c r="J3" s="1" t="s">
        <v>15</v>
      </c>
    </row>
    <row r="4" spans="1:10" x14ac:dyDescent="0.2">
      <c r="A4" s="5">
        <v>45811</v>
      </c>
      <c r="B4" s="1" t="s">
        <v>200</v>
      </c>
      <c r="C4" s="1" t="s">
        <v>201</v>
      </c>
      <c r="D4" s="1" t="s">
        <v>26</v>
      </c>
      <c r="E4" s="1" t="s">
        <v>19</v>
      </c>
      <c r="F4" s="1"/>
      <c r="G4" s="6" t="s">
        <v>14</v>
      </c>
      <c r="H4" s="7">
        <v>65000</v>
      </c>
      <c r="I4" s="1">
        <v>7.4</v>
      </c>
      <c r="J4" s="1" t="s">
        <v>15</v>
      </c>
    </row>
    <row r="5" spans="1:10" x14ac:dyDescent="0.2">
      <c r="A5" s="5">
        <v>45811</v>
      </c>
      <c r="B5" s="1" t="s">
        <v>1152</v>
      </c>
      <c r="C5" s="1" t="s">
        <v>1041</v>
      </c>
      <c r="D5" s="1" t="s">
        <v>119</v>
      </c>
      <c r="E5" s="1" t="s">
        <v>19</v>
      </c>
      <c r="F5" s="1"/>
      <c r="G5" s="6" t="s">
        <v>23</v>
      </c>
      <c r="H5" s="7">
        <v>60000</v>
      </c>
      <c r="I5" s="8">
        <v>13</v>
      </c>
      <c r="J5" s="1" t="s">
        <v>15</v>
      </c>
    </row>
    <row r="6" spans="1:10" x14ac:dyDescent="0.2">
      <c r="A6" s="5">
        <v>45811</v>
      </c>
      <c r="B6" s="1" t="s">
        <v>455</v>
      </c>
      <c r="C6" s="1" t="s">
        <v>275</v>
      </c>
      <c r="D6" s="1" t="s">
        <v>32</v>
      </c>
      <c r="E6" s="1" t="s">
        <v>13</v>
      </c>
      <c r="F6" s="1"/>
      <c r="G6" s="6" t="s">
        <v>14</v>
      </c>
      <c r="H6" s="7">
        <v>75000</v>
      </c>
      <c r="I6" s="8">
        <v>3.4</v>
      </c>
      <c r="J6" s="1" t="s">
        <v>15</v>
      </c>
    </row>
    <row r="7" spans="1:10" x14ac:dyDescent="0.2">
      <c r="A7" s="5">
        <v>45811</v>
      </c>
      <c r="B7" s="1" t="s">
        <v>1153</v>
      </c>
      <c r="C7" s="1" t="s">
        <v>440</v>
      </c>
      <c r="D7" s="1" t="s">
        <v>18</v>
      </c>
      <c r="E7" s="1" t="s">
        <v>19</v>
      </c>
      <c r="F7" s="1"/>
      <c r="G7" s="6" t="s">
        <v>14</v>
      </c>
      <c r="H7" s="7">
        <v>70000</v>
      </c>
      <c r="I7" s="8">
        <v>14.6</v>
      </c>
      <c r="J7" s="1" t="s">
        <v>15</v>
      </c>
    </row>
    <row r="8" spans="1:10" x14ac:dyDescent="0.2">
      <c r="A8" s="5">
        <v>45811</v>
      </c>
      <c r="B8" s="1" t="s">
        <v>1154</v>
      </c>
      <c r="C8" s="1" t="s">
        <v>257</v>
      </c>
      <c r="D8" s="1" t="s">
        <v>58</v>
      </c>
      <c r="E8" s="1" t="s">
        <v>59</v>
      </c>
      <c r="F8" s="1"/>
      <c r="G8" s="6" t="s">
        <v>14</v>
      </c>
      <c r="H8" s="7">
        <v>80000</v>
      </c>
      <c r="I8" s="8">
        <v>2.1</v>
      </c>
      <c r="J8" s="1" t="s">
        <v>15</v>
      </c>
    </row>
    <row r="9" spans="1:10" x14ac:dyDescent="0.2">
      <c r="A9" s="5">
        <v>45811</v>
      </c>
      <c r="B9" s="1" t="s">
        <v>1154</v>
      </c>
      <c r="C9" s="1" t="s">
        <v>1155</v>
      </c>
      <c r="D9" s="1" t="s">
        <v>58</v>
      </c>
      <c r="E9" s="1" t="s">
        <v>59</v>
      </c>
      <c r="F9" s="1"/>
      <c r="G9" s="6" t="s">
        <v>14</v>
      </c>
      <c r="H9" s="7">
        <v>80000</v>
      </c>
      <c r="I9" s="1">
        <v>2.8</v>
      </c>
      <c r="J9" s="1" t="s">
        <v>15</v>
      </c>
    </row>
    <row r="10" spans="1:10" x14ac:dyDescent="0.2">
      <c r="A10" s="5">
        <v>45811</v>
      </c>
      <c r="B10" s="1" t="s">
        <v>1065</v>
      </c>
      <c r="C10" s="1" t="s">
        <v>17</v>
      </c>
      <c r="D10" s="1" t="s">
        <v>18</v>
      </c>
      <c r="E10" s="1" t="s">
        <v>19</v>
      </c>
      <c r="F10" s="1"/>
      <c r="G10" s="6" t="s">
        <v>14</v>
      </c>
      <c r="H10" s="7">
        <v>50000</v>
      </c>
      <c r="I10" s="8">
        <v>15</v>
      </c>
      <c r="J10" s="1" t="s">
        <v>15</v>
      </c>
    </row>
    <row r="11" spans="1:10" x14ac:dyDescent="0.2">
      <c r="A11" s="5">
        <v>45811</v>
      </c>
      <c r="B11" s="1" t="s">
        <v>1156</v>
      </c>
      <c r="C11" s="1" t="s">
        <v>770</v>
      </c>
      <c r="D11" s="1" t="s">
        <v>42</v>
      </c>
      <c r="E11" s="1" t="s">
        <v>19</v>
      </c>
      <c r="G11" s="6" t="s">
        <v>23</v>
      </c>
      <c r="H11" s="7">
        <v>50000</v>
      </c>
      <c r="I11" s="8">
        <v>3.5</v>
      </c>
      <c r="J11" s="1" t="s">
        <v>15</v>
      </c>
    </row>
    <row r="12" spans="1:10" x14ac:dyDescent="0.2">
      <c r="A12" s="5">
        <v>45811</v>
      </c>
      <c r="B12" s="1" t="s">
        <v>1157</v>
      </c>
      <c r="C12" s="1" t="s">
        <v>31</v>
      </c>
      <c r="D12" s="1" t="s">
        <v>88</v>
      </c>
      <c r="E12" s="1" t="s">
        <v>94</v>
      </c>
      <c r="F12" s="1"/>
      <c r="G12" s="6" t="s">
        <v>14</v>
      </c>
      <c r="H12" s="7">
        <v>65000</v>
      </c>
      <c r="I12" s="8">
        <v>2.1</v>
      </c>
      <c r="J12" s="1" t="s">
        <v>15</v>
      </c>
    </row>
    <row r="13" spans="1:10" x14ac:dyDescent="0.2">
      <c r="A13" s="5">
        <v>45812</v>
      </c>
      <c r="B13" s="1" t="s">
        <v>1158</v>
      </c>
      <c r="C13" s="1" t="s">
        <v>1159</v>
      </c>
      <c r="D13" s="1" t="s">
        <v>12</v>
      </c>
      <c r="E13" s="1" t="s">
        <v>13</v>
      </c>
      <c r="F13" s="1" t="s">
        <v>775</v>
      </c>
      <c r="G13" s="6" t="s">
        <v>14</v>
      </c>
      <c r="H13" s="7">
        <v>120000</v>
      </c>
      <c r="I13" s="8">
        <v>35.9</v>
      </c>
      <c r="J13" s="1" t="s">
        <v>15</v>
      </c>
    </row>
    <row r="14" spans="1:10" x14ac:dyDescent="0.2">
      <c r="A14" s="5">
        <v>45812</v>
      </c>
      <c r="B14" s="1" t="s">
        <v>197</v>
      </c>
      <c r="C14" s="1" t="s">
        <v>198</v>
      </c>
      <c r="D14" s="1" t="s">
        <v>64</v>
      </c>
      <c r="E14" s="1" t="s">
        <v>19</v>
      </c>
      <c r="F14" s="1"/>
      <c r="G14" s="6" t="s">
        <v>23</v>
      </c>
      <c r="H14" s="7">
        <v>70000</v>
      </c>
      <c r="I14" s="8">
        <v>28.4</v>
      </c>
      <c r="J14" s="1" t="s">
        <v>15</v>
      </c>
    </row>
    <row r="15" spans="1:10" x14ac:dyDescent="0.2">
      <c r="A15" s="5">
        <v>45812</v>
      </c>
      <c r="B15" s="1" t="s">
        <v>366</v>
      </c>
      <c r="C15" s="1" t="s">
        <v>257</v>
      </c>
      <c r="D15" s="1" t="s">
        <v>222</v>
      </c>
      <c r="E15" s="1" t="s">
        <v>19</v>
      </c>
      <c r="F15" s="1"/>
      <c r="G15" s="6" t="s">
        <v>23</v>
      </c>
      <c r="H15" s="7">
        <v>70000</v>
      </c>
      <c r="I15" s="8">
        <v>32</v>
      </c>
      <c r="J15" s="1" t="s">
        <v>15</v>
      </c>
    </row>
    <row r="16" spans="1:10" x14ac:dyDescent="0.2">
      <c r="A16" s="5">
        <v>45812</v>
      </c>
      <c r="B16" s="1" t="s">
        <v>1160</v>
      </c>
      <c r="C16" s="1" t="s">
        <v>1161</v>
      </c>
      <c r="D16" s="1" t="s">
        <v>26</v>
      </c>
      <c r="E16" s="1" t="s">
        <v>19</v>
      </c>
      <c r="F16" s="1"/>
      <c r="G16" s="6" t="s">
        <v>14</v>
      </c>
      <c r="H16" s="7">
        <v>70000</v>
      </c>
      <c r="I16" s="8">
        <v>5.0999999999999996</v>
      </c>
      <c r="J16" s="1" t="s">
        <v>15</v>
      </c>
    </row>
    <row r="17" spans="1:10" x14ac:dyDescent="0.2">
      <c r="A17" s="5">
        <v>45812</v>
      </c>
      <c r="B17" s="1" t="s">
        <v>1160</v>
      </c>
      <c r="C17" s="1" t="s">
        <v>356</v>
      </c>
      <c r="D17" s="1" t="s">
        <v>26</v>
      </c>
      <c r="E17" s="1" t="s">
        <v>19</v>
      </c>
      <c r="F17" s="1"/>
      <c r="G17" s="6" t="s">
        <v>14</v>
      </c>
      <c r="H17" s="7">
        <v>70000</v>
      </c>
      <c r="I17" s="8">
        <v>7.2</v>
      </c>
      <c r="J17" s="1" t="s">
        <v>15</v>
      </c>
    </row>
    <row r="18" spans="1:10" x14ac:dyDescent="0.2">
      <c r="A18" s="5">
        <v>45812</v>
      </c>
      <c r="B18" s="1" t="s">
        <v>1160</v>
      </c>
      <c r="C18" s="1" t="s">
        <v>786</v>
      </c>
      <c r="D18" s="1" t="s">
        <v>26</v>
      </c>
      <c r="E18" s="1" t="s">
        <v>19</v>
      </c>
      <c r="F18" s="1"/>
      <c r="G18" s="6" t="s">
        <v>14</v>
      </c>
      <c r="H18" s="7">
        <v>70000</v>
      </c>
      <c r="I18" s="8">
        <v>6</v>
      </c>
      <c r="J18" s="1" t="s">
        <v>15</v>
      </c>
    </row>
    <row r="19" spans="1:10" x14ac:dyDescent="0.2">
      <c r="A19" s="5">
        <v>45812</v>
      </c>
      <c r="B19" s="1" t="s">
        <v>618</v>
      </c>
      <c r="C19" s="1" t="s">
        <v>510</v>
      </c>
      <c r="D19" s="1" t="s">
        <v>88</v>
      </c>
      <c r="E19" s="1" t="s">
        <v>13</v>
      </c>
      <c r="F19" s="1"/>
      <c r="G19" s="6" t="s">
        <v>14</v>
      </c>
      <c r="H19" s="7">
        <v>80000</v>
      </c>
      <c r="I19" s="8">
        <v>5.9</v>
      </c>
      <c r="J19" s="1" t="s">
        <v>15</v>
      </c>
    </row>
    <row r="20" spans="1:10" x14ac:dyDescent="0.2">
      <c r="A20" s="5">
        <v>45812</v>
      </c>
      <c r="B20" s="1" t="s">
        <v>717</v>
      </c>
      <c r="C20" s="1" t="s">
        <v>433</v>
      </c>
      <c r="D20" s="1" t="s">
        <v>119</v>
      </c>
      <c r="E20" s="1" t="s">
        <v>19</v>
      </c>
      <c r="F20" s="1"/>
      <c r="G20" s="6" t="s">
        <v>23</v>
      </c>
      <c r="H20" s="7">
        <v>55000</v>
      </c>
      <c r="I20" s="8">
        <v>14.3</v>
      </c>
      <c r="J20" s="1" t="s">
        <v>15</v>
      </c>
    </row>
    <row r="21" spans="1:10" x14ac:dyDescent="0.2">
      <c r="A21" s="5">
        <v>45812</v>
      </c>
      <c r="B21" s="1"/>
      <c r="C21" s="1"/>
      <c r="D21" s="1"/>
      <c r="E21" s="1" t="s">
        <v>61</v>
      </c>
      <c r="F21" s="1"/>
      <c r="G21" s="6" t="s">
        <v>23</v>
      </c>
      <c r="H21" s="7">
        <v>10000</v>
      </c>
      <c r="I21" s="8" t="s">
        <v>114</v>
      </c>
      <c r="J21" s="1" t="s">
        <v>160</v>
      </c>
    </row>
    <row r="22" spans="1:10" x14ac:dyDescent="0.2">
      <c r="A22" s="5">
        <v>45813</v>
      </c>
      <c r="B22" s="1" t="s">
        <v>1162</v>
      </c>
      <c r="C22" s="1" t="s">
        <v>639</v>
      </c>
      <c r="D22" s="1" t="s">
        <v>64</v>
      </c>
      <c r="E22" s="1" t="s">
        <v>13</v>
      </c>
      <c r="F22" s="1"/>
      <c r="G22" s="6" t="s">
        <v>14</v>
      </c>
      <c r="H22" s="7">
        <v>75000</v>
      </c>
      <c r="I22" s="8">
        <v>5.6</v>
      </c>
      <c r="J22" s="1" t="s">
        <v>40</v>
      </c>
    </row>
    <row r="23" spans="1:10" x14ac:dyDescent="0.2">
      <c r="A23" s="5">
        <v>45813</v>
      </c>
      <c r="B23" s="1" t="s">
        <v>820</v>
      </c>
      <c r="C23" s="1" t="s">
        <v>821</v>
      </c>
      <c r="D23" s="1" t="s">
        <v>88</v>
      </c>
      <c r="E23" s="1" t="s">
        <v>13</v>
      </c>
      <c r="F23" s="1"/>
      <c r="G23" s="6" t="s">
        <v>14</v>
      </c>
      <c r="H23" s="7">
        <v>80000</v>
      </c>
      <c r="I23" s="8">
        <v>3.4</v>
      </c>
      <c r="J23" s="1" t="s">
        <v>37</v>
      </c>
    </row>
    <row r="24" spans="1:10" x14ac:dyDescent="0.2">
      <c r="A24" s="5">
        <v>45813</v>
      </c>
      <c r="B24" s="1" t="s">
        <v>653</v>
      </c>
      <c r="C24" s="1" t="s">
        <v>260</v>
      </c>
      <c r="D24" s="1" t="s">
        <v>32</v>
      </c>
      <c r="E24" s="1" t="s">
        <v>13</v>
      </c>
      <c r="F24" s="1"/>
      <c r="G24" s="6" t="s">
        <v>14</v>
      </c>
      <c r="H24" s="7">
        <v>65000</v>
      </c>
      <c r="I24" s="8">
        <v>3.7</v>
      </c>
      <c r="J24" s="1" t="s">
        <v>15</v>
      </c>
    </row>
    <row r="25" spans="1:10" x14ac:dyDescent="0.2">
      <c r="A25" s="5">
        <v>45813</v>
      </c>
      <c r="B25" s="1" t="s">
        <v>653</v>
      </c>
      <c r="C25" s="1" t="s">
        <v>259</v>
      </c>
      <c r="D25" s="1" t="s">
        <v>18</v>
      </c>
      <c r="E25" s="1" t="s">
        <v>13</v>
      </c>
      <c r="F25" s="1"/>
      <c r="G25" s="6" t="s">
        <v>14</v>
      </c>
      <c r="H25" s="7">
        <v>80000</v>
      </c>
      <c r="I25" s="8">
        <v>16.7</v>
      </c>
      <c r="J25" s="1" t="s">
        <v>15</v>
      </c>
    </row>
    <row r="26" spans="1:10" x14ac:dyDescent="0.2">
      <c r="A26" s="5">
        <v>45813</v>
      </c>
      <c r="B26" s="1" t="s">
        <v>1163</v>
      </c>
      <c r="C26" s="1" t="s">
        <v>1000</v>
      </c>
      <c r="D26" s="1" t="s">
        <v>12</v>
      </c>
      <c r="E26" s="1" t="s">
        <v>13</v>
      </c>
      <c r="F26" s="1"/>
      <c r="G26" s="6" t="s">
        <v>14</v>
      </c>
      <c r="H26" s="7">
        <v>75000</v>
      </c>
      <c r="I26" s="8">
        <v>5</v>
      </c>
      <c r="J26" s="1" t="s">
        <v>15</v>
      </c>
    </row>
    <row r="27" spans="1:10" x14ac:dyDescent="0.2">
      <c r="A27" s="5">
        <v>45813</v>
      </c>
      <c r="B27" s="1" t="s">
        <v>1164</v>
      </c>
      <c r="C27" s="1" t="s">
        <v>28</v>
      </c>
      <c r="D27" s="1" t="s">
        <v>29</v>
      </c>
      <c r="E27" s="1" t="s">
        <v>19</v>
      </c>
      <c r="F27" s="1"/>
      <c r="G27" s="6" t="s">
        <v>14</v>
      </c>
      <c r="H27" s="7">
        <v>55000</v>
      </c>
      <c r="I27" s="8">
        <v>14.4</v>
      </c>
      <c r="J27" s="1" t="s">
        <v>15</v>
      </c>
    </row>
    <row r="28" spans="1:10" x14ac:dyDescent="0.2">
      <c r="A28" s="5">
        <v>45813</v>
      </c>
      <c r="B28" s="1" t="s">
        <v>1085</v>
      </c>
      <c r="C28" s="1" t="s">
        <v>733</v>
      </c>
      <c r="D28" s="1" t="s">
        <v>32</v>
      </c>
      <c r="E28" s="1" t="s">
        <v>19</v>
      </c>
      <c r="F28" s="1"/>
      <c r="G28" s="6" t="s">
        <v>14</v>
      </c>
      <c r="H28" s="7">
        <v>60000</v>
      </c>
      <c r="I28" s="8">
        <v>4.8</v>
      </c>
      <c r="J28" s="1" t="s">
        <v>15</v>
      </c>
    </row>
    <row r="29" spans="1:10" x14ac:dyDescent="0.2">
      <c r="A29" s="5">
        <v>45813</v>
      </c>
      <c r="B29" s="1" t="s">
        <v>1165</v>
      </c>
      <c r="C29" s="1" t="s">
        <v>1166</v>
      </c>
      <c r="D29" s="1" t="s">
        <v>64</v>
      </c>
      <c r="E29" s="1" t="s">
        <v>19</v>
      </c>
      <c r="F29" s="1"/>
      <c r="G29" s="6" t="s">
        <v>14</v>
      </c>
      <c r="H29" s="7">
        <v>65000</v>
      </c>
      <c r="I29" s="8">
        <v>5.8</v>
      </c>
      <c r="J29" s="1" t="s">
        <v>15</v>
      </c>
    </row>
    <row r="30" spans="1:10" x14ac:dyDescent="0.2">
      <c r="A30" s="5">
        <v>45814</v>
      </c>
      <c r="B30" s="1" t="s">
        <v>814</v>
      </c>
      <c r="C30" s="1" t="s">
        <v>1167</v>
      </c>
      <c r="D30" s="1" t="s">
        <v>165</v>
      </c>
      <c r="E30" s="1" t="s">
        <v>13</v>
      </c>
      <c r="F30" s="1"/>
      <c r="G30" s="6" t="s">
        <v>14</v>
      </c>
      <c r="H30" s="7">
        <v>100000</v>
      </c>
      <c r="I30" s="8">
        <v>14</v>
      </c>
      <c r="J30" s="1" t="s">
        <v>15</v>
      </c>
    </row>
    <row r="31" spans="1:10" x14ac:dyDescent="0.2">
      <c r="A31" s="5">
        <v>45814</v>
      </c>
      <c r="B31" s="1" t="s">
        <v>814</v>
      </c>
      <c r="C31" s="1" t="s">
        <v>146</v>
      </c>
      <c r="D31" s="1" t="s">
        <v>165</v>
      </c>
      <c r="E31" s="1" t="s">
        <v>13</v>
      </c>
      <c r="F31" s="1"/>
      <c r="G31" s="6" t="s">
        <v>14</v>
      </c>
      <c r="H31" s="7">
        <v>100000</v>
      </c>
      <c r="I31" s="8">
        <v>18.399999999999999</v>
      </c>
      <c r="J31" s="1" t="s">
        <v>15</v>
      </c>
    </row>
    <row r="32" spans="1:10" x14ac:dyDescent="0.2">
      <c r="A32" s="5">
        <v>45814</v>
      </c>
      <c r="B32" s="1" t="s">
        <v>647</v>
      </c>
      <c r="C32" s="1" t="s">
        <v>251</v>
      </c>
      <c r="D32" s="1" t="s">
        <v>196</v>
      </c>
      <c r="E32" s="1" t="s">
        <v>94</v>
      </c>
      <c r="F32" s="1"/>
      <c r="G32" s="6" t="s">
        <v>14</v>
      </c>
      <c r="H32" s="7">
        <v>90000</v>
      </c>
      <c r="I32" s="8">
        <v>33</v>
      </c>
      <c r="J32" s="1" t="s">
        <v>15</v>
      </c>
    </row>
    <row r="33" spans="1:10" x14ac:dyDescent="0.2">
      <c r="A33" s="5">
        <v>45814</v>
      </c>
      <c r="B33" s="1" t="s">
        <v>1168</v>
      </c>
      <c r="C33" s="1" t="s">
        <v>506</v>
      </c>
      <c r="D33" s="1" t="s">
        <v>88</v>
      </c>
      <c r="E33" s="1" t="s">
        <v>94</v>
      </c>
      <c r="F33" s="1"/>
      <c r="G33" s="6" t="s">
        <v>14</v>
      </c>
      <c r="H33" s="7">
        <v>65000</v>
      </c>
      <c r="I33" s="8">
        <v>5.0999999999999996</v>
      </c>
      <c r="J33" s="1" t="s">
        <v>15</v>
      </c>
    </row>
    <row r="34" spans="1:10" x14ac:dyDescent="0.2">
      <c r="A34" s="5">
        <v>45814</v>
      </c>
      <c r="B34" s="1" t="s">
        <v>295</v>
      </c>
      <c r="C34" s="1" t="s">
        <v>152</v>
      </c>
      <c r="D34" s="1" t="s">
        <v>153</v>
      </c>
      <c r="E34" s="1" t="s">
        <v>13</v>
      </c>
      <c r="F34" s="1"/>
      <c r="G34" s="6" t="s">
        <v>14</v>
      </c>
      <c r="H34" s="7">
        <v>80000</v>
      </c>
      <c r="I34" s="8">
        <v>4.2</v>
      </c>
      <c r="J34" s="1" t="s">
        <v>15</v>
      </c>
    </row>
    <row r="35" spans="1:10" x14ac:dyDescent="0.2">
      <c r="A35" s="5">
        <v>45814</v>
      </c>
      <c r="B35" s="1" t="s">
        <v>1169</v>
      </c>
      <c r="C35" s="1" t="s">
        <v>1170</v>
      </c>
      <c r="D35" s="1" t="s">
        <v>494</v>
      </c>
      <c r="E35" s="1" t="s">
        <v>59</v>
      </c>
      <c r="F35" s="1"/>
      <c r="G35" s="6" t="s">
        <v>23</v>
      </c>
      <c r="H35" s="7">
        <v>55000</v>
      </c>
      <c r="I35" s="1">
        <v>5.2</v>
      </c>
      <c r="J35" s="1" t="s">
        <v>15</v>
      </c>
    </row>
    <row r="36" spans="1:10" x14ac:dyDescent="0.2">
      <c r="A36" s="5">
        <v>45814</v>
      </c>
      <c r="B36" s="1" t="s">
        <v>111</v>
      </c>
      <c r="C36" s="1" t="s">
        <v>398</v>
      </c>
      <c r="D36" s="1" t="s">
        <v>112</v>
      </c>
      <c r="E36" s="1" t="s">
        <v>19</v>
      </c>
      <c r="F36" s="1"/>
      <c r="G36" s="6" t="s">
        <v>14</v>
      </c>
      <c r="H36" s="7" t="s">
        <v>114</v>
      </c>
      <c r="I36" s="8"/>
      <c r="J36" s="1" t="s">
        <v>34</v>
      </c>
    </row>
    <row r="37" spans="1:10" x14ac:dyDescent="0.2">
      <c r="A37" s="5">
        <v>45814</v>
      </c>
      <c r="B37" s="1" t="s">
        <v>161</v>
      </c>
      <c r="C37" s="1" t="s">
        <v>162</v>
      </c>
      <c r="D37" s="1" t="s">
        <v>32</v>
      </c>
      <c r="E37" s="1" t="s">
        <v>19</v>
      </c>
      <c r="F37" s="1"/>
      <c r="G37" s="6" t="s">
        <v>14</v>
      </c>
      <c r="H37" s="7">
        <v>70000</v>
      </c>
      <c r="I37" s="8">
        <v>1.7</v>
      </c>
      <c r="J37" s="1" t="s">
        <v>34</v>
      </c>
    </row>
    <row r="38" spans="1:10" x14ac:dyDescent="0.2">
      <c r="A38" s="5">
        <v>45815</v>
      </c>
      <c r="B38" s="1" t="s">
        <v>1171</v>
      </c>
      <c r="C38" s="1" t="s">
        <v>1172</v>
      </c>
      <c r="D38" s="1" t="s">
        <v>18</v>
      </c>
      <c r="E38" s="1" t="s">
        <v>13</v>
      </c>
      <c r="F38" s="1"/>
      <c r="G38" s="6" t="s">
        <v>14</v>
      </c>
      <c r="H38" s="7">
        <v>75000</v>
      </c>
      <c r="I38" s="8">
        <v>13.9</v>
      </c>
      <c r="J38" s="1" t="s">
        <v>37</v>
      </c>
    </row>
    <row r="39" spans="1:10" x14ac:dyDescent="0.2">
      <c r="A39" s="5">
        <v>45815</v>
      </c>
      <c r="B39" s="1" t="s">
        <v>964</v>
      </c>
      <c r="C39" s="1" t="s">
        <v>965</v>
      </c>
      <c r="D39" s="1" t="s">
        <v>26</v>
      </c>
      <c r="E39" s="1" t="s">
        <v>19</v>
      </c>
      <c r="F39" s="1"/>
      <c r="G39" s="6" t="s">
        <v>14</v>
      </c>
      <c r="H39" s="7">
        <v>70000</v>
      </c>
      <c r="I39" s="8">
        <v>4.7</v>
      </c>
      <c r="J39" s="1" t="s">
        <v>40</v>
      </c>
    </row>
    <row r="40" spans="1:10" x14ac:dyDescent="0.2">
      <c r="A40" s="5">
        <v>45815</v>
      </c>
      <c r="B40" s="1" t="s">
        <v>234</v>
      </c>
      <c r="C40" s="1" t="s">
        <v>235</v>
      </c>
      <c r="D40" s="1" t="s">
        <v>18</v>
      </c>
      <c r="E40" s="1" t="s">
        <v>13</v>
      </c>
      <c r="F40" s="1"/>
      <c r="G40" s="6" t="s">
        <v>14</v>
      </c>
      <c r="H40" s="7">
        <v>75000</v>
      </c>
      <c r="I40" s="8">
        <v>9.8000000000000007</v>
      </c>
      <c r="J40" s="1" t="s">
        <v>37</v>
      </c>
    </row>
    <row r="41" spans="1:10" x14ac:dyDescent="0.2">
      <c r="A41" s="5">
        <v>45815</v>
      </c>
      <c r="B41" s="1" t="s">
        <v>115</v>
      </c>
      <c r="C41" s="1" t="s">
        <v>257</v>
      </c>
      <c r="D41" s="1" t="s">
        <v>32</v>
      </c>
      <c r="E41" s="1" t="s">
        <v>19</v>
      </c>
      <c r="F41" s="1"/>
      <c r="G41" s="6" t="s">
        <v>14</v>
      </c>
      <c r="H41" s="7" t="s">
        <v>114</v>
      </c>
      <c r="I41" s="8">
        <v>4.8</v>
      </c>
      <c r="J41" s="1" t="s">
        <v>160</v>
      </c>
    </row>
    <row r="42" spans="1:10" x14ac:dyDescent="0.2">
      <c r="A42" s="5">
        <v>45815</v>
      </c>
      <c r="B42" s="1" t="s">
        <v>132</v>
      </c>
      <c r="C42" s="1" t="s">
        <v>36</v>
      </c>
      <c r="D42" s="1" t="s">
        <v>18</v>
      </c>
      <c r="E42" s="1" t="s">
        <v>19</v>
      </c>
      <c r="F42" s="1"/>
      <c r="G42" s="6" t="s">
        <v>14</v>
      </c>
      <c r="H42" s="7" t="s">
        <v>114</v>
      </c>
      <c r="I42" s="8"/>
      <c r="J42" s="1" t="s">
        <v>37</v>
      </c>
    </row>
    <row r="43" spans="1:10" x14ac:dyDescent="0.2">
      <c r="A43" s="5">
        <v>45815</v>
      </c>
      <c r="B43" s="1" t="s">
        <v>1173</v>
      </c>
      <c r="C43" s="1" t="s">
        <v>130</v>
      </c>
      <c r="D43" s="1" t="s">
        <v>26</v>
      </c>
      <c r="E43" s="1" t="s">
        <v>78</v>
      </c>
      <c r="F43" s="1"/>
      <c r="G43" s="6" t="s">
        <v>14</v>
      </c>
      <c r="H43" s="7">
        <v>70000</v>
      </c>
      <c r="I43" s="8">
        <v>3.3</v>
      </c>
      <c r="J43" s="1" t="s">
        <v>37</v>
      </c>
    </row>
    <row r="44" spans="1:10" x14ac:dyDescent="0.2">
      <c r="A44" s="5">
        <v>45815</v>
      </c>
      <c r="B44" s="1" t="s">
        <v>1174</v>
      </c>
      <c r="C44" s="1" t="s">
        <v>558</v>
      </c>
      <c r="D44" s="1" t="s">
        <v>119</v>
      </c>
      <c r="E44" s="1" t="s">
        <v>19</v>
      </c>
      <c r="F44" s="1"/>
      <c r="G44" s="6" t="s">
        <v>23</v>
      </c>
      <c r="H44" s="7">
        <v>50000</v>
      </c>
      <c r="I44" s="8">
        <v>10</v>
      </c>
      <c r="J44" s="1" t="s">
        <v>15</v>
      </c>
    </row>
    <row r="45" spans="1:10" x14ac:dyDescent="0.2">
      <c r="A45" s="5">
        <v>45815</v>
      </c>
      <c r="B45" s="1" t="s">
        <v>729</v>
      </c>
      <c r="C45" s="1" t="s">
        <v>275</v>
      </c>
      <c r="D45" s="1" t="s">
        <v>32</v>
      </c>
      <c r="E45" s="1" t="s">
        <v>13</v>
      </c>
      <c r="F45" s="1"/>
      <c r="G45" s="6" t="s">
        <v>14</v>
      </c>
      <c r="H45" s="7">
        <v>65000</v>
      </c>
      <c r="I45" s="8">
        <v>2.2999999999999998</v>
      </c>
      <c r="J45" s="1" t="s">
        <v>15</v>
      </c>
    </row>
    <row r="46" spans="1:10" x14ac:dyDescent="0.2">
      <c r="A46" s="5">
        <v>45815</v>
      </c>
      <c r="B46" s="1" t="s">
        <v>729</v>
      </c>
      <c r="C46" s="1" t="s">
        <v>452</v>
      </c>
      <c r="D46" s="1" t="s">
        <v>32</v>
      </c>
      <c r="E46" s="1" t="s">
        <v>13</v>
      </c>
      <c r="F46" s="1"/>
      <c r="G46" s="6" t="s">
        <v>14</v>
      </c>
      <c r="H46" s="7">
        <v>70000</v>
      </c>
      <c r="I46" s="8">
        <v>3</v>
      </c>
      <c r="J46" s="1" t="s">
        <v>15</v>
      </c>
    </row>
    <row r="47" spans="1:10" x14ac:dyDescent="0.2">
      <c r="A47" s="5">
        <v>45815</v>
      </c>
      <c r="B47" s="1" t="s">
        <v>729</v>
      </c>
      <c r="C47" s="1" t="s">
        <v>730</v>
      </c>
      <c r="D47" s="1" t="s">
        <v>32</v>
      </c>
      <c r="E47" s="1" t="s">
        <v>19</v>
      </c>
      <c r="F47" s="1"/>
      <c r="G47" s="6" t="s">
        <v>14</v>
      </c>
      <c r="H47" s="7">
        <v>70000</v>
      </c>
      <c r="I47" s="8">
        <v>2.7</v>
      </c>
      <c r="J47" s="1" t="s">
        <v>34</v>
      </c>
    </row>
    <row r="48" spans="1:10" x14ac:dyDescent="0.2">
      <c r="A48" s="5">
        <v>45815</v>
      </c>
      <c r="B48" s="1"/>
      <c r="C48" s="1"/>
      <c r="D48" s="1"/>
      <c r="E48" s="1" t="s">
        <v>61</v>
      </c>
      <c r="F48" s="1"/>
      <c r="G48" s="6" t="s">
        <v>23</v>
      </c>
      <c r="H48" s="7">
        <v>10000</v>
      </c>
      <c r="I48" s="8" t="s">
        <v>114</v>
      </c>
      <c r="J48" s="1" t="s">
        <v>160</v>
      </c>
    </row>
    <row r="49" spans="1:10" x14ac:dyDescent="0.2">
      <c r="A49" s="5">
        <v>45815</v>
      </c>
      <c r="B49" s="1"/>
      <c r="C49" s="1"/>
      <c r="D49" s="1"/>
      <c r="E49" s="1" t="s">
        <v>61</v>
      </c>
      <c r="F49" s="1"/>
      <c r="G49" s="6" t="s">
        <v>23</v>
      </c>
      <c r="H49" s="7">
        <v>10000</v>
      </c>
      <c r="I49" s="8" t="s">
        <v>114</v>
      </c>
      <c r="J49" s="1" t="s">
        <v>160</v>
      </c>
    </row>
    <row r="50" spans="1:10" x14ac:dyDescent="0.2">
      <c r="A50" s="5">
        <v>45817</v>
      </c>
      <c r="B50" s="1" t="s">
        <v>691</v>
      </c>
      <c r="C50" s="1" t="s">
        <v>692</v>
      </c>
      <c r="D50" s="1" t="s">
        <v>26</v>
      </c>
      <c r="E50" s="1" t="s">
        <v>13</v>
      </c>
      <c r="F50" s="1"/>
      <c r="G50" s="6" t="s">
        <v>14</v>
      </c>
      <c r="H50" s="7">
        <v>80000</v>
      </c>
      <c r="I50" s="8">
        <v>5.2</v>
      </c>
      <c r="J50" s="1" t="s">
        <v>15</v>
      </c>
    </row>
    <row r="51" spans="1:10" x14ac:dyDescent="0.2">
      <c r="A51" s="5">
        <v>45817</v>
      </c>
      <c r="B51" s="1" t="s">
        <v>154</v>
      </c>
      <c r="C51" s="1" t="s">
        <v>155</v>
      </c>
      <c r="D51" s="1" t="s">
        <v>26</v>
      </c>
      <c r="E51" s="1" t="s">
        <v>19</v>
      </c>
      <c r="F51" s="1"/>
      <c r="G51" s="6" t="s">
        <v>14</v>
      </c>
      <c r="H51" s="7">
        <v>65000</v>
      </c>
      <c r="I51" s="8">
        <v>6.8</v>
      </c>
      <c r="J51" s="1" t="s">
        <v>15</v>
      </c>
    </row>
    <row r="52" spans="1:10" x14ac:dyDescent="0.2">
      <c r="A52" s="5">
        <v>45817</v>
      </c>
      <c r="B52" s="1" t="s">
        <v>568</v>
      </c>
      <c r="C52" s="1" t="s">
        <v>21</v>
      </c>
      <c r="D52" s="1" t="s">
        <v>22</v>
      </c>
      <c r="E52" s="1" t="s">
        <v>19</v>
      </c>
      <c r="F52" s="1"/>
      <c r="G52" s="6" t="s">
        <v>23</v>
      </c>
      <c r="H52" s="7">
        <v>60000</v>
      </c>
      <c r="I52" s="8">
        <v>12.1</v>
      </c>
      <c r="J52" s="1" t="s">
        <v>15</v>
      </c>
    </row>
    <row r="53" spans="1:10" x14ac:dyDescent="0.2">
      <c r="A53" s="5">
        <v>45817</v>
      </c>
      <c r="B53" s="1" t="s">
        <v>1175</v>
      </c>
      <c r="C53" s="1" t="s">
        <v>1176</v>
      </c>
      <c r="D53" s="1" t="s">
        <v>165</v>
      </c>
      <c r="E53" s="1" t="s">
        <v>13</v>
      </c>
      <c r="F53" s="1"/>
      <c r="G53" s="6" t="s">
        <v>14</v>
      </c>
      <c r="H53" s="7">
        <v>70000</v>
      </c>
      <c r="I53" s="8">
        <v>8.9</v>
      </c>
      <c r="J53" s="1" t="s">
        <v>15</v>
      </c>
    </row>
    <row r="54" spans="1:10" x14ac:dyDescent="0.2">
      <c r="A54" s="5">
        <v>45817</v>
      </c>
      <c r="B54" s="1" t="s">
        <v>1177</v>
      </c>
      <c r="C54" s="1" t="s">
        <v>1178</v>
      </c>
      <c r="D54" s="1" t="s">
        <v>131</v>
      </c>
      <c r="E54" s="1" t="s">
        <v>19</v>
      </c>
      <c r="F54" s="1"/>
      <c r="G54" s="6" t="s">
        <v>14</v>
      </c>
      <c r="H54" s="7">
        <v>80000</v>
      </c>
      <c r="I54" s="8">
        <v>29.6</v>
      </c>
      <c r="J54" s="1" t="s">
        <v>15</v>
      </c>
    </row>
    <row r="55" spans="1:10" x14ac:dyDescent="0.2">
      <c r="A55" s="5">
        <v>45817</v>
      </c>
      <c r="B55" s="1" t="s">
        <v>1179</v>
      </c>
      <c r="C55" s="1" t="s">
        <v>321</v>
      </c>
      <c r="D55" s="1" t="s">
        <v>64</v>
      </c>
      <c r="E55" s="1" t="s">
        <v>19</v>
      </c>
      <c r="F55" s="1"/>
      <c r="G55" s="6" t="s">
        <v>23</v>
      </c>
      <c r="H55" s="7">
        <v>50000</v>
      </c>
      <c r="I55" s="8">
        <v>6.9</v>
      </c>
      <c r="J55" s="1" t="s">
        <v>15</v>
      </c>
    </row>
    <row r="56" spans="1:10" x14ac:dyDescent="0.2">
      <c r="A56" s="5">
        <v>45817</v>
      </c>
      <c r="B56" s="1"/>
      <c r="C56" s="1"/>
      <c r="D56" s="1"/>
      <c r="E56" s="1" t="s">
        <v>61</v>
      </c>
      <c r="F56" s="1"/>
      <c r="G56" s="6" t="s">
        <v>23</v>
      </c>
      <c r="H56" s="7">
        <v>10000</v>
      </c>
      <c r="I56" s="8" t="s">
        <v>114</v>
      </c>
      <c r="J56" s="1" t="s">
        <v>160</v>
      </c>
    </row>
    <row r="57" spans="1:10" x14ac:dyDescent="0.2">
      <c r="A57" s="5">
        <v>45818</v>
      </c>
      <c r="B57" s="1" t="s">
        <v>1180</v>
      </c>
      <c r="C57" s="1" t="s">
        <v>1181</v>
      </c>
      <c r="D57" s="1" t="s">
        <v>196</v>
      </c>
      <c r="E57" s="1" t="s">
        <v>94</v>
      </c>
      <c r="F57" s="1"/>
      <c r="G57" s="6" t="s">
        <v>14</v>
      </c>
      <c r="H57" s="7">
        <v>90000</v>
      </c>
      <c r="I57" s="8">
        <v>19.2</v>
      </c>
      <c r="J57" s="1" t="s">
        <v>15</v>
      </c>
    </row>
    <row r="58" spans="1:10" x14ac:dyDescent="0.2">
      <c r="A58" s="5">
        <v>45818</v>
      </c>
      <c r="B58" s="1" t="s">
        <v>768</v>
      </c>
      <c r="C58" s="1" t="s">
        <v>46</v>
      </c>
      <c r="D58" s="1" t="s">
        <v>26</v>
      </c>
      <c r="E58" s="1" t="s">
        <v>19</v>
      </c>
      <c r="F58" s="1"/>
      <c r="G58" s="6" t="s">
        <v>14</v>
      </c>
      <c r="H58" s="7">
        <v>83000</v>
      </c>
      <c r="I58" s="8">
        <v>6</v>
      </c>
      <c r="J58" s="1" t="s">
        <v>15</v>
      </c>
    </row>
    <row r="59" spans="1:10" x14ac:dyDescent="0.2">
      <c r="A59" s="5">
        <v>45818</v>
      </c>
      <c r="B59" s="1" t="s">
        <v>1182</v>
      </c>
      <c r="C59" s="1" t="s">
        <v>842</v>
      </c>
      <c r="D59" s="1" t="s">
        <v>119</v>
      </c>
      <c r="E59" s="1" t="s">
        <v>19</v>
      </c>
      <c r="F59" s="1"/>
      <c r="G59" s="6" t="s">
        <v>14</v>
      </c>
      <c r="H59" s="7">
        <v>50000</v>
      </c>
      <c r="I59" s="8">
        <v>8.4</v>
      </c>
      <c r="J59" s="1" t="s">
        <v>15</v>
      </c>
    </row>
    <row r="60" spans="1:10" x14ac:dyDescent="0.2">
      <c r="A60" s="5">
        <v>45818</v>
      </c>
      <c r="B60" s="1" t="s">
        <v>860</v>
      </c>
      <c r="C60" s="1" t="s">
        <v>737</v>
      </c>
      <c r="D60" s="1" t="s">
        <v>153</v>
      </c>
      <c r="E60" s="1" t="s">
        <v>19</v>
      </c>
      <c r="F60" s="1"/>
      <c r="G60" s="6" t="s">
        <v>14</v>
      </c>
      <c r="H60" s="7">
        <v>65000</v>
      </c>
      <c r="I60" s="8">
        <v>2.5</v>
      </c>
      <c r="J60" s="1" t="s">
        <v>40</v>
      </c>
    </row>
    <row r="61" spans="1:10" x14ac:dyDescent="0.2">
      <c r="A61" s="5">
        <v>45818</v>
      </c>
      <c r="B61" s="1" t="s">
        <v>1183</v>
      </c>
      <c r="C61" s="1" t="s">
        <v>282</v>
      </c>
      <c r="D61" s="1" t="s">
        <v>32</v>
      </c>
      <c r="E61" s="1" t="s">
        <v>19</v>
      </c>
      <c r="F61" s="1" t="s">
        <v>642</v>
      </c>
      <c r="G61" s="6" t="s">
        <v>14</v>
      </c>
      <c r="H61" s="7">
        <v>80000</v>
      </c>
      <c r="I61" s="8">
        <v>4.3</v>
      </c>
      <c r="J61" s="1" t="s">
        <v>15</v>
      </c>
    </row>
    <row r="62" spans="1:10" x14ac:dyDescent="0.2">
      <c r="A62" s="5">
        <v>45818</v>
      </c>
      <c r="B62" s="1" t="s">
        <v>1184</v>
      </c>
      <c r="C62" s="1" t="s">
        <v>46</v>
      </c>
      <c r="D62" s="1" t="s">
        <v>12</v>
      </c>
      <c r="E62" s="1" t="s">
        <v>13</v>
      </c>
      <c r="F62" s="1"/>
      <c r="G62" s="6" t="s">
        <v>14</v>
      </c>
      <c r="H62" s="7">
        <v>80000</v>
      </c>
      <c r="I62" s="8">
        <v>7.8</v>
      </c>
      <c r="J62" s="1" t="s">
        <v>15</v>
      </c>
    </row>
    <row r="63" spans="1:10" x14ac:dyDescent="0.2">
      <c r="A63" s="5">
        <v>45818</v>
      </c>
      <c r="B63" s="1" t="s">
        <v>986</v>
      </c>
      <c r="C63" s="1" t="s">
        <v>987</v>
      </c>
      <c r="D63" s="1" t="s">
        <v>45</v>
      </c>
      <c r="E63" s="1" t="s">
        <v>61</v>
      </c>
      <c r="F63" s="1" t="s">
        <v>988</v>
      </c>
      <c r="G63" s="6" t="s">
        <v>23</v>
      </c>
      <c r="H63" s="7">
        <v>18000</v>
      </c>
      <c r="I63" s="8" t="s">
        <v>114</v>
      </c>
      <c r="J63" s="1" t="s">
        <v>160</v>
      </c>
    </row>
    <row r="64" spans="1:10" x14ac:dyDescent="0.2">
      <c r="A64" s="5">
        <v>45819</v>
      </c>
      <c r="B64" s="1" t="s">
        <v>24</v>
      </c>
      <c r="C64" s="1" t="s">
        <v>25</v>
      </c>
      <c r="D64" s="1" t="s">
        <v>26</v>
      </c>
      <c r="E64" s="1" t="s">
        <v>13</v>
      </c>
      <c r="F64" s="1"/>
      <c r="G64" s="6" t="s">
        <v>14</v>
      </c>
      <c r="H64" s="7">
        <v>90000</v>
      </c>
      <c r="I64" s="8">
        <v>7.9</v>
      </c>
      <c r="J64" s="1" t="s">
        <v>15</v>
      </c>
    </row>
    <row r="65" spans="1:10" x14ac:dyDescent="0.2">
      <c r="A65" s="5">
        <v>45819</v>
      </c>
      <c r="B65" s="1" t="s">
        <v>24</v>
      </c>
      <c r="C65" s="1" t="s">
        <v>31</v>
      </c>
      <c r="D65" s="1" t="s">
        <v>64</v>
      </c>
      <c r="E65" s="1" t="s">
        <v>19</v>
      </c>
      <c r="F65" s="1"/>
      <c r="G65" s="6" t="s">
        <v>23</v>
      </c>
      <c r="H65" s="7">
        <v>60000</v>
      </c>
      <c r="I65" s="8">
        <v>12.8</v>
      </c>
      <c r="J65" s="1" t="s">
        <v>15</v>
      </c>
    </row>
    <row r="66" spans="1:10" x14ac:dyDescent="0.2">
      <c r="A66" s="5">
        <v>45819</v>
      </c>
      <c r="B66" s="1" t="s">
        <v>1185</v>
      </c>
      <c r="C66" s="1" t="s">
        <v>398</v>
      </c>
      <c r="D66" s="1" t="s">
        <v>32</v>
      </c>
      <c r="E66" s="1" t="s">
        <v>13</v>
      </c>
      <c r="F66" s="1"/>
      <c r="G66" s="6" t="s">
        <v>14</v>
      </c>
      <c r="H66" s="7">
        <v>70000</v>
      </c>
      <c r="I66" s="8">
        <v>6.2</v>
      </c>
      <c r="J66" s="1" t="s">
        <v>15</v>
      </c>
    </row>
    <row r="67" spans="1:10" x14ac:dyDescent="0.2">
      <c r="A67" s="5">
        <v>45819</v>
      </c>
      <c r="B67" s="1" t="s">
        <v>477</v>
      </c>
      <c r="C67" s="1" t="s">
        <v>478</v>
      </c>
      <c r="D67" s="1" t="s">
        <v>119</v>
      </c>
      <c r="E67" s="1" t="s">
        <v>19</v>
      </c>
      <c r="F67" s="1"/>
      <c r="G67" s="6" t="s">
        <v>23</v>
      </c>
      <c r="H67" s="7">
        <v>55000</v>
      </c>
      <c r="I67" s="8">
        <v>10.6</v>
      </c>
      <c r="J67" s="1" t="s">
        <v>15</v>
      </c>
    </row>
    <row r="68" spans="1:10" x14ac:dyDescent="0.2">
      <c r="A68" s="5">
        <v>45819</v>
      </c>
      <c r="B68" s="1" t="s">
        <v>470</v>
      </c>
      <c r="C68" s="1" t="s">
        <v>303</v>
      </c>
      <c r="D68" s="1" t="s">
        <v>101</v>
      </c>
      <c r="E68" s="1" t="s">
        <v>13</v>
      </c>
      <c r="F68" s="1"/>
      <c r="G68" s="6" t="s">
        <v>14</v>
      </c>
      <c r="H68" s="7">
        <v>75000</v>
      </c>
      <c r="I68" s="8">
        <v>9.6</v>
      </c>
      <c r="J68" s="1" t="s">
        <v>15</v>
      </c>
    </row>
    <row r="69" spans="1:10" x14ac:dyDescent="0.2">
      <c r="A69" s="5">
        <v>45819</v>
      </c>
      <c r="B69" s="1" t="s">
        <v>680</v>
      </c>
      <c r="C69" s="1" t="s">
        <v>1186</v>
      </c>
      <c r="D69" s="1" t="s">
        <v>26</v>
      </c>
      <c r="E69" s="1" t="s">
        <v>13</v>
      </c>
      <c r="F69" s="1"/>
      <c r="G69" s="6" t="s">
        <v>14</v>
      </c>
      <c r="H69" s="7">
        <v>100000</v>
      </c>
      <c r="I69" s="1">
        <v>6.8</v>
      </c>
      <c r="J69" s="1" t="s">
        <v>15</v>
      </c>
    </row>
    <row r="70" spans="1:10" x14ac:dyDescent="0.2">
      <c r="A70" s="5">
        <v>45819</v>
      </c>
      <c r="B70" s="1" t="s">
        <v>1187</v>
      </c>
      <c r="C70" s="1" t="s">
        <v>162</v>
      </c>
      <c r="D70" s="1" t="s">
        <v>64</v>
      </c>
      <c r="E70" s="1" t="s">
        <v>19</v>
      </c>
      <c r="F70" s="1"/>
      <c r="G70" s="6" t="s">
        <v>23</v>
      </c>
      <c r="H70" s="7">
        <v>50000</v>
      </c>
      <c r="I70" s="8">
        <v>7.8</v>
      </c>
      <c r="J70" s="1" t="s">
        <v>15</v>
      </c>
    </row>
    <row r="71" spans="1:10" x14ac:dyDescent="0.2">
      <c r="A71" s="5">
        <v>45820</v>
      </c>
      <c r="B71" s="1" t="s">
        <v>1188</v>
      </c>
      <c r="C71" s="1" t="s">
        <v>1189</v>
      </c>
      <c r="D71" s="1" t="s">
        <v>307</v>
      </c>
      <c r="E71" s="1" t="s">
        <v>94</v>
      </c>
      <c r="F71" s="1"/>
      <c r="G71" s="6" t="s">
        <v>14</v>
      </c>
      <c r="H71" s="7">
        <v>130000</v>
      </c>
      <c r="I71" s="1">
        <v>26</v>
      </c>
      <c r="J71" s="1" t="s">
        <v>15</v>
      </c>
    </row>
    <row r="72" spans="1:10" x14ac:dyDescent="0.2">
      <c r="A72" s="5">
        <v>45820</v>
      </c>
      <c r="B72" s="1" t="s">
        <v>938</v>
      </c>
      <c r="C72" s="1" t="s">
        <v>563</v>
      </c>
      <c r="D72" s="1" t="s">
        <v>64</v>
      </c>
      <c r="E72" s="1" t="s">
        <v>19</v>
      </c>
      <c r="F72" s="1"/>
      <c r="G72" s="6" t="s">
        <v>23</v>
      </c>
      <c r="H72" s="7">
        <v>50000</v>
      </c>
      <c r="I72" s="1">
        <v>14</v>
      </c>
      <c r="J72" s="1" t="s">
        <v>15</v>
      </c>
    </row>
    <row r="73" spans="1:10" x14ac:dyDescent="0.2">
      <c r="A73" s="5">
        <v>45820</v>
      </c>
      <c r="B73" s="1" t="s">
        <v>1190</v>
      </c>
      <c r="C73" s="1" t="s">
        <v>201</v>
      </c>
      <c r="D73" s="1" t="s">
        <v>88</v>
      </c>
      <c r="E73" s="1" t="s">
        <v>13</v>
      </c>
      <c r="F73" s="1"/>
      <c r="G73" s="6" t="s">
        <v>14</v>
      </c>
      <c r="H73" s="7">
        <v>90000</v>
      </c>
      <c r="I73" s="8">
        <v>8.66</v>
      </c>
      <c r="J73" s="1" t="s">
        <v>15</v>
      </c>
    </row>
    <row r="74" spans="1:10" x14ac:dyDescent="0.2">
      <c r="A74" s="5">
        <v>45820</v>
      </c>
      <c r="B74" s="1" t="s">
        <v>1191</v>
      </c>
      <c r="C74" s="1" t="s">
        <v>398</v>
      </c>
      <c r="D74" s="1" t="s">
        <v>18</v>
      </c>
      <c r="E74" s="1" t="s">
        <v>19</v>
      </c>
      <c r="F74" s="1"/>
      <c r="G74" s="6" t="s">
        <v>14</v>
      </c>
      <c r="H74" s="7">
        <v>65000</v>
      </c>
      <c r="I74" s="8">
        <v>11.5</v>
      </c>
      <c r="J74" s="1" t="s">
        <v>15</v>
      </c>
    </row>
    <row r="75" spans="1:10" x14ac:dyDescent="0.2">
      <c r="A75" s="5">
        <v>45820</v>
      </c>
      <c r="B75" s="1" t="s">
        <v>1192</v>
      </c>
      <c r="C75" s="1" t="s">
        <v>63</v>
      </c>
      <c r="D75" s="1" t="s">
        <v>153</v>
      </c>
      <c r="E75" s="1" t="s">
        <v>19</v>
      </c>
      <c r="F75" s="1"/>
      <c r="G75" s="6" t="s">
        <v>14</v>
      </c>
      <c r="H75" s="7">
        <v>70000</v>
      </c>
      <c r="I75" s="8">
        <v>3</v>
      </c>
      <c r="J75" s="1" t="s">
        <v>40</v>
      </c>
    </row>
    <row r="76" spans="1:10" x14ac:dyDescent="0.2">
      <c r="A76" s="5">
        <v>45821</v>
      </c>
      <c r="B76" s="1" t="s">
        <v>633</v>
      </c>
      <c r="C76" s="1" t="s">
        <v>469</v>
      </c>
      <c r="D76" s="1" t="s">
        <v>26</v>
      </c>
      <c r="E76" s="1" t="s">
        <v>13</v>
      </c>
      <c r="F76" s="1"/>
      <c r="G76" s="6" t="s">
        <v>14</v>
      </c>
      <c r="H76" s="7">
        <v>80000</v>
      </c>
      <c r="I76" s="8">
        <v>6.3</v>
      </c>
      <c r="J76" s="1" t="s">
        <v>15</v>
      </c>
    </row>
    <row r="77" spans="1:10" x14ac:dyDescent="0.2">
      <c r="A77" s="5">
        <v>45821</v>
      </c>
      <c r="B77" s="1" t="s">
        <v>633</v>
      </c>
      <c r="C77" s="1" t="s">
        <v>634</v>
      </c>
      <c r="D77" s="1" t="s">
        <v>26</v>
      </c>
      <c r="E77" s="1" t="s">
        <v>13</v>
      </c>
      <c r="F77" s="1"/>
      <c r="G77" s="6" t="s">
        <v>14</v>
      </c>
      <c r="H77" s="7">
        <v>80000</v>
      </c>
      <c r="I77" s="8">
        <v>7</v>
      </c>
      <c r="J77" s="1" t="s">
        <v>15</v>
      </c>
    </row>
    <row r="78" spans="1:10" x14ac:dyDescent="0.2">
      <c r="A78" s="5">
        <v>45821</v>
      </c>
      <c r="B78" s="1" t="s">
        <v>557</v>
      </c>
      <c r="C78" s="1" t="s">
        <v>159</v>
      </c>
      <c r="D78" s="1" t="s">
        <v>64</v>
      </c>
      <c r="E78" s="1" t="s">
        <v>19</v>
      </c>
      <c r="F78" s="1"/>
      <c r="G78" s="6" t="s">
        <v>14</v>
      </c>
      <c r="H78" s="7">
        <v>60000</v>
      </c>
      <c r="I78" s="8">
        <v>11.9</v>
      </c>
      <c r="J78" s="1" t="s">
        <v>15</v>
      </c>
    </row>
    <row r="79" spans="1:10" x14ac:dyDescent="0.2">
      <c r="A79" s="5">
        <v>45821</v>
      </c>
      <c r="B79" s="1" t="s">
        <v>557</v>
      </c>
      <c r="C79" s="1" t="s">
        <v>558</v>
      </c>
      <c r="D79" s="1" t="s">
        <v>64</v>
      </c>
      <c r="E79" s="1" t="s">
        <v>13</v>
      </c>
      <c r="F79" s="1"/>
      <c r="G79" s="6" t="s">
        <v>14</v>
      </c>
      <c r="H79" s="7">
        <v>70000</v>
      </c>
      <c r="I79" s="8">
        <v>12.7</v>
      </c>
      <c r="J79" s="1" t="s">
        <v>15</v>
      </c>
    </row>
    <row r="80" spans="1:10" x14ac:dyDescent="0.2">
      <c r="A80" s="5">
        <v>45821</v>
      </c>
      <c r="B80" s="1" t="s">
        <v>693</v>
      </c>
      <c r="C80" s="1" t="s">
        <v>433</v>
      </c>
      <c r="D80" s="1" t="s">
        <v>196</v>
      </c>
      <c r="E80" s="1" t="s">
        <v>94</v>
      </c>
      <c r="F80" s="1"/>
      <c r="G80" s="6" t="s">
        <v>14</v>
      </c>
      <c r="H80" s="7">
        <v>90000</v>
      </c>
      <c r="I80" s="8">
        <v>22</v>
      </c>
      <c r="J80" s="1" t="s">
        <v>15</v>
      </c>
    </row>
    <row r="81" spans="1:10" x14ac:dyDescent="0.2">
      <c r="A81" s="5">
        <v>45821</v>
      </c>
      <c r="B81" s="1" t="s">
        <v>1193</v>
      </c>
      <c r="C81" s="1" t="s">
        <v>719</v>
      </c>
      <c r="D81" s="1" t="s">
        <v>131</v>
      </c>
      <c r="E81" s="1" t="s">
        <v>19</v>
      </c>
      <c r="F81" s="1"/>
      <c r="G81" s="6" t="s">
        <v>14</v>
      </c>
      <c r="H81" s="7">
        <v>85000</v>
      </c>
      <c r="I81" s="8">
        <v>38.700000000000003</v>
      </c>
      <c r="J81" s="1" t="s">
        <v>15</v>
      </c>
    </row>
    <row r="82" spans="1:10" x14ac:dyDescent="0.2">
      <c r="A82" s="5">
        <v>45821</v>
      </c>
      <c r="B82" s="1" t="s">
        <v>111</v>
      </c>
      <c r="C82" s="1" t="s">
        <v>63</v>
      </c>
      <c r="D82" s="1" t="s">
        <v>112</v>
      </c>
      <c r="E82" s="1" t="s">
        <v>113</v>
      </c>
      <c r="F82" s="1"/>
      <c r="G82" s="6" t="s">
        <v>14</v>
      </c>
      <c r="H82" s="7" t="s">
        <v>114</v>
      </c>
      <c r="I82" s="8" t="s">
        <v>114</v>
      </c>
      <c r="J82" s="1" t="s">
        <v>34</v>
      </c>
    </row>
    <row r="83" spans="1:10" x14ac:dyDescent="0.2">
      <c r="A83" s="5">
        <v>45822</v>
      </c>
      <c r="B83" s="1" t="s">
        <v>603</v>
      </c>
      <c r="C83" s="1" t="s">
        <v>172</v>
      </c>
      <c r="D83" s="1" t="s">
        <v>18</v>
      </c>
      <c r="E83" s="1" t="s">
        <v>19</v>
      </c>
      <c r="F83" s="1"/>
      <c r="G83" s="6" t="s">
        <v>14</v>
      </c>
      <c r="H83" s="7">
        <v>55000</v>
      </c>
      <c r="I83" s="8">
        <v>11</v>
      </c>
      <c r="J83" s="1" t="s">
        <v>15</v>
      </c>
    </row>
    <row r="84" spans="1:10" x14ac:dyDescent="0.2">
      <c r="A84" s="5">
        <v>45822</v>
      </c>
      <c r="B84" s="1" t="s">
        <v>1194</v>
      </c>
      <c r="C84" s="1" t="s">
        <v>1195</v>
      </c>
      <c r="D84" s="1" t="s">
        <v>64</v>
      </c>
      <c r="E84" s="1" t="s">
        <v>19</v>
      </c>
      <c r="F84" s="1"/>
      <c r="G84" s="6" t="s">
        <v>14</v>
      </c>
      <c r="H84" s="7">
        <v>70000</v>
      </c>
      <c r="I84" s="8">
        <v>9.3000000000000007</v>
      </c>
      <c r="J84" s="1" t="s">
        <v>15</v>
      </c>
    </row>
    <row r="85" spans="1:10" x14ac:dyDescent="0.2">
      <c r="A85" s="5">
        <v>45822</v>
      </c>
      <c r="B85" s="1" t="s">
        <v>1194</v>
      </c>
      <c r="C85" s="1" t="s">
        <v>249</v>
      </c>
      <c r="D85" s="1" t="s">
        <v>42</v>
      </c>
      <c r="E85" s="1" t="s">
        <v>19</v>
      </c>
      <c r="F85" s="1"/>
      <c r="G85" s="6" t="s">
        <v>23</v>
      </c>
      <c r="H85" s="7">
        <v>60000</v>
      </c>
      <c r="I85" s="8">
        <v>7.8</v>
      </c>
      <c r="J85" s="1" t="s">
        <v>15</v>
      </c>
    </row>
    <row r="86" spans="1:10" x14ac:dyDescent="0.2">
      <c r="A86" s="5">
        <v>45822</v>
      </c>
      <c r="B86" s="1" t="s">
        <v>256</v>
      </c>
      <c r="C86" s="1" t="s">
        <v>116</v>
      </c>
      <c r="D86" s="1" t="s">
        <v>32</v>
      </c>
      <c r="E86" s="1" t="s">
        <v>113</v>
      </c>
      <c r="F86" s="1"/>
      <c r="G86" s="6" t="s">
        <v>14</v>
      </c>
      <c r="H86" s="7" t="s">
        <v>114</v>
      </c>
      <c r="I86" s="8"/>
      <c r="J86" s="1" t="s">
        <v>15</v>
      </c>
    </row>
    <row r="87" spans="1:10" x14ac:dyDescent="0.2">
      <c r="A87" s="5">
        <v>45822</v>
      </c>
      <c r="B87" s="1" t="s">
        <v>125</v>
      </c>
      <c r="C87" s="1" t="s">
        <v>211</v>
      </c>
      <c r="D87" s="1" t="s">
        <v>32</v>
      </c>
      <c r="E87" s="1" t="s">
        <v>19</v>
      </c>
      <c r="F87" s="1"/>
      <c r="G87" s="6"/>
      <c r="H87" s="7">
        <v>55000</v>
      </c>
      <c r="I87" s="8"/>
      <c r="J87" s="1" t="s">
        <v>15</v>
      </c>
    </row>
    <row r="88" spans="1:10" x14ac:dyDescent="0.2">
      <c r="A88" s="5">
        <v>45822</v>
      </c>
      <c r="B88" s="1" t="s">
        <v>132</v>
      </c>
      <c r="C88" s="1" t="s">
        <v>36</v>
      </c>
      <c r="D88" s="1" t="s">
        <v>18</v>
      </c>
      <c r="E88" s="1" t="s">
        <v>19</v>
      </c>
      <c r="F88" s="1"/>
      <c r="G88" s="6" t="s">
        <v>14</v>
      </c>
      <c r="H88" s="7" t="s">
        <v>114</v>
      </c>
      <c r="I88" s="8"/>
      <c r="J88" s="1" t="s">
        <v>15</v>
      </c>
    </row>
    <row r="89" spans="1:10" x14ac:dyDescent="0.2">
      <c r="A89" s="5">
        <v>45822</v>
      </c>
      <c r="B89" s="1" t="s">
        <v>129</v>
      </c>
      <c r="C89" s="1" t="s">
        <v>130</v>
      </c>
      <c r="D89" s="1" t="s">
        <v>131</v>
      </c>
      <c r="E89" s="1" t="s">
        <v>13</v>
      </c>
      <c r="F89" s="1"/>
      <c r="G89" s="6" t="s">
        <v>14</v>
      </c>
      <c r="H89" s="7">
        <v>85000</v>
      </c>
      <c r="I89" s="8">
        <v>40.9</v>
      </c>
      <c r="J89" s="1" t="s">
        <v>15</v>
      </c>
    </row>
    <row r="90" spans="1:10" x14ac:dyDescent="0.2">
      <c r="A90" s="5">
        <v>45822</v>
      </c>
      <c r="B90" s="1" t="s">
        <v>1196</v>
      </c>
      <c r="C90" s="1" t="s">
        <v>420</v>
      </c>
      <c r="D90" s="1" t="s">
        <v>18</v>
      </c>
      <c r="E90" s="1" t="s">
        <v>13</v>
      </c>
      <c r="F90" s="1"/>
      <c r="G90" s="6" t="s">
        <v>14</v>
      </c>
      <c r="H90" s="7">
        <v>90000</v>
      </c>
      <c r="I90" s="8">
        <v>15</v>
      </c>
      <c r="J90" s="1" t="s">
        <v>15</v>
      </c>
    </row>
    <row r="91" spans="1:10" x14ac:dyDescent="0.2">
      <c r="A91" s="5">
        <v>45822</v>
      </c>
      <c r="B91" s="1" t="s">
        <v>227</v>
      </c>
      <c r="C91" s="1" t="s">
        <v>228</v>
      </c>
      <c r="D91" s="1" t="s">
        <v>229</v>
      </c>
      <c r="E91" s="1" t="s">
        <v>19</v>
      </c>
      <c r="F91" s="1"/>
      <c r="G91" s="6" t="s">
        <v>14</v>
      </c>
      <c r="H91" s="7">
        <v>85000</v>
      </c>
      <c r="I91" s="8">
        <v>27</v>
      </c>
      <c r="J91" s="1" t="s">
        <v>15</v>
      </c>
    </row>
    <row r="92" spans="1:10" x14ac:dyDescent="0.2">
      <c r="A92" s="5">
        <v>45822</v>
      </c>
      <c r="B92" s="1" t="s">
        <v>1197</v>
      </c>
      <c r="C92" s="1" t="s">
        <v>1198</v>
      </c>
      <c r="D92" s="1" t="s">
        <v>26</v>
      </c>
      <c r="E92" s="1" t="s">
        <v>19</v>
      </c>
      <c r="F92" s="1"/>
      <c r="G92" s="6" t="s">
        <v>14</v>
      </c>
      <c r="H92" s="7">
        <v>70000</v>
      </c>
      <c r="I92" s="8">
        <v>5.4</v>
      </c>
      <c r="J92" s="1" t="s">
        <v>40</v>
      </c>
    </row>
    <row r="93" spans="1:10" x14ac:dyDescent="0.2">
      <c r="A93" s="5">
        <v>45824</v>
      </c>
      <c r="B93" s="1" t="s">
        <v>1199</v>
      </c>
      <c r="C93" s="1" t="s">
        <v>604</v>
      </c>
      <c r="D93" s="1" t="s">
        <v>64</v>
      </c>
      <c r="E93" s="1" t="s">
        <v>19</v>
      </c>
      <c r="F93" s="1"/>
      <c r="G93" s="6" t="s">
        <v>23</v>
      </c>
      <c r="H93" s="7">
        <v>80000</v>
      </c>
      <c r="I93" s="8">
        <v>26.3</v>
      </c>
      <c r="J93" s="1" t="s">
        <v>15</v>
      </c>
    </row>
    <row r="94" spans="1:10" x14ac:dyDescent="0.2">
      <c r="A94" s="5">
        <v>45824</v>
      </c>
      <c r="B94" s="1" t="s">
        <v>959</v>
      </c>
      <c r="C94" s="1" t="s">
        <v>1073</v>
      </c>
      <c r="D94" s="1" t="s">
        <v>165</v>
      </c>
      <c r="E94" s="1" t="s">
        <v>13</v>
      </c>
      <c r="F94" s="1"/>
      <c r="G94" s="6" t="s">
        <v>14</v>
      </c>
      <c r="H94" s="7">
        <v>75000</v>
      </c>
      <c r="I94" s="8">
        <v>4.0999999999999996</v>
      </c>
      <c r="J94" s="1" t="s">
        <v>15</v>
      </c>
    </row>
    <row r="95" spans="1:10" x14ac:dyDescent="0.2">
      <c r="A95" s="5">
        <v>45824</v>
      </c>
      <c r="B95" s="1" t="s">
        <v>1200</v>
      </c>
      <c r="C95" s="1" t="s">
        <v>1201</v>
      </c>
      <c r="D95" s="1" t="s">
        <v>1202</v>
      </c>
      <c r="E95" s="1" t="s">
        <v>19</v>
      </c>
      <c r="F95" s="1"/>
      <c r="G95" s="6" t="s">
        <v>14</v>
      </c>
      <c r="H95" s="7">
        <v>95000</v>
      </c>
      <c r="I95" s="8">
        <v>36</v>
      </c>
      <c r="J95" s="1" t="s">
        <v>15</v>
      </c>
    </row>
    <row r="96" spans="1:10" x14ac:dyDescent="0.2">
      <c r="A96" s="5">
        <v>45824</v>
      </c>
      <c r="B96" s="1" t="s">
        <v>1200</v>
      </c>
      <c r="C96" s="1" t="s">
        <v>249</v>
      </c>
      <c r="D96" s="1" t="s">
        <v>1202</v>
      </c>
      <c r="E96" s="1" t="s">
        <v>19</v>
      </c>
      <c r="F96" s="1"/>
      <c r="G96" s="6" t="s">
        <v>14</v>
      </c>
      <c r="H96" s="7">
        <v>95000</v>
      </c>
      <c r="I96" s="8">
        <v>29</v>
      </c>
      <c r="J96" s="1" t="s">
        <v>15</v>
      </c>
    </row>
    <row r="97" spans="1:10" x14ac:dyDescent="0.2">
      <c r="A97" s="5">
        <v>45824</v>
      </c>
      <c r="B97" s="1" t="s">
        <v>338</v>
      </c>
      <c r="C97" s="1" t="s">
        <v>339</v>
      </c>
      <c r="D97" s="1" t="s">
        <v>340</v>
      </c>
      <c r="E97" s="1" t="s">
        <v>19</v>
      </c>
      <c r="F97" s="1"/>
      <c r="G97" s="6" t="s">
        <v>23</v>
      </c>
      <c r="H97" s="7">
        <v>20000</v>
      </c>
      <c r="I97" s="8">
        <v>2.8</v>
      </c>
      <c r="J97" s="1" t="s">
        <v>15</v>
      </c>
    </row>
    <row r="98" spans="1:10" x14ac:dyDescent="0.2">
      <c r="A98" s="5">
        <v>45824</v>
      </c>
      <c r="B98" s="1"/>
      <c r="C98" s="1"/>
      <c r="D98" s="1"/>
      <c r="E98" s="1" t="s">
        <v>61</v>
      </c>
      <c r="F98" s="1"/>
      <c r="G98" s="6" t="s">
        <v>23</v>
      </c>
      <c r="H98" s="7">
        <v>10000</v>
      </c>
      <c r="I98" s="8"/>
      <c r="J98" s="1" t="s">
        <v>160</v>
      </c>
    </row>
    <row r="99" spans="1:10" x14ac:dyDescent="0.2">
      <c r="A99" s="5">
        <v>45825</v>
      </c>
      <c r="B99" s="1" t="s">
        <v>199</v>
      </c>
      <c r="C99" s="1" t="s">
        <v>398</v>
      </c>
      <c r="D99" s="1" t="s">
        <v>49</v>
      </c>
      <c r="E99" s="1" t="s">
        <v>19</v>
      </c>
      <c r="F99" s="1"/>
      <c r="G99" s="6" t="s">
        <v>23</v>
      </c>
      <c r="H99" s="7">
        <v>25000</v>
      </c>
      <c r="I99" s="8">
        <v>3.3</v>
      </c>
      <c r="J99" s="1" t="s">
        <v>37</v>
      </c>
    </row>
    <row r="100" spans="1:10" x14ac:dyDescent="0.2">
      <c r="A100" s="5">
        <v>45825</v>
      </c>
      <c r="B100" s="1" t="s">
        <v>1203</v>
      </c>
      <c r="C100" s="1" t="s">
        <v>777</v>
      </c>
      <c r="D100" s="1" t="s">
        <v>49</v>
      </c>
      <c r="E100" s="1" t="s">
        <v>19</v>
      </c>
      <c r="F100" s="1"/>
      <c r="G100" s="6" t="s">
        <v>23</v>
      </c>
      <c r="H100" s="7">
        <v>30000</v>
      </c>
      <c r="I100" s="8"/>
      <c r="J100" s="1" t="s">
        <v>15</v>
      </c>
    </row>
    <row r="101" spans="1:10" x14ac:dyDescent="0.2">
      <c r="A101" s="5">
        <v>45825</v>
      </c>
      <c r="B101" s="1" t="s">
        <v>1203</v>
      </c>
      <c r="C101" s="1" t="s">
        <v>1204</v>
      </c>
      <c r="D101" s="1" t="s">
        <v>49</v>
      </c>
      <c r="E101" s="1" t="s">
        <v>19</v>
      </c>
      <c r="F101" s="1"/>
      <c r="G101" s="6" t="s">
        <v>23</v>
      </c>
      <c r="H101" s="7">
        <v>30000</v>
      </c>
      <c r="I101" s="8">
        <v>2.2000000000000002</v>
      </c>
      <c r="J101" s="1" t="s">
        <v>15</v>
      </c>
    </row>
    <row r="102" spans="1:10" x14ac:dyDescent="0.2">
      <c r="A102" s="5">
        <v>45825</v>
      </c>
      <c r="B102" s="1" t="s">
        <v>899</v>
      </c>
      <c r="C102" s="1" t="s">
        <v>695</v>
      </c>
      <c r="D102" s="1" t="s">
        <v>131</v>
      </c>
      <c r="E102" s="1" t="s">
        <v>19</v>
      </c>
      <c r="F102" s="1"/>
      <c r="G102" s="6" t="s">
        <v>14</v>
      </c>
      <c r="H102" s="7">
        <v>80000</v>
      </c>
      <c r="I102" s="8">
        <v>36</v>
      </c>
      <c r="J102" s="1" t="s">
        <v>15</v>
      </c>
    </row>
    <row r="103" spans="1:10" x14ac:dyDescent="0.2">
      <c r="A103" s="5">
        <v>45825</v>
      </c>
      <c r="B103" s="1" t="s">
        <v>1095</v>
      </c>
      <c r="C103" s="1" t="s">
        <v>766</v>
      </c>
      <c r="D103" s="1" t="s">
        <v>352</v>
      </c>
      <c r="E103" s="1" t="s">
        <v>19</v>
      </c>
      <c r="F103" s="1"/>
      <c r="G103" s="6" t="s">
        <v>23</v>
      </c>
      <c r="H103" s="7">
        <v>50000</v>
      </c>
      <c r="I103" s="8">
        <v>17.2</v>
      </c>
      <c r="J103" s="1" t="s">
        <v>15</v>
      </c>
    </row>
    <row r="104" spans="1:10" x14ac:dyDescent="0.2">
      <c r="A104" s="5">
        <v>45825</v>
      </c>
      <c r="B104" s="1" t="s">
        <v>1205</v>
      </c>
      <c r="C104" s="1" t="s">
        <v>173</v>
      </c>
      <c r="D104" s="1" t="s">
        <v>131</v>
      </c>
      <c r="E104" s="1" t="s">
        <v>19</v>
      </c>
      <c r="F104" s="1"/>
      <c r="G104" s="6" t="s">
        <v>14</v>
      </c>
      <c r="H104" s="7">
        <v>85000</v>
      </c>
      <c r="I104" s="8">
        <v>34.5</v>
      </c>
      <c r="J104" s="1" t="s">
        <v>15</v>
      </c>
    </row>
    <row r="105" spans="1:10" x14ac:dyDescent="0.2">
      <c r="A105" s="5">
        <v>45825</v>
      </c>
      <c r="B105" s="1" t="s">
        <v>518</v>
      </c>
      <c r="C105" s="1" t="s">
        <v>519</v>
      </c>
      <c r="D105" s="1" t="s">
        <v>26</v>
      </c>
      <c r="E105" s="1" t="s">
        <v>19</v>
      </c>
      <c r="F105" s="1"/>
      <c r="G105" s="6" t="s">
        <v>14</v>
      </c>
      <c r="H105" s="7">
        <v>65000</v>
      </c>
      <c r="I105" s="8">
        <v>8.6</v>
      </c>
      <c r="J105" s="1" t="s">
        <v>15</v>
      </c>
    </row>
    <row r="106" spans="1:10" x14ac:dyDescent="0.2">
      <c r="A106" s="5">
        <v>45825</v>
      </c>
      <c r="B106" s="1" t="s">
        <v>1206</v>
      </c>
      <c r="C106" s="1" t="s">
        <v>1207</v>
      </c>
      <c r="D106" s="1" t="s">
        <v>119</v>
      </c>
      <c r="E106" s="1" t="s">
        <v>19</v>
      </c>
      <c r="F106" s="1"/>
      <c r="G106" s="6" t="s">
        <v>23</v>
      </c>
      <c r="H106" s="7">
        <v>60000</v>
      </c>
      <c r="I106" s="8">
        <v>14</v>
      </c>
      <c r="J106" s="1" t="s">
        <v>15</v>
      </c>
    </row>
    <row r="107" spans="1:10" x14ac:dyDescent="0.2">
      <c r="A107" s="5">
        <v>45826</v>
      </c>
      <c r="B107" s="1" t="s">
        <v>1208</v>
      </c>
      <c r="C107" s="1" t="s">
        <v>268</v>
      </c>
      <c r="D107" s="1" t="s">
        <v>165</v>
      </c>
      <c r="E107" s="1" t="s">
        <v>19</v>
      </c>
      <c r="F107" s="1"/>
      <c r="G107" s="6" t="s">
        <v>14</v>
      </c>
      <c r="H107" s="7">
        <v>65000</v>
      </c>
      <c r="I107" s="8">
        <v>3.5</v>
      </c>
      <c r="J107" s="1" t="s">
        <v>15</v>
      </c>
    </row>
    <row r="108" spans="1:10" x14ac:dyDescent="0.2">
      <c r="A108" s="5">
        <v>45826</v>
      </c>
      <c r="B108" s="1" t="s">
        <v>381</v>
      </c>
      <c r="C108" s="1" t="s">
        <v>382</v>
      </c>
      <c r="D108" s="1" t="s">
        <v>165</v>
      </c>
      <c r="E108" s="1" t="s">
        <v>13</v>
      </c>
      <c r="F108" s="1" t="s">
        <v>775</v>
      </c>
      <c r="G108" s="6" t="s">
        <v>14</v>
      </c>
      <c r="H108" s="7">
        <v>80000</v>
      </c>
      <c r="I108" s="8">
        <v>9.1999999999999993</v>
      </c>
      <c r="J108" s="1" t="s">
        <v>15</v>
      </c>
    </row>
    <row r="109" spans="1:10" x14ac:dyDescent="0.2">
      <c r="A109" s="5">
        <v>45826</v>
      </c>
      <c r="B109" s="1" t="s">
        <v>1209</v>
      </c>
      <c r="C109" s="1" t="s">
        <v>1210</v>
      </c>
      <c r="D109" s="1" t="s">
        <v>22</v>
      </c>
      <c r="E109" s="1" t="s">
        <v>19</v>
      </c>
      <c r="F109" s="1"/>
      <c r="G109" s="6" t="s">
        <v>23</v>
      </c>
      <c r="H109" s="7">
        <v>55000</v>
      </c>
      <c r="I109" s="8">
        <v>8.8000000000000007</v>
      </c>
      <c r="J109" s="1" t="s">
        <v>15</v>
      </c>
    </row>
    <row r="110" spans="1:10" x14ac:dyDescent="0.2">
      <c r="A110" s="5">
        <v>45826</v>
      </c>
      <c r="B110" s="1" t="s">
        <v>1211</v>
      </c>
      <c r="C110" s="1" t="s">
        <v>1212</v>
      </c>
      <c r="D110" s="1" t="s">
        <v>119</v>
      </c>
      <c r="E110" s="1" t="s">
        <v>19</v>
      </c>
      <c r="F110" s="1"/>
      <c r="G110" s="6" t="s">
        <v>23</v>
      </c>
      <c r="H110" s="7">
        <v>55000</v>
      </c>
      <c r="I110" s="8">
        <v>15</v>
      </c>
      <c r="J110" s="1" t="s">
        <v>15</v>
      </c>
    </row>
    <row r="111" spans="1:10" x14ac:dyDescent="0.2">
      <c r="A111" s="5">
        <v>45826</v>
      </c>
      <c r="B111" s="1" t="s">
        <v>1213</v>
      </c>
      <c r="C111" s="1" t="s">
        <v>453</v>
      </c>
      <c r="D111" s="1" t="s">
        <v>58</v>
      </c>
      <c r="E111" s="1" t="s">
        <v>59</v>
      </c>
      <c r="F111" s="1"/>
      <c r="G111" s="6" t="s">
        <v>14</v>
      </c>
      <c r="H111" s="7">
        <v>80000</v>
      </c>
      <c r="I111" s="8">
        <v>4.5</v>
      </c>
      <c r="J111" s="1" t="s">
        <v>15</v>
      </c>
    </row>
    <row r="112" spans="1:10" x14ac:dyDescent="0.2">
      <c r="A112" s="5">
        <v>45826</v>
      </c>
      <c r="B112" s="1" t="s">
        <v>581</v>
      </c>
      <c r="C112" s="1" t="s">
        <v>582</v>
      </c>
      <c r="D112" s="1" t="s">
        <v>131</v>
      </c>
      <c r="E112" s="1" t="s">
        <v>19</v>
      </c>
      <c r="F112" s="1"/>
      <c r="G112" s="6" t="s">
        <v>14</v>
      </c>
      <c r="H112" s="7">
        <v>85000</v>
      </c>
      <c r="I112" s="8">
        <v>39</v>
      </c>
      <c r="J112" s="1" t="s">
        <v>15</v>
      </c>
    </row>
    <row r="113" spans="1:10" x14ac:dyDescent="0.2">
      <c r="A113" s="5">
        <v>45826</v>
      </c>
      <c r="B113" s="1" t="s">
        <v>1214</v>
      </c>
      <c r="C113" s="1" t="s">
        <v>275</v>
      </c>
      <c r="D113" s="1" t="s">
        <v>26</v>
      </c>
      <c r="E113" s="1" t="s">
        <v>13</v>
      </c>
      <c r="F113" s="1"/>
      <c r="G113" s="6" t="s">
        <v>14</v>
      </c>
      <c r="H113" s="7">
        <v>75000</v>
      </c>
      <c r="I113" s="8">
        <v>5.9</v>
      </c>
      <c r="J113" s="1" t="s">
        <v>15</v>
      </c>
    </row>
    <row r="114" spans="1:10" x14ac:dyDescent="0.2">
      <c r="A114" s="5">
        <v>45826</v>
      </c>
      <c r="B114" s="1" t="s">
        <v>672</v>
      </c>
      <c r="C114" s="1" t="s">
        <v>673</v>
      </c>
      <c r="D114" s="1" t="s">
        <v>64</v>
      </c>
      <c r="E114" s="1" t="s">
        <v>19</v>
      </c>
      <c r="F114" s="1"/>
      <c r="G114" s="6" t="s">
        <v>23</v>
      </c>
      <c r="H114" s="7">
        <v>60000</v>
      </c>
      <c r="I114" s="8">
        <v>12.5</v>
      </c>
      <c r="J114" s="1" t="s">
        <v>15</v>
      </c>
    </row>
    <row r="115" spans="1:10" x14ac:dyDescent="0.2">
      <c r="A115" s="5">
        <v>45827</v>
      </c>
      <c r="B115" s="1" t="s">
        <v>1211</v>
      </c>
      <c r="C115" s="1" t="s">
        <v>1215</v>
      </c>
      <c r="D115" s="1" t="s">
        <v>64</v>
      </c>
      <c r="E115" s="1" t="s">
        <v>19</v>
      </c>
      <c r="F115" s="1"/>
      <c r="G115" s="6" t="s">
        <v>23</v>
      </c>
      <c r="H115" s="7">
        <v>55000</v>
      </c>
      <c r="I115" s="8">
        <v>8.6</v>
      </c>
      <c r="J115" s="1" t="s">
        <v>15</v>
      </c>
    </row>
    <row r="116" spans="1:10" x14ac:dyDescent="0.2">
      <c r="A116" s="5">
        <v>45827</v>
      </c>
      <c r="B116" s="1" t="s">
        <v>242</v>
      </c>
      <c r="C116" s="1" t="s">
        <v>786</v>
      </c>
      <c r="D116" s="1" t="s">
        <v>49</v>
      </c>
      <c r="E116" s="1" t="s">
        <v>19</v>
      </c>
      <c r="F116" s="1"/>
      <c r="G116" s="6" t="s">
        <v>23</v>
      </c>
      <c r="H116" s="7">
        <v>20000</v>
      </c>
      <c r="I116" s="8"/>
      <c r="J116" s="1" t="s">
        <v>15</v>
      </c>
    </row>
    <row r="117" spans="1:10" x14ac:dyDescent="0.2">
      <c r="A117" s="5">
        <v>45827</v>
      </c>
      <c r="B117" s="1" t="s">
        <v>1216</v>
      </c>
      <c r="C117" s="15" t="s">
        <v>1217</v>
      </c>
      <c r="D117" s="15" t="s">
        <v>64</v>
      </c>
      <c r="E117" s="15" t="s">
        <v>19</v>
      </c>
      <c r="F117" s="1"/>
      <c r="G117" s="6" t="s">
        <v>23</v>
      </c>
      <c r="H117" s="7">
        <v>60000</v>
      </c>
      <c r="I117" s="8">
        <v>10.5</v>
      </c>
      <c r="J117" s="1" t="s">
        <v>15</v>
      </c>
    </row>
    <row r="118" spans="1:10" x14ac:dyDescent="0.2">
      <c r="A118" s="5">
        <v>45827</v>
      </c>
      <c r="B118" s="1" t="s">
        <v>236</v>
      </c>
      <c r="C118" s="1" t="s">
        <v>21</v>
      </c>
      <c r="D118" s="1" t="s">
        <v>18</v>
      </c>
      <c r="E118" s="1" t="s">
        <v>13</v>
      </c>
      <c r="F118" s="1"/>
      <c r="G118" s="6" t="s">
        <v>14</v>
      </c>
      <c r="H118" s="7">
        <v>70000</v>
      </c>
      <c r="I118" s="8">
        <v>18</v>
      </c>
      <c r="J118" s="1" t="s">
        <v>15</v>
      </c>
    </row>
    <row r="119" spans="1:10" x14ac:dyDescent="0.2">
      <c r="A119" s="5">
        <v>45827</v>
      </c>
      <c r="B119" s="1" t="s">
        <v>1218</v>
      </c>
      <c r="C119" s="1" t="s">
        <v>910</v>
      </c>
      <c r="D119" s="1" t="s">
        <v>26</v>
      </c>
      <c r="E119" s="1" t="s">
        <v>78</v>
      </c>
      <c r="F119" s="1"/>
      <c r="G119" s="6" t="s">
        <v>14</v>
      </c>
      <c r="H119" s="7">
        <v>85000</v>
      </c>
      <c r="I119" s="8">
        <v>7.8</v>
      </c>
      <c r="J119" s="1" t="s">
        <v>15</v>
      </c>
    </row>
    <row r="120" spans="1:10" x14ac:dyDescent="0.2">
      <c r="A120" s="5">
        <v>45827</v>
      </c>
      <c r="B120" s="1" t="s">
        <v>1218</v>
      </c>
      <c r="C120" s="1" t="s">
        <v>715</v>
      </c>
      <c r="D120" s="1" t="s">
        <v>26</v>
      </c>
      <c r="E120" s="1" t="s">
        <v>78</v>
      </c>
      <c r="F120" s="1"/>
      <c r="G120" s="6" t="s">
        <v>14</v>
      </c>
      <c r="H120" s="7">
        <v>80000</v>
      </c>
      <c r="I120" s="8">
        <v>9</v>
      </c>
      <c r="J120" s="1" t="s">
        <v>15</v>
      </c>
    </row>
    <row r="121" spans="1:10" x14ac:dyDescent="0.2">
      <c r="A121" s="5">
        <v>45827</v>
      </c>
      <c r="B121" s="1" t="s">
        <v>689</v>
      </c>
      <c r="C121" s="1" t="s">
        <v>126</v>
      </c>
      <c r="D121" s="1" t="s">
        <v>165</v>
      </c>
      <c r="E121" s="1" t="s">
        <v>13</v>
      </c>
      <c r="F121" s="1"/>
      <c r="G121" s="6" t="s">
        <v>14</v>
      </c>
      <c r="H121" s="7">
        <v>85000</v>
      </c>
      <c r="I121" s="8">
        <v>7.4</v>
      </c>
      <c r="J121" s="1" t="s">
        <v>15</v>
      </c>
    </row>
    <row r="122" spans="1:10" x14ac:dyDescent="0.2">
      <c r="A122" s="5">
        <v>45827</v>
      </c>
      <c r="B122" s="1" t="s">
        <v>1087</v>
      </c>
      <c r="C122" s="1" t="s">
        <v>1219</v>
      </c>
      <c r="D122" s="1" t="s">
        <v>494</v>
      </c>
      <c r="E122" s="1" t="s">
        <v>59</v>
      </c>
      <c r="F122" s="1"/>
      <c r="G122" s="6" t="s">
        <v>23</v>
      </c>
      <c r="H122" s="7">
        <v>80000</v>
      </c>
      <c r="I122" s="8">
        <v>6.5</v>
      </c>
      <c r="J122" s="1" t="s">
        <v>15</v>
      </c>
    </row>
    <row r="123" spans="1:10" x14ac:dyDescent="0.2">
      <c r="A123" s="5">
        <v>45828</v>
      </c>
      <c r="B123" s="1" t="s">
        <v>593</v>
      </c>
      <c r="C123" s="1" t="s">
        <v>391</v>
      </c>
      <c r="D123" s="1" t="s">
        <v>122</v>
      </c>
      <c r="E123" s="1" t="s">
        <v>19</v>
      </c>
      <c r="F123" s="1"/>
      <c r="G123" s="6" t="s">
        <v>14</v>
      </c>
      <c r="H123" s="7">
        <v>100000</v>
      </c>
      <c r="I123" s="8">
        <v>31</v>
      </c>
      <c r="J123" s="1" t="s">
        <v>15</v>
      </c>
    </row>
    <row r="124" spans="1:10" x14ac:dyDescent="0.2">
      <c r="A124" s="5">
        <v>45828</v>
      </c>
      <c r="B124" s="1" t="s">
        <v>593</v>
      </c>
      <c r="C124" s="1" t="s">
        <v>595</v>
      </c>
      <c r="D124" s="1" t="s">
        <v>122</v>
      </c>
      <c r="E124" s="1" t="s">
        <v>19</v>
      </c>
      <c r="F124" s="1"/>
      <c r="G124" s="6" t="s">
        <v>14</v>
      </c>
      <c r="H124" s="7">
        <v>75000</v>
      </c>
      <c r="I124" s="8">
        <v>18</v>
      </c>
      <c r="J124" s="1" t="s">
        <v>15</v>
      </c>
    </row>
    <row r="125" spans="1:10" x14ac:dyDescent="0.2">
      <c r="A125" s="5">
        <v>45828</v>
      </c>
      <c r="B125" s="1" t="s">
        <v>1220</v>
      </c>
      <c r="C125" s="1" t="s">
        <v>1221</v>
      </c>
      <c r="D125" s="1" t="s">
        <v>101</v>
      </c>
      <c r="E125" s="1" t="s">
        <v>19</v>
      </c>
      <c r="F125" s="1"/>
      <c r="G125" s="6" t="s">
        <v>14</v>
      </c>
      <c r="H125" s="7">
        <v>65000</v>
      </c>
      <c r="I125" s="8">
        <v>4.8</v>
      </c>
      <c r="J125" s="1" t="s">
        <v>15</v>
      </c>
    </row>
    <row r="126" spans="1:10" x14ac:dyDescent="0.2">
      <c r="A126" s="5">
        <v>45828</v>
      </c>
      <c r="B126" s="1" t="s">
        <v>481</v>
      </c>
      <c r="C126" s="1" t="s">
        <v>1106</v>
      </c>
      <c r="D126" s="1" t="s">
        <v>371</v>
      </c>
      <c r="E126" s="1" t="s">
        <v>19</v>
      </c>
      <c r="F126" s="1"/>
      <c r="G126" s="6" t="s">
        <v>23</v>
      </c>
      <c r="H126" s="7">
        <v>60000</v>
      </c>
      <c r="I126" s="8"/>
      <c r="J126" s="1" t="s">
        <v>15</v>
      </c>
    </row>
    <row r="127" spans="1:10" x14ac:dyDescent="0.2">
      <c r="A127" s="5">
        <v>45828</v>
      </c>
      <c r="B127" s="1" t="s">
        <v>1222</v>
      </c>
      <c r="C127" s="1" t="s">
        <v>440</v>
      </c>
      <c r="D127" s="1" t="s">
        <v>88</v>
      </c>
      <c r="E127" s="1" t="s">
        <v>13</v>
      </c>
      <c r="F127" s="1"/>
      <c r="G127" s="6" t="s">
        <v>14</v>
      </c>
      <c r="H127" s="7">
        <v>70000</v>
      </c>
      <c r="I127" s="8">
        <v>6.7</v>
      </c>
      <c r="J127" s="1" t="s">
        <v>15</v>
      </c>
    </row>
    <row r="128" spans="1:10" x14ac:dyDescent="0.2">
      <c r="A128" s="5">
        <v>45828</v>
      </c>
      <c r="B128" s="1" t="s">
        <v>1222</v>
      </c>
      <c r="C128" s="1" t="s">
        <v>1149</v>
      </c>
      <c r="D128" s="1" t="s">
        <v>88</v>
      </c>
      <c r="E128" s="1" t="s">
        <v>13</v>
      </c>
      <c r="F128" s="1"/>
      <c r="G128" s="6" t="s">
        <v>14</v>
      </c>
      <c r="H128" s="7">
        <v>70000</v>
      </c>
      <c r="I128" s="8">
        <v>3.3</v>
      </c>
      <c r="J128" s="1" t="s">
        <v>15</v>
      </c>
    </row>
    <row r="129" spans="1:10" x14ac:dyDescent="0.2">
      <c r="A129" s="5">
        <v>45828</v>
      </c>
      <c r="B129" s="1" t="s">
        <v>1223</v>
      </c>
      <c r="C129" s="1" t="s">
        <v>1224</v>
      </c>
      <c r="D129" s="1" t="s">
        <v>26</v>
      </c>
      <c r="E129" s="1" t="s">
        <v>13</v>
      </c>
      <c r="F129" s="1"/>
      <c r="G129" s="6" t="s">
        <v>14</v>
      </c>
      <c r="H129" s="7">
        <v>85000</v>
      </c>
      <c r="I129" s="8">
        <v>4.5999999999999996</v>
      </c>
      <c r="J129" s="1" t="s">
        <v>15</v>
      </c>
    </row>
    <row r="130" spans="1:10" x14ac:dyDescent="0.2">
      <c r="A130" s="5">
        <v>45828</v>
      </c>
      <c r="B130" s="1" t="s">
        <v>111</v>
      </c>
      <c r="C130" s="1" t="s">
        <v>398</v>
      </c>
      <c r="D130" s="1" t="s">
        <v>112</v>
      </c>
      <c r="E130" s="1" t="s">
        <v>13</v>
      </c>
      <c r="F130" s="1" t="s">
        <v>1225</v>
      </c>
      <c r="G130" s="6" t="s">
        <v>14</v>
      </c>
      <c r="H130" s="7">
        <v>90000</v>
      </c>
      <c r="I130" s="8"/>
      <c r="J130" s="1" t="s">
        <v>34</v>
      </c>
    </row>
    <row r="131" spans="1:10" x14ac:dyDescent="0.2">
      <c r="A131" s="5">
        <v>45829</v>
      </c>
      <c r="B131" s="1" t="s">
        <v>230</v>
      </c>
      <c r="C131" s="1" t="s">
        <v>231</v>
      </c>
      <c r="D131" s="1" t="s">
        <v>64</v>
      </c>
      <c r="E131" s="1" t="s">
        <v>19</v>
      </c>
      <c r="F131" s="1" t="s">
        <v>209</v>
      </c>
      <c r="G131" s="6" t="s">
        <v>23</v>
      </c>
      <c r="H131" s="7">
        <v>90000</v>
      </c>
      <c r="I131" s="8">
        <v>12.7</v>
      </c>
      <c r="J131" s="1" t="s">
        <v>15</v>
      </c>
    </row>
    <row r="132" spans="1:10" x14ac:dyDescent="0.2">
      <c r="A132" s="5">
        <v>45829</v>
      </c>
      <c r="B132" s="1" t="s">
        <v>496</v>
      </c>
      <c r="C132" s="1" t="s">
        <v>1172</v>
      </c>
      <c r="D132" s="1" t="s">
        <v>64</v>
      </c>
      <c r="E132" s="1" t="s">
        <v>13</v>
      </c>
      <c r="F132" s="1"/>
      <c r="G132" s="6" t="s">
        <v>14</v>
      </c>
      <c r="H132" s="7">
        <v>95000</v>
      </c>
      <c r="I132" s="8">
        <v>7.6</v>
      </c>
      <c r="J132" s="1" t="s">
        <v>15</v>
      </c>
    </row>
    <row r="133" spans="1:10" x14ac:dyDescent="0.2">
      <c r="A133" s="5">
        <v>45829</v>
      </c>
      <c r="B133" s="1" t="s">
        <v>115</v>
      </c>
      <c r="C133" s="1" t="s">
        <v>257</v>
      </c>
      <c r="D133" s="1" t="s">
        <v>32</v>
      </c>
      <c r="E133" s="1" t="s">
        <v>19</v>
      </c>
      <c r="F133" s="1"/>
      <c r="G133" s="6" t="s">
        <v>14</v>
      </c>
      <c r="H133" s="7" t="s">
        <v>114</v>
      </c>
      <c r="I133" s="8"/>
      <c r="J133" s="1" t="s">
        <v>160</v>
      </c>
    </row>
    <row r="134" spans="1:10" x14ac:dyDescent="0.2">
      <c r="A134" s="5">
        <v>45829</v>
      </c>
      <c r="B134" s="1" t="s">
        <v>1226</v>
      </c>
      <c r="C134" s="1" t="s">
        <v>303</v>
      </c>
      <c r="D134" s="1" t="s">
        <v>42</v>
      </c>
      <c r="E134" s="1" t="s">
        <v>19</v>
      </c>
      <c r="F134" s="1"/>
      <c r="G134" s="6" t="s">
        <v>23</v>
      </c>
      <c r="H134" s="7">
        <v>53000</v>
      </c>
      <c r="I134" s="8">
        <v>7.1</v>
      </c>
      <c r="J134" s="1" t="s">
        <v>15</v>
      </c>
    </row>
    <row r="135" spans="1:10" x14ac:dyDescent="0.2">
      <c r="A135" s="5">
        <v>45829</v>
      </c>
      <c r="B135" s="1" t="s">
        <v>1227</v>
      </c>
      <c r="C135" s="1" t="s">
        <v>1228</v>
      </c>
      <c r="D135" s="1" t="s">
        <v>64</v>
      </c>
      <c r="E135" s="1" t="s">
        <v>19</v>
      </c>
      <c r="F135" s="1"/>
      <c r="G135" s="6" t="s">
        <v>23</v>
      </c>
      <c r="H135" s="7">
        <v>40000</v>
      </c>
      <c r="I135" s="8">
        <v>6.1</v>
      </c>
      <c r="J135" s="1" t="s">
        <v>15</v>
      </c>
    </row>
    <row r="136" spans="1:10" x14ac:dyDescent="0.2">
      <c r="A136" s="5">
        <v>45829</v>
      </c>
      <c r="B136" s="1" t="s">
        <v>158</v>
      </c>
      <c r="C136" s="1" t="s">
        <v>159</v>
      </c>
      <c r="D136" s="1" t="s">
        <v>1229</v>
      </c>
      <c r="E136" s="1" t="s">
        <v>19</v>
      </c>
      <c r="F136" s="1"/>
      <c r="G136" s="6" t="s">
        <v>23</v>
      </c>
      <c r="H136" s="7">
        <v>30000</v>
      </c>
      <c r="I136" s="8">
        <v>2.9</v>
      </c>
      <c r="J136" s="1" t="s">
        <v>15</v>
      </c>
    </row>
    <row r="137" spans="1:10" x14ac:dyDescent="0.2">
      <c r="A137" s="5">
        <v>45829</v>
      </c>
      <c r="B137" s="1" t="s">
        <v>132</v>
      </c>
      <c r="C137" s="1" t="s">
        <v>133</v>
      </c>
      <c r="D137" s="1" t="s">
        <v>18</v>
      </c>
      <c r="E137" s="1" t="s">
        <v>13</v>
      </c>
      <c r="F137" s="1" t="s">
        <v>1225</v>
      </c>
      <c r="G137" s="6" t="s">
        <v>14</v>
      </c>
      <c r="H137" s="7">
        <v>200000</v>
      </c>
      <c r="I137" s="8">
        <v>13.4</v>
      </c>
      <c r="J137" s="1" t="s">
        <v>15</v>
      </c>
    </row>
    <row r="138" spans="1:10" x14ac:dyDescent="0.2">
      <c r="A138" s="5">
        <v>45829</v>
      </c>
      <c r="B138" s="1" t="s">
        <v>1230</v>
      </c>
      <c r="C138" s="1" t="s">
        <v>63</v>
      </c>
      <c r="D138" s="1" t="s">
        <v>1229</v>
      </c>
      <c r="E138" s="1" t="s">
        <v>19</v>
      </c>
      <c r="F138" s="1"/>
      <c r="G138" s="6" t="s">
        <v>23</v>
      </c>
      <c r="H138" s="7">
        <v>30000</v>
      </c>
      <c r="I138" s="8">
        <v>6</v>
      </c>
      <c r="J138" s="1" t="s">
        <v>15</v>
      </c>
    </row>
    <row r="139" spans="1:10" x14ac:dyDescent="0.2">
      <c r="A139" s="5">
        <v>45829</v>
      </c>
      <c r="B139" s="1" t="s">
        <v>1231</v>
      </c>
      <c r="C139" s="1" t="s">
        <v>957</v>
      </c>
      <c r="D139" s="1" t="s">
        <v>32</v>
      </c>
      <c r="E139" s="1" t="s">
        <v>78</v>
      </c>
      <c r="F139" s="1"/>
      <c r="G139" s="6" t="s">
        <v>14</v>
      </c>
      <c r="H139" s="7">
        <v>70000</v>
      </c>
      <c r="I139" s="8">
        <v>4.3</v>
      </c>
      <c r="J139" s="1" t="s">
        <v>15</v>
      </c>
    </row>
    <row r="140" spans="1:10" x14ac:dyDescent="0.2">
      <c r="A140" s="5">
        <v>45829</v>
      </c>
      <c r="B140" s="1" t="s">
        <v>1232</v>
      </c>
      <c r="C140" s="1" t="s">
        <v>1233</v>
      </c>
      <c r="D140" s="1" t="s">
        <v>196</v>
      </c>
      <c r="E140" s="1" t="s">
        <v>94</v>
      </c>
      <c r="F140" s="1"/>
      <c r="G140" s="6" t="s">
        <v>14</v>
      </c>
      <c r="H140" s="7">
        <v>55000</v>
      </c>
      <c r="I140" s="8">
        <v>12</v>
      </c>
      <c r="J140" s="1" t="s">
        <v>15</v>
      </c>
    </row>
    <row r="141" spans="1:10" x14ac:dyDescent="0.2">
      <c r="A141" s="5">
        <v>45829</v>
      </c>
      <c r="B141" s="1" t="s">
        <v>848</v>
      </c>
      <c r="C141" s="1" t="s">
        <v>849</v>
      </c>
      <c r="D141" s="1" t="s">
        <v>64</v>
      </c>
      <c r="E141" s="1" t="s">
        <v>13</v>
      </c>
      <c r="F141" s="1"/>
      <c r="G141" s="6" t="s">
        <v>23</v>
      </c>
      <c r="H141" s="7">
        <v>60000</v>
      </c>
      <c r="I141" s="8">
        <v>4.8</v>
      </c>
      <c r="J141" s="1" t="s">
        <v>15</v>
      </c>
    </row>
    <row r="142" spans="1:10" x14ac:dyDescent="0.2">
      <c r="A142" s="5">
        <v>45829</v>
      </c>
      <c r="B142" s="1" t="s">
        <v>1234</v>
      </c>
      <c r="C142" s="1" t="s">
        <v>255</v>
      </c>
      <c r="D142" s="1" t="s">
        <v>18</v>
      </c>
      <c r="E142" s="1" t="s">
        <v>19</v>
      </c>
      <c r="F142" s="1"/>
      <c r="G142" s="6" t="s">
        <v>14</v>
      </c>
      <c r="H142" s="7">
        <v>75000</v>
      </c>
      <c r="I142" s="8">
        <v>10</v>
      </c>
      <c r="J142" s="1" t="s">
        <v>15</v>
      </c>
    </row>
    <row r="143" spans="1:10" x14ac:dyDescent="0.2">
      <c r="A143" s="5">
        <v>45832</v>
      </c>
      <c r="B143" s="1" t="s">
        <v>200</v>
      </c>
      <c r="C143" s="1" t="s">
        <v>201</v>
      </c>
      <c r="D143" s="1" t="s">
        <v>26</v>
      </c>
      <c r="E143" s="1" t="s">
        <v>13</v>
      </c>
      <c r="F143" s="1"/>
      <c r="G143" s="6" t="s">
        <v>14</v>
      </c>
      <c r="H143" s="7">
        <v>85000</v>
      </c>
      <c r="I143" s="8">
        <v>7.4</v>
      </c>
      <c r="J143" s="1" t="s">
        <v>15</v>
      </c>
    </row>
    <row r="144" spans="1:10" x14ac:dyDescent="0.2">
      <c r="A144" s="5">
        <v>45832</v>
      </c>
      <c r="B144" s="1" t="s">
        <v>1235</v>
      </c>
      <c r="C144" s="1" t="s">
        <v>962</v>
      </c>
      <c r="D144" s="1" t="s">
        <v>131</v>
      </c>
      <c r="E144" s="1" t="s">
        <v>19</v>
      </c>
      <c r="F144" s="1"/>
      <c r="G144" s="6" t="s">
        <v>14</v>
      </c>
      <c r="H144" s="7">
        <v>100000</v>
      </c>
      <c r="I144" s="8">
        <v>23</v>
      </c>
      <c r="J144" s="1" t="s">
        <v>15</v>
      </c>
    </row>
    <row r="145" spans="1:10" x14ac:dyDescent="0.2">
      <c r="A145" s="5">
        <v>45832</v>
      </c>
      <c r="B145" s="1" t="s">
        <v>683</v>
      </c>
      <c r="C145" s="1" t="s">
        <v>572</v>
      </c>
      <c r="D145" s="1" t="s">
        <v>119</v>
      </c>
      <c r="E145" s="1" t="s">
        <v>19</v>
      </c>
      <c r="F145" s="1"/>
      <c r="G145" s="6" t="s">
        <v>23</v>
      </c>
      <c r="H145" s="7">
        <v>55000</v>
      </c>
      <c r="I145" s="8">
        <v>13.7</v>
      </c>
      <c r="J145" s="1" t="s">
        <v>15</v>
      </c>
    </row>
    <row r="146" spans="1:10" x14ac:dyDescent="0.2">
      <c r="A146" s="5">
        <v>45832</v>
      </c>
      <c r="B146" s="1" t="s">
        <v>1236</v>
      </c>
      <c r="C146" s="1" t="s">
        <v>1237</v>
      </c>
      <c r="D146" s="1" t="s">
        <v>494</v>
      </c>
      <c r="E146" s="1" t="s">
        <v>828</v>
      </c>
      <c r="F146" s="1"/>
      <c r="G146" s="6" t="s">
        <v>23</v>
      </c>
      <c r="H146" s="7">
        <v>55000</v>
      </c>
      <c r="I146" s="8">
        <v>6.4</v>
      </c>
      <c r="J146" s="1" t="s">
        <v>15</v>
      </c>
    </row>
    <row r="147" spans="1:10" x14ac:dyDescent="0.2">
      <c r="A147" s="5">
        <v>45832</v>
      </c>
      <c r="B147" s="1" t="s">
        <v>134</v>
      </c>
      <c r="C147" s="1" t="s">
        <v>135</v>
      </c>
      <c r="D147" s="1" t="s">
        <v>88</v>
      </c>
      <c r="E147" s="1" t="s">
        <v>13</v>
      </c>
      <c r="F147" s="1"/>
      <c r="G147" s="6" t="s">
        <v>14</v>
      </c>
      <c r="H147" s="7">
        <v>75000</v>
      </c>
      <c r="I147" s="8">
        <v>3.7</v>
      </c>
      <c r="J147" s="1" t="s">
        <v>15</v>
      </c>
    </row>
    <row r="148" spans="1:10" x14ac:dyDescent="0.2">
      <c r="A148" s="5">
        <v>45832</v>
      </c>
      <c r="B148" s="1" t="s">
        <v>1238</v>
      </c>
      <c r="C148" s="1" t="s">
        <v>1239</v>
      </c>
      <c r="D148" s="1" t="s">
        <v>1229</v>
      </c>
      <c r="E148" s="1"/>
      <c r="F148" s="1" t="s">
        <v>209</v>
      </c>
      <c r="G148" s="6" t="s">
        <v>23</v>
      </c>
      <c r="H148" s="7">
        <v>80000</v>
      </c>
      <c r="I148" s="8">
        <v>2.6</v>
      </c>
      <c r="J148" s="1" t="s">
        <v>160</v>
      </c>
    </row>
    <row r="149" spans="1:10" x14ac:dyDescent="0.2">
      <c r="A149" s="5">
        <v>45833</v>
      </c>
      <c r="B149" s="1" t="s">
        <v>901</v>
      </c>
      <c r="C149" s="1" t="s">
        <v>902</v>
      </c>
      <c r="D149" s="1" t="s">
        <v>88</v>
      </c>
      <c r="E149" s="1" t="s">
        <v>13</v>
      </c>
      <c r="F149" s="1"/>
      <c r="G149" s="6" t="s">
        <v>14</v>
      </c>
      <c r="H149" s="7">
        <v>70000</v>
      </c>
      <c r="I149" s="8">
        <v>8.6</v>
      </c>
      <c r="J149" s="1"/>
    </row>
    <row r="150" spans="1:10" x14ac:dyDescent="0.2">
      <c r="A150" s="5">
        <v>45833</v>
      </c>
      <c r="B150" s="1" t="s">
        <v>833</v>
      </c>
      <c r="C150" s="1" t="s">
        <v>516</v>
      </c>
      <c r="D150" s="1" t="s">
        <v>834</v>
      </c>
      <c r="E150" s="1" t="s">
        <v>13</v>
      </c>
      <c r="F150" s="1"/>
      <c r="G150" s="6" t="s">
        <v>14</v>
      </c>
      <c r="H150" s="7">
        <v>72000</v>
      </c>
      <c r="I150" s="8">
        <v>25</v>
      </c>
      <c r="J150" s="1"/>
    </row>
    <row r="151" spans="1:10" x14ac:dyDescent="0.2">
      <c r="A151" s="5">
        <v>45833</v>
      </c>
      <c r="B151" s="1" t="s">
        <v>643</v>
      </c>
      <c r="C151" s="1" t="s">
        <v>644</v>
      </c>
      <c r="D151" s="1" t="s">
        <v>32</v>
      </c>
      <c r="E151" s="1" t="s">
        <v>19</v>
      </c>
      <c r="F151" s="1"/>
      <c r="G151" s="6" t="s">
        <v>14</v>
      </c>
      <c r="H151" s="7">
        <v>65000</v>
      </c>
      <c r="I151" s="8">
        <v>5.7</v>
      </c>
      <c r="J151" s="1"/>
    </row>
    <row r="152" spans="1:10" x14ac:dyDescent="0.2">
      <c r="A152" s="5">
        <v>45833</v>
      </c>
      <c r="B152" s="1" t="s">
        <v>841</v>
      </c>
      <c r="C152" s="1" t="s">
        <v>842</v>
      </c>
      <c r="D152" s="1" t="s">
        <v>119</v>
      </c>
      <c r="E152" s="1" t="s">
        <v>19</v>
      </c>
      <c r="F152" s="1"/>
      <c r="G152" s="6" t="s">
        <v>14</v>
      </c>
      <c r="H152" s="7">
        <v>50000</v>
      </c>
      <c r="I152" s="8">
        <v>8.9</v>
      </c>
      <c r="J152" s="1"/>
    </row>
    <row r="153" spans="1:10" x14ac:dyDescent="0.2">
      <c r="A153" s="5">
        <v>45833</v>
      </c>
      <c r="B153" s="1" t="s">
        <v>1200</v>
      </c>
      <c r="C153" s="1" t="s">
        <v>392</v>
      </c>
      <c r="D153" s="1" t="s">
        <v>88</v>
      </c>
      <c r="E153" s="1" t="s">
        <v>13</v>
      </c>
      <c r="F153" s="1"/>
      <c r="G153" s="6" t="s">
        <v>14</v>
      </c>
      <c r="H153" s="7">
        <v>80000</v>
      </c>
      <c r="I153" s="8"/>
      <c r="J153" s="1"/>
    </row>
    <row r="154" spans="1:10" x14ac:dyDescent="0.2">
      <c r="A154" s="5">
        <v>45833</v>
      </c>
      <c r="B154" s="1" t="s">
        <v>1200</v>
      </c>
      <c r="C154" s="1" t="s">
        <v>1240</v>
      </c>
      <c r="D154" s="1" t="s">
        <v>88</v>
      </c>
      <c r="E154" s="1" t="s">
        <v>13</v>
      </c>
      <c r="F154" s="1"/>
      <c r="G154" s="6" t="s">
        <v>14</v>
      </c>
      <c r="H154" s="7">
        <v>80000</v>
      </c>
      <c r="I154" s="8"/>
      <c r="J154" s="1"/>
    </row>
    <row r="155" spans="1:10" x14ac:dyDescent="0.2">
      <c r="A155" s="5">
        <v>45833</v>
      </c>
      <c r="B155" s="1" t="s">
        <v>1241</v>
      </c>
      <c r="C155" s="1" t="s">
        <v>262</v>
      </c>
      <c r="D155" s="1" t="s">
        <v>165</v>
      </c>
      <c r="E155" s="1" t="s">
        <v>13</v>
      </c>
      <c r="F155" s="1"/>
      <c r="G155" s="6" t="s">
        <v>14</v>
      </c>
      <c r="H155" s="7">
        <v>80000</v>
      </c>
      <c r="I155" s="8"/>
      <c r="J155" s="1"/>
    </row>
    <row r="156" spans="1:10" x14ac:dyDescent="0.2">
      <c r="A156" s="5">
        <v>45833</v>
      </c>
      <c r="B156" s="1" t="s">
        <v>1241</v>
      </c>
      <c r="C156" s="1" t="s">
        <v>253</v>
      </c>
      <c r="D156" s="1" t="s">
        <v>88</v>
      </c>
      <c r="E156" s="1" t="s">
        <v>94</v>
      </c>
      <c r="F156" s="1"/>
      <c r="G156" s="6" t="s">
        <v>14</v>
      </c>
      <c r="H156" s="7">
        <v>60000</v>
      </c>
      <c r="I156" s="8"/>
      <c r="J156" s="1"/>
    </row>
    <row r="157" spans="1:10" x14ac:dyDescent="0.2">
      <c r="A157" s="5">
        <v>45833</v>
      </c>
      <c r="B157" s="1" t="s">
        <v>1242</v>
      </c>
      <c r="C157" s="1" t="s">
        <v>663</v>
      </c>
      <c r="D157" s="1" t="s">
        <v>1229</v>
      </c>
      <c r="E157" s="1" t="s">
        <v>19</v>
      </c>
      <c r="F157" s="1"/>
      <c r="G157" s="6" t="s">
        <v>23</v>
      </c>
      <c r="H157" s="7">
        <v>25000</v>
      </c>
      <c r="I157" s="8"/>
      <c r="J157" s="1"/>
    </row>
    <row r="158" spans="1:10" x14ac:dyDescent="0.2">
      <c r="A158" s="5">
        <v>45833</v>
      </c>
      <c r="B158" s="1" t="s">
        <v>1243</v>
      </c>
      <c r="C158" s="1" t="s">
        <v>398</v>
      </c>
      <c r="D158" s="1" t="s">
        <v>1229</v>
      </c>
      <c r="E158" s="1" t="s">
        <v>19</v>
      </c>
      <c r="F158" s="1"/>
      <c r="G158" s="6" t="s">
        <v>23</v>
      </c>
      <c r="H158" s="7">
        <v>30000</v>
      </c>
      <c r="I158" s="8"/>
      <c r="J158" s="1"/>
    </row>
    <row r="159" spans="1:10" x14ac:dyDescent="0.2">
      <c r="A159" s="5">
        <v>45833</v>
      </c>
      <c r="B159" s="1" t="s">
        <v>1243</v>
      </c>
      <c r="C159" s="1" t="s">
        <v>170</v>
      </c>
      <c r="D159" s="1" t="s">
        <v>1229</v>
      </c>
      <c r="E159" s="1" t="s">
        <v>19</v>
      </c>
      <c r="F159" s="1"/>
      <c r="G159" s="6" t="s">
        <v>23</v>
      </c>
      <c r="H159" s="7">
        <v>30000</v>
      </c>
      <c r="I159" s="8"/>
      <c r="J159" s="1"/>
    </row>
    <row r="160" spans="1:10" x14ac:dyDescent="0.2">
      <c r="A160" s="5">
        <v>45834</v>
      </c>
      <c r="B160" s="1" t="s">
        <v>1040</v>
      </c>
      <c r="C160" s="1" t="s">
        <v>1244</v>
      </c>
      <c r="D160" s="1" t="s">
        <v>119</v>
      </c>
      <c r="E160" s="1" t="s">
        <v>19</v>
      </c>
      <c r="F160" s="1"/>
      <c r="G160" s="6" t="s">
        <v>23</v>
      </c>
      <c r="H160" s="7">
        <v>60000</v>
      </c>
      <c r="I160" s="8"/>
      <c r="J160" s="1"/>
    </row>
    <row r="161" spans="1:10" x14ac:dyDescent="0.2">
      <c r="A161" s="5">
        <v>45834</v>
      </c>
      <c r="B161" s="1" t="s">
        <v>995</v>
      </c>
      <c r="C161" s="1" t="s">
        <v>77</v>
      </c>
      <c r="D161" s="1" t="s">
        <v>88</v>
      </c>
      <c r="E161" s="1" t="s">
        <v>19</v>
      </c>
      <c r="F161" s="1"/>
      <c r="G161" s="6" t="s">
        <v>14</v>
      </c>
      <c r="H161" s="7">
        <v>55000</v>
      </c>
      <c r="I161" s="8"/>
      <c r="J161" s="1"/>
    </row>
    <row r="162" spans="1:10" x14ac:dyDescent="0.2">
      <c r="A162" s="5">
        <v>45834</v>
      </c>
      <c r="B162" s="1" t="s">
        <v>995</v>
      </c>
      <c r="C162" s="1" t="s">
        <v>1119</v>
      </c>
      <c r="D162" s="1" t="s">
        <v>88</v>
      </c>
      <c r="E162" s="1" t="s">
        <v>19</v>
      </c>
      <c r="F162" s="1"/>
      <c r="G162" s="6" t="s">
        <v>14</v>
      </c>
      <c r="H162" s="7">
        <v>50000</v>
      </c>
      <c r="I162" s="8"/>
      <c r="J162" s="1"/>
    </row>
    <row r="163" spans="1:10" x14ac:dyDescent="0.2">
      <c r="A163" s="5">
        <v>45834</v>
      </c>
      <c r="B163" s="1" t="s">
        <v>995</v>
      </c>
      <c r="C163" s="1" t="s">
        <v>1118</v>
      </c>
      <c r="D163" s="1" t="s">
        <v>88</v>
      </c>
      <c r="E163" s="1" t="s">
        <v>19</v>
      </c>
      <c r="F163" s="1"/>
      <c r="G163" s="6" t="s">
        <v>14</v>
      </c>
      <c r="H163" s="7">
        <v>50000</v>
      </c>
      <c r="I163" s="8"/>
      <c r="J163" s="1"/>
    </row>
    <row r="164" spans="1:10" x14ac:dyDescent="0.2">
      <c r="A164" s="5">
        <v>45834</v>
      </c>
      <c r="B164" s="1" t="s">
        <v>1245</v>
      </c>
      <c r="C164" s="1" t="s">
        <v>1246</v>
      </c>
      <c r="D164" s="1" t="s">
        <v>32</v>
      </c>
      <c r="E164" s="1" t="s">
        <v>13</v>
      </c>
      <c r="F164" s="1"/>
      <c r="G164" s="6" t="s">
        <v>14</v>
      </c>
      <c r="H164" s="7">
        <v>80000</v>
      </c>
      <c r="I164" s="8">
        <v>2.2999999999999998</v>
      </c>
      <c r="J164" s="1"/>
    </row>
    <row r="165" spans="1:10" x14ac:dyDescent="0.2">
      <c r="A165" s="5">
        <v>45834</v>
      </c>
      <c r="B165" s="1" t="s">
        <v>471</v>
      </c>
      <c r="C165" s="1" t="s">
        <v>472</v>
      </c>
      <c r="D165" s="1" t="s">
        <v>88</v>
      </c>
      <c r="E165" s="1" t="s">
        <v>94</v>
      </c>
      <c r="F165" s="1"/>
      <c r="G165" s="6" t="s">
        <v>14</v>
      </c>
      <c r="H165" s="7">
        <v>70000</v>
      </c>
      <c r="I165" s="8">
        <v>5.7</v>
      </c>
      <c r="J165" s="1"/>
    </row>
    <row r="166" spans="1:10" x14ac:dyDescent="0.2">
      <c r="A166" s="5">
        <v>45834</v>
      </c>
      <c r="B166" s="1" t="s">
        <v>400</v>
      </c>
      <c r="C166" s="1" t="s">
        <v>401</v>
      </c>
      <c r="D166" s="1" t="s">
        <v>119</v>
      </c>
      <c r="E166" s="1" t="s">
        <v>19</v>
      </c>
      <c r="F166" s="1"/>
      <c r="G166" s="6" t="s">
        <v>23</v>
      </c>
      <c r="H166" s="7">
        <v>45000</v>
      </c>
      <c r="I166" s="8">
        <v>16</v>
      </c>
      <c r="J166" s="1"/>
    </row>
    <row r="167" spans="1:10" x14ac:dyDescent="0.2">
      <c r="A167" s="5">
        <v>45834</v>
      </c>
      <c r="B167" s="1" t="s">
        <v>1247</v>
      </c>
      <c r="C167" s="1" t="s">
        <v>247</v>
      </c>
      <c r="D167" s="1" t="s">
        <v>307</v>
      </c>
      <c r="E167" s="1" t="s">
        <v>94</v>
      </c>
      <c r="F167" s="1"/>
      <c r="G167" s="6" t="s">
        <v>14</v>
      </c>
      <c r="H167" s="7">
        <v>100000</v>
      </c>
      <c r="I167" s="1">
        <v>21.4</v>
      </c>
      <c r="J167" s="1"/>
    </row>
    <row r="168" spans="1:10" x14ac:dyDescent="0.2">
      <c r="A168" s="5">
        <v>45834</v>
      </c>
      <c r="B168" s="1"/>
      <c r="C168" s="1"/>
      <c r="D168" s="1"/>
      <c r="E168" s="1" t="s">
        <v>61</v>
      </c>
      <c r="F168" s="1"/>
      <c r="G168" s="6" t="s">
        <v>23</v>
      </c>
      <c r="H168" s="7">
        <v>10000</v>
      </c>
      <c r="I168" s="8"/>
      <c r="J168" s="1"/>
    </row>
    <row r="169" spans="1:10" x14ac:dyDescent="0.2">
      <c r="A169" s="5">
        <v>45835</v>
      </c>
      <c r="B169" s="1" t="s">
        <v>388</v>
      </c>
      <c r="C169" s="1" t="s">
        <v>389</v>
      </c>
      <c r="D169" s="1" t="s">
        <v>779</v>
      </c>
      <c r="E169" s="1" t="s">
        <v>94</v>
      </c>
      <c r="F169" s="1"/>
      <c r="G169" s="6" t="s">
        <v>14</v>
      </c>
      <c r="H169" s="7">
        <v>85000</v>
      </c>
      <c r="I169" s="8">
        <v>25.1</v>
      </c>
      <c r="J169" s="1"/>
    </row>
    <row r="170" spans="1:10" x14ac:dyDescent="0.2">
      <c r="A170" s="5">
        <v>45835</v>
      </c>
      <c r="B170" s="1" t="s">
        <v>1248</v>
      </c>
      <c r="C170" s="1" t="s">
        <v>173</v>
      </c>
      <c r="D170" s="1" t="s">
        <v>18</v>
      </c>
      <c r="E170" s="1" t="s">
        <v>13</v>
      </c>
      <c r="F170" s="1"/>
      <c r="G170" s="6" t="s">
        <v>14</v>
      </c>
      <c r="H170" s="7">
        <v>90000</v>
      </c>
      <c r="I170" s="8">
        <v>14</v>
      </c>
      <c r="J170" s="1"/>
    </row>
    <row r="171" spans="1:10" x14ac:dyDescent="0.2">
      <c r="A171" s="5">
        <v>45835</v>
      </c>
      <c r="B171" s="1" t="s">
        <v>1183</v>
      </c>
      <c r="C171" s="1" t="s">
        <v>55</v>
      </c>
      <c r="D171" s="1" t="s">
        <v>32</v>
      </c>
      <c r="E171" s="1" t="s">
        <v>19</v>
      </c>
      <c r="F171" s="1" t="s">
        <v>1225</v>
      </c>
      <c r="G171" s="6" t="s">
        <v>14</v>
      </c>
      <c r="H171" s="7">
        <v>140000</v>
      </c>
      <c r="I171" s="8">
        <v>4.3</v>
      </c>
      <c r="J171" s="1" t="s">
        <v>34</v>
      </c>
    </row>
    <row r="172" spans="1:10" x14ac:dyDescent="0.2">
      <c r="A172" s="5">
        <v>45835</v>
      </c>
      <c r="B172" s="1" t="s">
        <v>1249</v>
      </c>
      <c r="C172" s="1" t="s">
        <v>890</v>
      </c>
      <c r="D172" s="1" t="s">
        <v>32</v>
      </c>
      <c r="E172" s="1" t="s">
        <v>78</v>
      </c>
      <c r="F172" s="1"/>
      <c r="G172" s="6" t="s">
        <v>14</v>
      </c>
      <c r="H172" s="7">
        <v>70000</v>
      </c>
      <c r="I172" s="8">
        <v>4</v>
      </c>
      <c r="J172" s="1" t="s">
        <v>34</v>
      </c>
    </row>
    <row r="173" spans="1:10" x14ac:dyDescent="0.2">
      <c r="A173" s="5">
        <v>45835</v>
      </c>
      <c r="B173" s="1" t="s">
        <v>306</v>
      </c>
      <c r="C173" s="1" t="s">
        <v>55</v>
      </c>
      <c r="D173" s="1" t="s">
        <v>307</v>
      </c>
      <c r="E173" s="1" t="s">
        <v>94</v>
      </c>
      <c r="F173" s="1"/>
      <c r="G173" s="6" t="s">
        <v>14</v>
      </c>
      <c r="H173" s="7">
        <v>90000</v>
      </c>
      <c r="I173" s="8">
        <v>32</v>
      </c>
      <c r="J173" s="1"/>
    </row>
    <row r="174" spans="1:10" x14ac:dyDescent="0.2">
      <c r="A174" s="5">
        <v>45835</v>
      </c>
      <c r="B174" s="1" t="s">
        <v>111</v>
      </c>
      <c r="C174" s="1" t="s">
        <v>63</v>
      </c>
      <c r="D174" s="1" t="s">
        <v>112</v>
      </c>
      <c r="E174" s="1" t="s">
        <v>113</v>
      </c>
      <c r="F174" s="1"/>
      <c r="G174" s="6" t="s">
        <v>14</v>
      </c>
      <c r="H174" s="7" t="s">
        <v>114</v>
      </c>
      <c r="I174" s="8"/>
      <c r="J174" s="1"/>
    </row>
    <row r="175" spans="1:10" x14ac:dyDescent="0.2">
      <c r="A175" s="5">
        <v>45835</v>
      </c>
      <c r="B175" s="1" t="s">
        <v>1250</v>
      </c>
      <c r="C175" s="1" t="s">
        <v>221</v>
      </c>
      <c r="D175" s="1" t="s">
        <v>360</v>
      </c>
      <c r="E175" s="1" t="s">
        <v>19</v>
      </c>
      <c r="F175" s="1"/>
      <c r="G175" s="6" t="s">
        <v>23</v>
      </c>
      <c r="H175" s="7">
        <v>68000</v>
      </c>
      <c r="I175" s="8">
        <v>28.9</v>
      </c>
      <c r="J175" s="1"/>
    </row>
    <row r="176" spans="1:10" x14ac:dyDescent="0.2">
      <c r="A176" s="5">
        <v>45835</v>
      </c>
      <c r="B176" s="1" t="s">
        <v>1251</v>
      </c>
      <c r="C176" s="1" t="s">
        <v>447</v>
      </c>
      <c r="D176" s="1" t="s">
        <v>1229</v>
      </c>
      <c r="E176" s="1" t="s">
        <v>19</v>
      </c>
      <c r="F176" s="1"/>
      <c r="G176" s="6" t="s">
        <v>23</v>
      </c>
      <c r="H176" s="7">
        <v>30000</v>
      </c>
      <c r="I176" s="1"/>
      <c r="J176" s="1"/>
    </row>
    <row r="177" spans="1:10" x14ac:dyDescent="0.2">
      <c r="A177" s="5">
        <v>45835</v>
      </c>
      <c r="B177" s="1" t="s">
        <v>1252</v>
      </c>
      <c r="C177" s="1" t="s">
        <v>1253</v>
      </c>
      <c r="D177" s="1" t="s">
        <v>119</v>
      </c>
      <c r="E177" s="1" t="s">
        <v>19</v>
      </c>
      <c r="F177" s="1"/>
      <c r="G177" s="6" t="s">
        <v>23</v>
      </c>
      <c r="H177" s="7">
        <v>55000</v>
      </c>
      <c r="I177" s="8">
        <v>13.4</v>
      </c>
      <c r="J177" s="1"/>
    </row>
    <row r="178" spans="1:10" x14ac:dyDescent="0.2">
      <c r="A178" s="5">
        <v>45836</v>
      </c>
      <c r="B178" s="1" t="s">
        <v>1001</v>
      </c>
      <c r="C178" s="1" t="s">
        <v>1254</v>
      </c>
      <c r="D178" s="1" t="s">
        <v>371</v>
      </c>
      <c r="E178" s="1" t="s">
        <v>19</v>
      </c>
      <c r="F178" s="1"/>
      <c r="G178" s="6" t="s">
        <v>23</v>
      </c>
      <c r="H178" s="7">
        <v>70000</v>
      </c>
      <c r="I178" s="8">
        <v>26</v>
      </c>
      <c r="J178" s="1"/>
    </row>
    <row r="179" spans="1:10" x14ac:dyDescent="0.2">
      <c r="A179" s="5">
        <v>45836</v>
      </c>
      <c r="B179" s="1" t="s">
        <v>666</v>
      </c>
      <c r="C179" s="1" t="s">
        <v>486</v>
      </c>
      <c r="D179" s="1" t="s">
        <v>58</v>
      </c>
      <c r="E179" s="1" t="s">
        <v>59</v>
      </c>
      <c r="F179" s="1"/>
      <c r="G179" s="6" t="s">
        <v>14</v>
      </c>
      <c r="H179" s="7">
        <v>90000</v>
      </c>
      <c r="I179" s="8"/>
      <c r="J179" s="1"/>
    </row>
    <row r="180" spans="1:10" x14ac:dyDescent="0.2">
      <c r="A180" s="5">
        <v>45836</v>
      </c>
      <c r="B180" s="1" t="s">
        <v>125</v>
      </c>
      <c r="C180" s="1" t="s">
        <v>211</v>
      </c>
      <c r="D180" s="1" t="s">
        <v>32</v>
      </c>
      <c r="E180" s="1" t="s">
        <v>19</v>
      </c>
      <c r="F180" s="1"/>
      <c r="G180" s="6" t="s">
        <v>14</v>
      </c>
      <c r="H180" s="7">
        <v>55000</v>
      </c>
      <c r="I180" s="8">
        <v>3.9</v>
      </c>
      <c r="J180" s="1"/>
    </row>
    <row r="181" spans="1:10" x14ac:dyDescent="0.2">
      <c r="A181" s="5">
        <v>45836</v>
      </c>
      <c r="B181" s="1" t="s">
        <v>115</v>
      </c>
      <c r="C181" s="1" t="s">
        <v>116</v>
      </c>
      <c r="D181" s="1" t="s">
        <v>32</v>
      </c>
      <c r="E181" s="1" t="s">
        <v>113</v>
      </c>
      <c r="F181" s="1" t="s">
        <v>1255</v>
      </c>
      <c r="G181" s="6" t="s">
        <v>14</v>
      </c>
      <c r="H181" s="7">
        <v>100000</v>
      </c>
      <c r="I181" s="8"/>
      <c r="J181" s="1"/>
    </row>
    <row r="182" spans="1:10" x14ac:dyDescent="0.2">
      <c r="A182" s="5">
        <v>45836</v>
      </c>
      <c r="B182" s="1" t="s">
        <v>1256</v>
      </c>
      <c r="C182" s="1" t="s">
        <v>130</v>
      </c>
      <c r="D182" s="1" t="s">
        <v>45</v>
      </c>
      <c r="E182" s="1" t="s">
        <v>19</v>
      </c>
      <c r="F182" s="1"/>
      <c r="G182" s="6" t="s">
        <v>23</v>
      </c>
      <c r="H182" s="7">
        <v>55000</v>
      </c>
      <c r="I182" s="8">
        <v>16</v>
      </c>
      <c r="J182" s="1"/>
    </row>
    <row r="183" spans="1:10" x14ac:dyDescent="0.2">
      <c r="A183" s="5">
        <v>45836</v>
      </c>
      <c r="B183" s="1" t="s">
        <v>1257</v>
      </c>
      <c r="C183" s="1" t="s">
        <v>272</v>
      </c>
      <c r="D183" s="1" t="s">
        <v>26</v>
      </c>
      <c r="E183" s="1" t="s">
        <v>78</v>
      </c>
      <c r="F183" s="1"/>
      <c r="G183" s="6" t="s">
        <v>14</v>
      </c>
      <c r="H183" s="7">
        <v>70000</v>
      </c>
      <c r="I183" s="1">
        <v>5</v>
      </c>
      <c r="J183" s="1" t="s">
        <v>40</v>
      </c>
    </row>
    <row r="184" spans="1:10" x14ac:dyDescent="0.2">
      <c r="A184" s="5">
        <v>45836</v>
      </c>
      <c r="B184" s="1" t="s">
        <v>132</v>
      </c>
      <c r="C184" s="1" t="s">
        <v>36</v>
      </c>
      <c r="D184" s="1" t="s">
        <v>18</v>
      </c>
      <c r="E184" s="1" t="s">
        <v>19</v>
      </c>
      <c r="F184" s="1"/>
      <c r="G184" s="6" t="s">
        <v>14</v>
      </c>
      <c r="H184" s="7" t="s">
        <v>114</v>
      </c>
      <c r="I184" s="8"/>
      <c r="J184" s="1"/>
    </row>
    <row r="185" spans="1:10" x14ac:dyDescent="0.2">
      <c r="A185" s="5">
        <v>45836</v>
      </c>
      <c r="B185" s="1" t="s">
        <v>299</v>
      </c>
      <c r="C185" s="1" t="s">
        <v>1016</v>
      </c>
      <c r="D185" s="1" t="s">
        <v>18</v>
      </c>
      <c r="E185" s="1" t="s">
        <v>13</v>
      </c>
      <c r="F185" s="1"/>
      <c r="G185" s="6" t="s">
        <v>14</v>
      </c>
      <c r="H185" s="7">
        <v>70000</v>
      </c>
      <c r="I185" s="8">
        <v>12.8</v>
      </c>
      <c r="J185" s="1"/>
    </row>
    <row r="186" spans="1:10" x14ac:dyDescent="0.2">
      <c r="A186" s="5">
        <v>45836</v>
      </c>
      <c r="B186" s="1" t="s">
        <v>299</v>
      </c>
      <c r="C186" s="1" t="s">
        <v>1017</v>
      </c>
      <c r="D186" s="1" t="s">
        <v>32</v>
      </c>
      <c r="E186" s="1" t="s">
        <v>19</v>
      </c>
      <c r="F186" s="1"/>
      <c r="G186" s="6" t="s">
        <v>14</v>
      </c>
      <c r="H186" s="7">
        <v>60000</v>
      </c>
      <c r="I186" s="8">
        <v>4.4000000000000004</v>
      </c>
      <c r="J186" s="1"/>
    </row>
    <row r="187" spans="1:10" x14ac:dyDescent="0.2">
      <c r="A187" s="5">
        <v>45836</v>
      </c>
      <c r="B187" s="1" t="s">
        <v>232</v>
      </c>
      <c r="C187" s="1" t="s">
        <v>1005</v>
      </c>
      <c r="D187" s="1" t="s">
        <v>88</v>
      </c>
      <c r="E187" s="1" t="s">
        <v>94</v>
      </c>
      <c r="F187" s="1"/>
      <c r="G187" s="6" t="s">
        <v>14</v>
      </c>
      <c r="H187" s="7">
        <v>60000</v>
      </c>
      <c r="I187" s="8">
        <v>3.7</v>
      </c>
      <c r="J187" s="1"/>
    </row>
    <row r="188" spans="1:10" x14ac:dyDescent="0.2">
      <c r="A188" s="5">
        <v>45836</v>
      </c>
      <c r="B188" s="1" t="s">
        <v>1258</v>
      </c>
      <c r="C188" s="1" t="s">
        <v>1259</v>
      </c>
      <c r="D188" s="1" t="s">
        <v>88</v>
      </c>
      <c r="E188" s="1" t="s">
        <v>94</v>
      </c>
      <c r="F188" s="1"/>
      <c r="G188" s="6" t="s">
        <v>14</v>
      </c>
      <c r="H188" s="7">
        <v>85000</v>
      </c>
      <c r="I188" s="8">
        <v>2.8</v>
      </c>
      <c r="J188" s="1"/>
    </row>
    <row r="189" spans="1:10" x14ac:dyDescent="0.2">
      <c r="A189" s="5">
        <v>45836</v>
      </c>
      <c r="B189" s="1" t="s">
        <v>1063</v>
      </c>
      <c r="C189" s="1" t="s">
        <v>1260</v>
      </c>
      <c r="D189" s="1" t="s">
        <v>119</v>
      </c>
      <c r="E189" s="1" t="s">
        <v>19</v>
      </c>
      <c r="F189" s="1"/>
      <c r="G189" s="6" t="s">
        <v>23</v>
      </c>
      <c r="H189" s="7">
        <v>55000</v>
      </c>
      <c r="I189" s="8">
        <v>15.5</v>
      </c>
      <c r="J189" s="1"/>
    </row>
    <row r="190" spans="1:10" x14ac:dyDescent="0.2">
      <c r="A190" s="5">
        <v>45836</v>
      </c>
      <c r="B190" s="1" t="s">
        <v>1261</v>
      </c>
      <c r="C190" s="1" t="s">
        <v>159</v>
      </c>
      <c r="D190" s="1" t="s">
        <v>1229</v>
      </c>
      <c r="E190" s="1" t="s">
        <v>19</v>
      </c>
      <c r="F190" s="1"/>
      <c r="G190" s="6" t="s">
        <v>23</v>
      </c>
      <c r="H190" s="7">
        <v>25000</v>
      </c>
      <c r="I190" s="8">
        <v>1.5</v>
      </c>
      <c r="J190" s="1"/>
    </row>
    <row r="191" spans="1:10" x14ac:dyDescent="0.2">
      <c r="A191" s="5">
        <v>45836</v>
      </c>
      <c r="B191" s="1"/>
      <c r="C191" s="1"/>
      <c r="D191" s="1" t="s">
        <v>42</v>
      </c>
      <c r="E191" s="1" t="s">
        <v>61</v>
      </c>
      <c r="F191" s="1"/>
      <c r="G191" s="6" t="s">
        <v>23</v>
      </c>
      <c r="H191" s="7">
        <v>10000</v>
      </c>
      <c r="I191" s="8"/>
      <c r="J191" s="1"/>
    </row>
    <row r="192" spans="1:10" x14ac:dyDescent="0.2">
      <c r="A192" s="5">
        <v>45836</v>
      </c>
      <c r="B192" s="1"/>
      <c r="C192" s="1"/>
      <c r="D192" s="1" t="s">
        <v>42</v>
      </c>
      <c r="E192" s="1" t="s">
        <v>61</v>
      </c>
      <c r="F192" s="1"/>
      <c r="G192" s="6" t="s">
        <v>23</v>
      </c>
      <c r="H192" s="7">
        <v>10000</v>
      </c>
      <c r="I192" s="8"/>
      <c r="J192" s="1"/>
    </row>
    <row r="193" spans="1:10" x14ac:dyDescent="0.2">
      <c r="A193" s="5">
        <v>45836</v>
      </c>
      <c r="B193" s="1"/>
      <c r="C193" s="1"/>
      <c r="D193" s="1" t="s">
        <v>42</v>
      </c>
      <c r="E193" s="1" t="s">
        <v>61</v>
      </c>
      <c r="F193" s="1"/>
      <c r="G193" s="6" t="s">
        <v>23</v>
      </c>
      <c r="H193" s="7">
        <v>10000</v>
      </c>
      <c r="I193" s="8"/>
      <c r="J193" s="1"/>
    </row>
    <row r="194" spans="1:10" x14ac:dyDescent="0.2">
      <c r="A194" s="5">
        <v>45836</v>
      </c>
      <c r="B194" s="1"/>
      <c r="C194" s="1"/>
      <c r="D194" s="1" t="s">
        <v>42</v>
      </c>
      <c r="E194" s="1" t="s">
        <v>61</v>
      </c>
      <c r="F194" s="1"/>
      <c r="G194" s="6" t="s">
        <v>23</v>
      </c>
      <c r="H194" s="7">
        <v>10000</v>
      </c>
      <c r="I194" s="8"/>
      <c r="J194" s="1"/>
    </row>
    <row r="195" spans="1:10" x14ac:dyDescent="0.2">
      <c r="A195" s="5">
        <v>45836</v>
      </c>
      <c r="B195" s="1" t="s">
        <v>432</v>
      </c>
      <c r="C195" s="1" t="s">
        <v>247</v>
      </c>
      <c r="D195" s="1" t="s">
        <v>49</v>
      </c>
      <c r="E195" s="1" t="s">
        <v>19</v>
      </c>
      <c r="F195" s="1"/>
      <c r="G195" s="6" t="s">
        <v>23</v>
      </c>
      <c r="H195" s="7">
        <v>30000</v>
      </c>
      <c r="I195" s="8"/>
      <c r="J195" s="1"/>
    </row>
    <row r="196" spans="1:10" x14ac:dyDescent="0.2">
      <c r="A196" s="5">
        <v>45836</v>
      </c>
      <c r="B196" s="10" t="s">
        <v>432</v>
      </c>
      <c r="C196" s="1" t="s">
        <v>170</v>
      </c>
      <c r="D196" s="1" t="s">
        <v>49</v>
      </c>
      <c r="E196" s="1" t="s">
        <v>19</v>
      </c>
      <c r="F196" s="1"/>
      <c r="G196" s="6" t="s">
        <v>23</v>
      </c>
      <c r="H196" s="7">
        <v>30000</v>
      </c>
      <c r="I196" s="8"/>
      <c r="J196" s="1"/>
    </row>
    <row r="197" spans="1:10" x14ac:dyDescent="0.2">
      <c r="A197" s="5"/>
      <c r="B197" s="1"/>
      <c r="C197" s="1"/>
      <c r="D197" s="1"/>
      <c r="E197" s="1" t="s">
        <v>61</v>
      </c>
      <c r="F197" s="1"/>
      <c r="G197" s="6"/>
      <c r="H197" s="7">
        <v>10000</v>
      </c>
      <c r="I197" s="8"/>
      <c r="J197" s="1"/>
    </row>
    <row r="198" spans="1:10" x14ac:dyDescent="0.2">
      <c r="A198" s="5"/>
      <c r="B198" s="1"/>
      <c r="C198" s="1"/>
      <c r="D198" s="1"/>
      <c r="E198" s="1"/>
      <c r="F198" s="1"/>
      <c r="G198" s="6"/>
      <c r="H198" s="7"/>
      <c r="I198" s="8"/>
      <c r="J198" s="1"/>
    </row>
    <row r="199" spans="1:10" x14ac:dyDescent="0.2">
      <c r="A199" s="5"/>
      <c r="B199" s="1"/>
      <c r="C199" s="1"/>
      <c r="D199" s="1"/>
      <c r="E199" s="1"/>
      <c r="F199" s="1"/>
      <c r="G199" s="6"/>
      <c r="H199" s="7"/>
      <c r="I199" s="8"/>
      <c r="J199" s="1"/>
    </row>
    <row r="200" spans="1:10" x14ac:dyDescent="0.2">
      <c r="A200" s="5"/>
      <c r="B200" s="1"/>
      <c r="C200" s="1"/>
      <c r="D200" s="1"/>
      <c r="E200" s="1"/>
      <c r="F200" s="1"/>
      <c r="G200" s="6"/>
      <c r="H200" s="7"/>
      <c r="I200" s="8"/>
      <c r="J200" s="1"/>
    </row>
    <row r="201" spans="1:10" x14ac:dyDescent="0.2">
      <c r="A201" s="5"/>
      <c r="B201" s="1"/>
      <c r="C201" s="1"/>
      <c r="D201" s="1"/>
      <c r="E201" s="1"/>
      <c r="F201" s="1"/>
      <c r="G201" s="6"/>
      <c r="H201" s="7"/>
      <c r="I201" s="8"/>
      <c r="J201" s="1"/>
    </row>
    <row r="202" spans="1:10" x14ac:dyDescent="0.2">
      <c r="A202" s="5"/>
      <c r="B202" s="1"/>
      <c r="C202" s="1"/>
      <c r="D202" s="1"/>
      <c r="E202" s="1"/>
      <c r="F202" s="1"/>
      <c r="G202" s="6"/>
      <c r="H202" s="7"/>
      <c r="I202" s="8"/>
      <c r="J202" s="1"/>
    </row>
    <row r="203" spans="1:10" x14ac:dyDescent="0.2">
      <c r="A203" s="5"/>
      <c r="B203" s="1"/>
      <c r="C203" s="1"/>
      <c r="D203" s="1"/>
      <c r="E203" s="1"/>
      <c r="F203" s="1"/>
      <c r="G203" s="6"/>
      <c r="H203" s="7"/>
      <c r="I203" s="8"/>
      <c r="J203" s="1"/>
    </row>
    <row r="204" spans="1:10" x14ac:dyDescent="0.2">
      <c r="A204" s="5"/>
      <c r="B204" s="1"/>
      <c r="C204" s="1"/>
      <c r="D204" s="1"/>
      <c r="E204" s="1"/>
      <c r="F204" s="1"/>
      <c r="G204" s="6"/>
      <c r="H204" s="7"/>
      <c r="I204" s="8"/>
      <c r="J204" s="1"/>
    </row>
    <row r="205" spans="1:10" x14ac:dyDescent="0.2">
      <c r="A205" s="5"/>
      <c r="B205" s="1"/>
      <c r="C205" s="1"/>
      <c r="D205" s="1"/>
      <c r="E205" s="1"/>
      <c r="F205" s="1"/>
      <c r="G205" s="6"/>
      <c r="H205" s="7"/>
      <c r="I205" s="8"/>
      <c r="J205" s="1"/>
    </row>
    <row r="206" spans="1:10" x14ac:dyDescent="0.2">
      <c r="A206" s="5"/>
      <c r="B206" s="1"/>
      <c r="C206" s="1"/>
      <c r="D206" s="1"/>
      <c r="E206" s="1"/>
      <c r="F206" s="1"/>
      <c r="G206" s="6"/>
      <c r="H206" s="7"/>
      <c r="I206" s="8"/>
      <c r="J206" s="1"/>
    </row>
    <row r="207" spans="1:10" x14ac:dyDescent="0.2">
      <c r="A207" s="5"/>
      <c r="B207" s="1"/>
      <c r="C207" s="1"/>
      <c r="D207" s="1"/>
      <c r="E207" s="1"/>
      <c r="F207" s="1"/>
      <c r="G207" s="6"/>
      <c r="H207" s="7"/>
      <c r="I207" s="8"/>
      <c r="J207" s="1"/>
    </row>
    <row r="208" spans="1:10" x14ac:dyDescent="0.2">
      <c r="A208" s="5"/>
      <c r="B208" s="1"/>
      <c r="C208" s="1"/>
      <c r="D208" s="1"/>
      <c r="E208" s="1"/>
      <c r="F208" s="1"/>
      <c r="G208" s="6"/>
      <c r="H208" s="7"/>
      <c r="I208" s="8"/>
      <c r="J208" s="1"/>
    </row>
    <row r="209" spans="1:10" x14ac:dyDescent="0.2">
      <c r="A209" s="5"/>
      <c r="B209" s="1"/>
      <c r="C209" s="1"/>
      <c r="D209" s="1"/>
      <c r="E209" s="1"/>
      <c r="F209" s="1"/>
      <c r="G209" s="6"/>
      <c r="H209" s="7"/>
      <c r="I209" s="8"/>
      <c r="J209" s="1"/>
    </row>
    <row r="210" spans="1:10" x14ac:dyDescent="0.2">
      <c r="A210" s="5"/>
      <c r="B210" s="1"/>
      <c r="C210" s="1"/>
      <c r="D210" s="1"/>
      <c r="E210" s="1"/>
      <c r="F210" s="1"/>
      <c r="G210" s="6"/>
      <c r="H210" s="7"/>
      <c r="I210" s="8"/>
      <c r="J210" s="1"/>
    </row>
    <row r="211" spans="1:10" x14ac:dyDescent="0.2">
      <c r="A211" s="5"/>
      <c r="B211" s="1"/>
      <c r="C211" s="1"/>
      <c r="D211" s="1"/>
      <c r="E211" s="1"/>
      <c r="F211" s="1"/>
      <c r="G211" s="6"/>
      <c r="H211" s="7"/>
      <c r="I211" s="8"/>
      <c r="J211" s="1"/>
    </row>
    <row r="212" spans="1:10" x14ac:dyDescent="0.2">
      <c r="A212" s="5"/>
      <c r="B212" s="1"/>
      <c r="C212" s="1"/>
      <c r="D212" s="1"/>
      <c r="E212" s="1"/>
      <c r="F212" s="1"/>
      <c r="G212" s="6"/>
      <c r="H212" s="7"/>
      <c r="I212" s="8"/>
      <c r="J212" s="1"/>
    </row>
    <row r="213" spans="1:10" x14ac:dyDescent="0.2">
      <c r="A213" s="5"/>
      <c r="B213" s="1"/>
      <c r="C213" s="1"/>
      <c r="D213" s="1"/>
      <c r="E213" s="1"/>
      <c r="F213" s="1"/>
      <c r="G213" s="6"/>
      <c r="H213" s="7"/>
      <c r="I213" s="8"/>
      <c r="J213" s="1"/>
    </row>
    <row r="214" spans="1:10" x14ac:dyDescent="0.2">
      <c r="A214" s="5"/>
      <c r="B214" s="1"/>
      <c r="C214" s="1"/>
      <c r="D214" s="1"/>
      <c r="E214" s="1"/>
      <c r="F214" s="1"/>
      <c r="G214" s="6"/>
      <c r="H214" s="7"/>
      <c r="I214" s="8"/>
      <c r="J214" s="1"/>
    </row>
    <row r="215" spans="1:10" x14ac:dyDescent="0.2">
      <c r="A215" s="5"/>
      <c r="B215" s="1"/>
      <c r="C215" s="1"/>
      <c r="D215" s="1"/>
      <c r="E215" s="1"/>
      <c r="F215" s="1"/>
      <c r="G215" s="6"/>
      <c r="H215" s="7"/>
      <c r="I215" s="8"/>
      <c r="J215" s="1"/>
    </row>
    <row r="216" spans="1:10" x14ac:dyDescent="0.2">
      <c r="A216" s="5"/>
      <c r="B216" s="1"/>
      <c r="C216" s="1"/>
      <c r="D216" s="1"/>
      <c r="E216" s="1"/>
      <c r="F216" s="1"/>
      <c r="G216" s="6"/>
      <c r="H216" s="7"/>
      <c r="I216" s="8"/>
      <c r="J216" s="1"/>
    </row>
    <row r="217" spans="1:10" x14ac:dyDescent="0.2">
      <c r="A217" s="5"/>
      <c r="B217" s="1"/>
      <c r="C217" s="1"/>
      <c r="D217" s="1"/>
      <c r="E217" s="1"/>
      <c r="F217" s="1"/>
      <c r="G217" s="6"/>
      <c r="H217" s="7"/>
      <c r="I217" s="8"/>
      <c r="J217" s="1"/>
    </row>
    <row r="218" spans="1:10" x14ac:dyDescent="0.2">
      <c r="A218" s="5"/>
      <c r="B218" s="1"/>
      <c r="C218" s="1"/>
      <c r="D218" s="1"/>
      <c r="E218" s="1"/>
      <c r="F218" s="1"/>
      <c r="G218" s="6"/>
      <c r="H218" s="7"/>
      <c r="I218" s="8"/>
      <c r="J218" s="1"/>
    </row>
    <row r="219" spans="1:10" x14ac:dyDescent="0.2">
      <c r="A219" s="5"/>
      <c r="B219" s="17"/>
      <c r="C219" s="17"/>
      <c r="D219" s="1"/>
      <c r="E219" s="1"/>
      <c r="F219" s="17"/>
      <c r="G219" s="6"/>
      <c r="H219" s="7"/>
      <c r="I219" s="17"/>
      <c r="J219" s="1"/>
    </row>
    <row r="220" spans="1:10" x14ac:dyDescent="0.2">
      <c r="A220" s="5"/>
      <c r="B220" s="1"/>
      <c r="C220" s="1"/>
      <c r="D220" s="1"/>
      <c r="E220" s="1"/>
      <c r="F220" s="1"/>
      <c r="G220" s="6"/>
      <c r="H220" s="7"/>
      <c r="I220" s="8"/>
      <c r="J220" s="1"/>
    </row>
    <row r="221" spans="1:10" x14ac:dyDescent="0.2">
      <c r="A221" s="5"/>
      <c r="B221" s="1"/>
      <c r="C221" s="1"/>
      <c r="D221" s="1"/>
      <c r="E221" s="1"/>
      <c r="F221" s="1"/>
      <c r="G221" s="6"/>
      <c r="H221" s="7"/>
      <c r="I221" s="8"/>
      <c r="J221" s="1"/>
    </row>
    <row r="222" spans="1:10" x14ac:dyDescent="0.2">
      <c r="A222" s="5"/>
      <c r="B222" s="1"/>
      <c r="C222" s="1"/>
      <c r="D222" s="1"/>
      <c r="E222" s="1"/>
      <c r="F222" s="1"/>
      <c r="G222" s="6"/>
      <c r="H222" s="7"/>
      <c r="I222" s="8"/>
      <c r="J222" s="1"/>
    </row>
    <row r="223" spans="1:10" x14ac:dyDescent="0.2">
      <c r="A223" s="5"/>
      <c r="B223" s="1"/>
      <c r="C223" s="1"/>
      <c r="D223" s="1"/>
      <c r="E223" s="1"/>
      <c r="F223" s="1"/>
      <c r="G223" s="6"/>
      <c r="H223" s="7"/>
      <c r="I223" s="8"/>
      <c r="J223" s="1"/>
    </row>
    <row r="224" spans="1:10" x14ac:dyDescent="0.2">
      <c r="A224" s="5"/>
      <c r="B224" s="1"/>
      <c r="C224" s="1"/>
      <c r="D224" s="1"/>
      <c r="E224" s="1"/>
      <c r="F224" s="1"/>
      <c r="G224" s="6"/>
      <c r="H224" s="7"/>
      <c r="I224" s="8"/>
      <c r="J224" s="1"/>
    </row>
    <row r="225" spans="1:10" x14ac:dyDescent="0.2">
      <c r="A225" s="5"/>
      <c r="B225" s="1"/>
      <c r="C225" s="1"/>
      <c r="D225" s="1"/>
      <c r="E225" s="1"/>
      <c r="F225" s="1"/>
      <c r="G225" s="6"/>
      <c r="H225" s="7"/>
      <c r="I225" s="8"/>
      <c r="J225" s="1"/>
    </row>
    <row r="226" spans="1:10" x14ac:dyDescent="0.2">
      <c r="A226" s="5"/>
      <c r="B226" s="1"/>
      <c r="C226" s="1"/>
      <c r="D226" s="1"/>
      <c r="E226" s="1"/>
      <c r="F226" s="1"/>
      <c r="G226" s="6"/>
      <c r="H226" s="7"/>
      <c r="I226" s="8"/>
      <c r="J226" s="1"/>
    </row>
    <row r="227" spans="1:10" x14ac:dyDescent="0.2">
      <c r="A227" s="5"/>
      <c r="B227" s="1"/>
      <c r="C227" s="1"/>
      <c r="D227" s="1"/>
      <c r="E227" s="1"/>
      <c r="F227" s="1"/>
      <c r="G227" s="6"/>
      <c r="H227" s="7"/>
      <c r="I227" s="8"/>
      <c r="J227" s="1"/>
    </row>
    <row r="228" spans="1:10" x14ac:dyDescent="0.2">
      <c r="A228" s="5"/>
      <c r="B228" s="1"/>
      <c r="C228" s="1"/>
      <c r="D228" s="1"/>
      <c r="E228" s="1"/>
      <c r="F228" s="1"/>
      <c r="G228" s="6"/>
      <c r="H228" s="7"/>
      <c r="I228" s="8"/>
      <c r="J228" s="1"/>
    </row>
    <row r="229" spans="1:10" x14ac:dyDescent="0.2">
      <c r="A229" s="5"/>
      <c r="B229" s="1"/>
      <c r="C229" s="1"/>
      <c r="D229" s="1"/>
      <c r="E229" s="1"/>
      <c r="F229" s="1"/>
      <c r="G229" s="6"/>
      <c r="H229" s="7"/>
      <c r="I229" s="8"/>
      <c r="J229" s="1"/>
    </row>
    <row r="230" spans="1:10" x14ac:dyDescent="0.2">
      <c r="A230" s="5"/>
      <c r="B230" s="1"/>
      <c r="C230" s="1"/>
      <c r="D230" s="1"/>
      <c r="E230" s="1"/>
      <c r="F230" s="1"/>
      <c r="G230" s="6"/>
      <c r="H230" s="7"/>
      <c r="I230" s="8"/>
      <c r="J230" s="1"/>
    </row>
    <row r="231" spans="1:10" x14ac:dyDescent="0.2">
      <c r="A231" s="5"/>
      <c r="B231" s="1"/>
      <c r="C231" s="1"/>
      <c r="D231" s="1"/>
      <c r="E231" s="1"/>
      <c r="F231" s="1"/>
      <c r="G231" s="6"/>
      <c r="H231" s="7"/>
      <c r="I231" s="8"/>
      <c r="J231" s="1"/>
    </row>
    <row r="232" spans="1:10" x14ac:dyDescent="0.2">
      <c r="A232" s="5"/>
      <c r="B232" s="1"/>
      <c r="C232" s="1"/>
      <c r="D232" s="1"/>
      <c r="E232" s="1"/>
      <c r="F232" s="1"/>
      <c r="G232" s="6"/>
      <c r="H232" s="7"/>
      <c r="I232" s="8"/>
      <c r="J232" s="1"/>
    </row>
    <row r="233" spans="1:10" x14ac:dyDescent="0.2">
      <c r="A233" s="5"/>
      <c r="B233" s="1"/>
      <c r="C233" s="1"/>
      <c r="D233" s="1"/>
      <c r="E233" s="1"/>
      <c r="F233" s="1"/>
      <c r="G233" s="6"/>
      <c r="H233" s="7"/>
      <c r="I233" s="8"/>
      <c r="J233" s="1"/>
    </row>
    <row r="234" spans="1:10" x14ac:dyDescent="0.2">
      <c r="A234" s="5"/>
      <c r="B234" s="1"/>
      <c r="C234" s="1"/>
      <c r="D234" s="1"/>
      <c r="E234" s="1"/>
      <c r="F234" s="1"/>
      <c r="G234" s="6"/>
      <c r="H234" s="7"/>
      <c r="I234" s="8"/>
      <c r="J234" s="1"/>
    </row>
    <row r="235" spans="1:10" x14ac:dyDescent="0.2">
      <c r="A235" s="5"/>
      <c r="B235" s="1"/>
      <c r="C235" s="1"/>
      <c r="D235" s="1"/>
      <c r="E235" s="1"/>
      <c r="F235" s="1"/>
      <c r="G235" s="6"/>
      <c r="H235" s="7"/>
      <c r="I235" s="8"/>
      <c r="J235" s="1"/>
    </row>
    <row r="236" spans="1:10" x14ac:dyDescent="0.2">
      <c r="A236" s="5"/>
      <c r="B236" s="1"/>
      <c r="C236" s="1"/>
      <c r="D236" s="1"/>
      <c r="E236" s="1"/>
      <c r="F236" s="1"/>
      <c r="G236" s="6"/>
      <c r="H236" s="7"/>
      <c r="I236" s="8"/>
      <c r="J236" s="1"/>
    </row>
    <row r="237" spans="1:10" x14ac:dyDescent="0.2">
      <c r="A237" s="5"/>
      <c r="B237" s="1"/>
      <c r="C237" s="1"/>
      <c r="D237" s="1"/>
      <c r="E237" s="1"/>
      <c r="F237" s="1"/>
      <c r="G237" s="6"/>
      <c r="H237" s="7"/>
      <c r="I237" s="8"/>
      <c r="J237" s="1"/>
    </row>
    <row r="238" spans="1:10" x14ac:dyDescent="0.2">
      <c r="A238" s="5"/>
      <c r="B238" s="1"/>
      <c r="C238" s="1"/>
      <c r="D238" s="1"/>
      <c r="E238" s="1"/>
      <c r="F238" s="1"/>
      <c r="G238" s="6"/>
      <c r="H238" s="7"/>
      <c r="I238" s="8"/>
      <c r="J238" s="1"/>
    </row>
    <row r="239" spans="1:10" x14ac:dyDescent="0.2">
      <c r="A239" s="5"/>
      <c r="B239" s="1"/>
      <c r="C239" s="1"/>
      <c r="D239" s="1"/>
      <c r="E239" s="1"/>
      <c r="F239" s="1"/>
      <c r="G239" s="6"/>
      <c r="H239" s="7"/>
      <c r="I239" s="8"/>
      <c r="J239" s="1"/>
    </row>
    <row r="240" spans="1:10" x14ac:dyDescent="0.2">
      <c r="A240" s="5"/>
      <c r="B240" s="1"/>
      <c r="C240" s="1"/>
      <c r="D240" s="1"/>
      <c r="E240" s="1"/>
      <c r="F240" s="1"/>
      <c r="G240" s="6"/>
      <c r="H240" s="7"/>
      <c r="I240" s="8"/>
      <c r="J240" s="1"/>
    </row>
    <row r="241" spans="1:10" x14ac:dyDescent="0.2">
      <c r="A241" s="5"/>
      <c r="B241" s="1"/>
      <c r="C241" s="1"/>
      <c r="D241" s="1"/>
      <c r="E241" s="1"/>
      <c r="F241" s="1"/>
      <c r="G241" s="6"/>
      <c r="H241" s="7"/>
      <c r="I241" s="8"/>
      <c r="J241" s="1"/>
    </row>
    <row r="242" spans="1:10" x14ac:dyDescent="0.2">
      <c r="A242" s="5"/>
      <c r="B242" s="1"/>
      <c r="C242" s="1"/>
      <c r="D242" s="1"/>
      <c r="E242" s="1"/>
      <c r="F242" s="1"/>
      <c r="G242" s="6"/>
      <c r="H242" s="7"/>
      <c r="I242" s="8"/>
      <c r="J242" s="1"/>
    </row>
    <row r="243" spans="1:10" x14ac:dyDescent="0.2">
      <c r="A243" s="5"/>
      <c r="B243" s="1"/>
      <c r="C243" s="1"/>
      <c r="D243" s="1"/>
      <c r="E243" s="1"/>
      <c r="F243" s="1"/>
      <c r="G243" s="6"/>
      <c r="H243" s="7"/>
      <c r="I243" s="8"/>
      <c r="J243" s="1"/>
    </row>
  </sheetData>
  <autoFilter ref="A1:J197" xr:uid="{00000000-0009-0000-0000-000005000000}"/>
  <dataValidations count="6">
    <dataValidation type="list" allowBlank="1" showErrorMessage="1" sqref="D195:D196 D236" xr:uid="{00000000-0002-0000-05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43" xr:uid="{00000000-0002-0000-0500-000001000000}">
      <formula1>"LARGO,CORTO"</formula1>
    </dataValidation>
    <dataValidation type="list" allowBlank="1" showErrorMessage="1" sqref="D117" xr:uid="{00000000-0002-0000-0500-000002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43" xr:uid="{00000000-0002-0000-0500-000003000000}">
      <formula1>"MOÑO,MOÑOS,CORBATÍN,PAÑOLETA,NO"</formula1>
    </dataValidation>
    <dataValidation type="list" allowBlank="1" showErrorMessage="1" sqref="D2:D116 D118:D194 D197:D235 D237:D243" xr:uid="{00000000-0002-0000-0500-000004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  <dataValidation type="list" allowBlank="1" showErrorMessage="1" sqref="E2:E243" xr:uid="{00000000-0002-0000-0500-000005000000}">
      <formula1>"BAÑO EVA,FLASH BATH,CAT LOVER,EVA PRIMITIVO,EVA ALTERNATIVO,EVA'S GROOMING,STRIPPING,CORTE DE UÑAS,PEINADO,EVA LISO PERFECTO,SESIÓN DESENREDO"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59"/>
  <sheetViews>
    <sheetView workbookViewId="0"/>
  </sheetViews>
  <sheetFormatPr baseColWidth="10" defaultColWidth="12.6640625" defaultRowHeight="15.75" customHeight="1" x14ac:dyDescent="0.15"/>
  <cols>
    <col min="2" max="2" width="31.6640625" customWidth="1"/>
    <col min="3" max="3" width="18.1640625" customWidth="1"/>
    <col min="4" max="4" width="25.1640625" customWidth="1"/>
    <col min="5" max="5" width="25.6640625" customWidth="1"/>
    <col min="6" max="6" width="23.6640625" customWidth="1"/>
    <col min="7" max="7" width="13.6640625" customWidth="1"/>
    <col min="10" max="10" width="26.6640625" customWidth="1"/>
  </cols>
  <sheetData>
    <row r="1" spans="1:10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45839</v>
      </c>
      <c r="B2" s="1" t="s">
        <v>894</v>
      </c>
      <c r="C2" s="1" t="s">
        <v>895</v>
      </c>
      <c r="D2" s="1" t="s">
        <v>32</v>
      </c>
      <c r="E2" s="1" t="s">
        <v>19</v>
      </c>
      <c r="F2" s="1"/>
      <c r="G2" s="6" t="s">
        <v>14</v>
      </c>
      <c r="H2" s="7">
        <v>60000</v>
      </c>
      <c r="I2" s="8">
        <v>4</v>
      </c>
      <c r="J2" s="1" t="s">
        <v>15</v>
      </c>
    </row>
    <row r="3" spans="1:10" x14ac:dyDescent="0.2">
      <c r="A3" s="5">
        <v>45839</v>
      </c>
      <c r="B3" s="1" t="s">
        <v>705</v>
      </c>
      <c r="C3" s="1" t="s">
        <v>706</v>
      </c>
      <c r="D3" s="1" t="s">
        <v>45</v>
      </c>
      <c r="E3" s="1" t="s">
        <v>19</v>
      </c>
      <c r="F3" s="1"/>
      <c r="G3" s="6" t="s">
        <v>23</v>
      </c>
      <c r="H3" s="7">
        <v>55000</v>
      </c>
      <c r="I3" s="8">
        <v>13.5</v>
      </c>
      <c r="J3" s="1" t="s">
        <v>15</v>
      </c>
    </row>
    <row r="4" spans="1:10" x14ac:dyDescent="0.2">
      <c r="A4" s="5">
        <v>45839</v>
      </c>
      <c r="B4" s="1" t="s">
        <v>1262</v>
      </c>
      <c r="C4" s="1" t="s">
        <v>445</v>
      </c>
      <c r="D4" s="1" t="s">
        <v>119</v>
      </c>
      <c r="E4" s="1" t="s">
        <v>19</v>
      </c>
      <c r="F4" s="1"/>
      <c r="G4" s="6" t="s">
        <v>23</v>
      </c>
      <c r="H4" s="7">
        <v>55000</v>
      </c>
      <c r="I4" s="1">
        <v>11</v>
      </c>
      <c r="J4" s="1" t="s">
        <v>15</v>
      </c>
    </row>
    <row r="5" spans="1:10" x14ac:dyDescent="0.2">
      <c r="A5" s="5">
        <v>45839</v>
      </c>
      <c r="B5" s="1" t="s">
        <v>312</v>
      </c>
      <c r="C5" s="1" t="s">
        <v>1263</v>
      </c>
      <c r="D5" s="1" t="s">
        <v>196</v>
      </c>
      <c r="E5" s="1" t="s">
        <v>94</v>
      </c>
      <c r="F5" s="1"/>
      <c r="G5" s="6" t="s">
        <v>14</v>
      </c>
      <c r="H5" s="7">
        <v>65000</v>
      </c>
      <c r="I5" s="8">
        <v>17.5</v>
      </c>
      <c r="J5" s="1" t="s">
        <v>15</v>
      </c>
    </row>
    <row r="6" spans="1:10" x14ac:dyDescent="0.2">
      <c r="A6" s="5">
        <v>45839</v>
      </c>
      <c r="B6" s="1" t="s">
        <v>630</v>
      </c>
      <c r="C6" s="1" t="s">
        <v>631</v>
      </c>
      <c r="D6" s="1" t="s">
        <v>165</v>
      </c>
      <c r="E6" s="1" t="s">
        <v>13</v>
      </c>
      <c r="F6" s="1"/>
      <c r="G6" s="6" t="s">
        <v>14</v>
      </c>
      <c r="H6" s="7">
        <v>80000</v>
      </c>
      <c r="I6" s="8">
        <v>5.6</v>
      </c>
      <c r="J6" s="1" t="s">
        <v>15</v>
      </c>
    </row>
    <row r="7" spans="1:10" x14ac:dyDescent="0.2">
      <c r="A7" s="5">
        <v>45839</v>
      </c>
      <c r="B7" s="1" t="s">
        <v>1264</v>
      </c>
      <c r="C7" s="1" t="s">
        <v>444</v>
      </c>
      <c r="D7" s="1" t="s">
        <v>32</v>
      </c>
      <c r="E7" s="1" t="s">
        <v>78</v>
      </c>
      <c r="F7" s="1"/>
      <c r="G7" s="6" t="s">
        <v>14</v>
      </c>
      <c r="H7" s="7">
        <v>70000</v>
      </c>
      <c r="I7" s="8"/>
      <c r="J7" s="1" t="s">
        <v>15</v>
      </c>
    </row>
    <row r="8" spans="1:10" x14ac:dyDescent="0.2">
      <c r="A8" s="5">
        <v>45839</v>
      </c>
      <c r="B8" s="1" t="s">
        <v>1265</v>
      </c>
      <c r="C8" s="1" t="s">
        <v>604</v>
      </c>
      <c r="D8" s="1" t="s">
        <v>26</v>
      </c>
      <c r="E8" s="1" t="s">
        <v>13</v>
      </c>
      <c r="F8" s="1"/>
      <c r="G8" s="6" t="s">
        <v>14</v>
      </c>
      <c r="H8" s="7">
        <v>80000</v>
      </c>
      <c r="I8" s="8">
        <v>4.5</v>
      </c>
      <c r="J8" s="1" t="s">
        <v>15</v>
      </c>
    </row>
    <row r="9" spans="1:10" x14ac:dyDescent="0.2">
      <c r="A9" s="5">
        <v>45839</v>
      </c>
      <c r="B9" s="1" t="s">
        <v>1266</v>
      </c>
      <c r="C9" s="1" t="s">
        <v>1233</v>
      </c>
      <c r="D9" s="1" t="s">
        <v>1229</v>
      </c>
      <c r="E9" s="1" t="s">
        <v>19</v>
      </c>
      <c r="F9" s="1"/>
      <c r="G9" s="6" t="s">
        <v>23</v>
      </c>
      <c r="H9" s="7">
        <v>30000</v>
      </c>
      <c r="I9" s="1">
        <v>2</v>
      </c>
      <c r="J9" s="1" t="s">
        <v>15</v>
      </c>
    </row>
    <row r="10" spans="1:10" x14ac:dyDescent="0.2">
      <c r="A10" s="5">
        <v>45840</v>
      </c>
      <c r="B10" s="1" t="s">
        <v>72</v>
      </c>
      <c r="C10" s="1" t="s">
        <v>453</v>
      </c>
      <c r="D10" s="1" t="s">
        <v>58</v>
      </c>
      <c r="E10" s="1" t="s">
        <v>792</v>
      </c>
      <c r="F10" s="1"/>
      <c r="G10" s="6" t="s">
        <v>14</v>
      </c>
      <c r="H10" s="7">
        <v>100000</v>
      </c>
      <c r="I10" s="8"/>
      <c r="J10" s="1"/>
    </row>
    <row r="11" spans="1:10" x14ac:dyDescent="0.2">
      <c r="A11" s="5">
        <v>45840</v>
      </c>
      <c r="B11" s="1" t="s">
        <v>72</v>
      </c>
      <c r="C11" s="1" t="s">
        <v>604</v>
      </c>
      <c r="D11" s="1" t="s">
        <v>58</v>
      </c>
      <c r="E11" s="1" t="s">
        <v>59</v>
      </c>
      <c r="G11" s="6" t="s">
        <v>14</v>
      </c>
      <c r="H11" s="7">
        <v>80000</v>
      </c>
      <c r="I11" s="8"/>
      <c r="J11" s="1"/>
    </row>
    <row r="12" spans="1:10" x14ac:dyDescent="0.2">
      <c r="A12" s="5">
        <v>45840</v>
      </c>
      <c r="B12" s="1" t="s">
        <v>1267</v>
      </c>
      <c r="C12" s="1" t="s">
        <v>257</v>
      </c>
      <c r="D12" s="1" t="s">
        <v>26</v>
      </c>
      <c r="E12" s="1" t="s">
        <v>792</v>
      </c>
      <c r="F12" s="1"/>
      <c r="G12" s="6" t="s">
        <v>14</v>
      </c>
      <c r="H12" s="7">
        <v>100000</v>
      </c>
      <c r="I12" s="8"/>
      <c r="J12" s="1" t="s">
        <v>160</v>
      </c>
    </row>
    <row r="13" spans="1:10" x14ac:dyDescent="0.2">
      <c r="A13" s="5">
        <v>45840</v>
      </c>
      <c r="B13" s="1" t="s">
        <v>194</v>
      </c>
      <c r="C13" s="1" t="s">
        <v>195</v>
      </c>
      <c r="D13" s="1" t="s">
        <v>196</v>
      </c>
      <c r="E13" s="1" t="s">
        <v>94</v>
      </c>
      <c r="F13" s="1"/>
      <c r="G13" s="6" t="s">
        <v>14</v>
      </c>
      <c r="H13" s="7">
        <v>90000</v>
      </c>
      <c r="I13" s="8">
        <v>35</v>
      </c>
      <c r="J13" s="1"/>
    </row>
    <row r="14" spans="1:10" x14ac:dyDescent="0.2">
      <c r="A14" s="5">
        <v>45840</v>
      </c>
      <c r="B14" s="1" t="s">
        <v>1268</v>
      </c>
      <c r="C14" s="1" t="s">
        <v>522</v>
      </c>
      <c r="D14" s="1" t="s">
        <v>165</v>
      </c>
      <c r="E14" s="1" t="s">
        <v>13</v>
      </c>
      <c r="F14" s="1" t="s">
        <v>775</v>
      </c>
      <c r="G14" s="6" t="s">
        <v>14</v>
      </c>
      <c r="H14" s="7">
        <v>90000</v>
      </c>
      <c r="I14" s="8">
        <v>4.5</v>
      </c>
      <c r="J14" s="1"/>
    </row>
    <row r="15" spans="1:10" x14ac:dyDescent="0.2">
      <c r="A15" s="5">
        <v>45840</v>
      </c>
      <c r="B15" s="1" t="s">
        <v>1269</v>
      </c>
      <c r="C15" s="1" t="s">
        <v>1270</v>
      </c>
      <c r="D15" s="1" t="s">
        <v>32</v>
      </c>
      <c r="E15" s="1" t="s">
        <v>78</v>
      </c>
      <c r="F15" s="1"/>
      <c r="G15" s="6" t="s">
        <v>14</v>
      </c>
      <c r="H15" s="7">
        <v>75000</v>
      </c>
      <c r="I15" s="8">
        <v>1.5</v>
      </c>
      <c r="J15" s="1" t="s">
        <v>34</v>
      </c>
    </row>
    <row r="16" spans="1:10" x14ac:dyDescent="0.2">
      <c r="A16" s="5">
        <v>45840</v>
      </c>
      <c r="B16" s="1" t="s">
        <v>1271</v>
      </c>
      <c r="C16" s="1" t="s">
        <v>398</v>
      </c>
      <c r="D16" s="1" t="s">
        <v>64</v>
      </c>
      <c r="E16" s="1" t="s">
        <v>19</v>
      </c>
      <c r="F16" s="1"/>
      <c r="G16" s="6" t="s">
        <v>23</v>
      </c>
      <c r="H16" s="7">
        <v>60000</v>
      </c>
      <c r="I16" s="8">
        <v>15.3</v>
      </c>
      <c r="J16" s="1"/>
    </row>
    <row r="17" spans="1:10" x14ac:dyDescent="0.2">
      <c r="A17" s="5">
        <v>45840</v>
      </c>
      <c r="B17" s="1" t="s">
        <v>1272</v>
      </c>
      <c r="C17" s="1" t="s">
        <v>484</v>
      </c>
      <c r="D17" s="1" t="s">
        <v>64</v>
      </c>
      <c r="E17" s="1" t="s">
        <v>19</v>
      </c>
      <c r="F17" s="1"/>
      <c r="G17" s="6" t="s">
        <v>23</v>
      </c>
      <c r="H17" s="7">
        <v>60000</v>
      </c>
      <c r="I17" s="8">
        <v>13.8</v>
      </c>
      <c r="J17" s="1"/>
    </row>
    <row r="18" spans="1:10" x14ac:dyDescent="0.2">
      <c r="A18" s="5">
        <v>45841</v>
      </c>
      <c r="B18" s="1" t="s">
        <v>154</v>
      </c>
      <c r="C18" s="1" t="s">
        <v>667</v>
      </c>
      <c r="D18" s="1" t="s">
        <v>26</v>
      </c>
      <c r="E18" s="1" t="s">
        <v>13</v>
      </c>
      <c r="F18" s="1"/>
      <c r="G18" s="6" t="s">
        <v>14</v>
      </c>
      <c r="H18" s="7">
        <v>75000</v>
      </c>
      <c r="I18" s="8"/>
      <c r="J18" s="1"/>
    </row>
    <row r="19" spans="1:10" x14ac:dyDescent="0.2">
      <c r="A19" s="5">
        <v>45841</v>
      </c>
      <c r="B19" s="1" t="s">
        <v>374</v>
      </c>
      <c r="C19" s="1" t="s">
        <v>375</v>
      </c>
      <c r="D19" s="1" t="s">
        <v>131</v>
      </c>
      <c r="E19" s="1" t="s">
        <v>19</v>
      </c>
      <c r="F19" s="1" t="s">
        <v>209</v>
      </c>
      <c r="G19" s="6" t="s">
        <v>14</v>
      </c>
      <c r="H19" s="7">
        <v>175000</v>
      </c>
      <c r="I19" s="8"/>
      <c r="J19" s="1"/>
    </row>
    <row r="20" spans="1:10" x14ac:dyDescent="0.2">
      <c r="A20" s="5">
        <v>45841</v>
      </c>
      <c r="B20" s="1" t="s">
        <v>1273</v>
      </c>
      <c r="C20" s="1" t="s">
        <v>1274</v>
      </c>
      <c r="D20" s="1" t="s">
        <v>32</v>
      </c>
      <c r="E20" s="1" t="s">
        <v>13</v>
      </c>
      <c r="F20" s="1"/>
      <c r="G20" s="6" t="s">
        <v>14</v>
      </c>
      <c r="H20" s="7">
        <v>75000</v>
      </c>
      <c r="I20" s="8">
        <v>3</v>
      </c>
      <c r="J20" s="1"/>
    </row>
    <row r="21" spans="1:10" x14ac:dyDescent="0.2">
      <c r="A21" s="5">
        <v>45841</v>
      </c>
      <c r="B21" s="1" t="s">
        <v>1275</v>
      </c>
      <c r="C21" s="1" t="s">
        <v>104</v>
      </c>
      <c r="D21" s="1" t="s">
        <v>122</v>
      </c>
      <c r="E21" s="1" t="s">
        <v>19</v>
      </c>
      <c r="F21" s="1" t="s">
        <v>792</v>
      </c>
      <c r="G21" s="6" t="s">
        <v>14</v>
      </c>
      <c r="H21" s="7">
        <v>175000</v>
      </c>
      <c r="I21" s="8"/>
      <c r="J21" s="1"/>
    </row>
    <row r="22" spans="1:10" x14ac:dyDescent="0.2">
      <c r="A22" s="5">
        <v>45841</v>
      </c>
      <c r="B22" s="1" t="s">
        <v>489</v>
      </c>
      <c r="C22" s="1" t="s">
        <v>490</v>
      </c>
      <c r="D22" s="1" t="s">
        <v>64</v>
      </c>
      <c r="E22" s="1" t="s">
        <v>19</v>
      </c>
      <c r="F22" s="1"/>
      <c r="G22" s="6" t="s">
        <v>23</v>
      </c>
      <c r="H22" s="7">
        <v>45000</v>
      </c>
      <c r="I22" s="8"/>
      <c r="J22" s="1"/>
    </row>
    <row r="23" spans="1:10" x14ac:dyDescent="0.2">
      <c r="A23" s="5">
        <v>45841</v>
      </c>
      <c r="B23" s="1" t="s">
        <v>1065</v>
      </c>
      <c r="C23" s="1" t="s">
        <v>1276</v>
      </c>
      <c r="D23" s="1" t="s">
        <v>18</v>
      </c>
      <c r="E23" s="1" t="s">
        <v>19</v>
      </c>
      <c r="F23" s="1"/>
      <c r="G23" s="6" t="s">
        <v>14</v>
      </c>
      <c r="H23" s="7">
        <v>50000</v>
      </c>
      <c r="I23" s="8">
        <v>15</v>
      </c>
      <c r="J23" s="1"/>
    </row>
    <row r="24" spans="1:10" x14ac:dyDescent="0.2">
      <c r="A24" s="5">
        <v>45841</v>
      </c>
      <c r="B24" s="1" t="s">
        <v>1085</v>
      </c>
      <c r="C24" s="1" t="s">
        <v>1277</v>
      </c>
      <c r="D24" s="1" t="s">
        <v>32</v>
      </c>
      <c r="E24" s="1" t="s">
        <v>19</v>
      </c>
      <c r="F24" s="1"/>
      <c r="G24" s="6" t="s">
        <v>14</v>
      </c>
      <c r="H24" s="7">
        <v>60000</v>
      </c>
      <c r="I24" s="8">
        <v>5</v>
      </c>
      <c r="J24" s="1"/>
    </row>
    <row r="25" spans="1:10" x14ac:dyDescent="0.2">
      <c r="A25" s="5">
        <v>45841</v>
      </c>
      <c r="B25" s="1" t="s">
        <v>1278</v>
      </c>
      <c r="C25" s="1" t="s">
        <v>137</v>
      </c>
      <c r="D25" s="1" t="s">
        <v>1229</v>
      </c>
      <c r="E25" s="1" t="s">
        <v>19</v>
      </c>
      <c r="F25" s="1"/>
      <c r="G25" s="6" t="s">
        <v>14</v>
      </c>
      <c r="H25" s="7">
        <v>25000</v>
      </c>
      <c r="I25" s="8">
        <v>1.8</v>
      </c>
      <c r="J25" s="1"/>
    </row>
    <row r="26" spans="1:10" x14ac:dyDescent="0.2">
      <c r="A26" s="5">
        <v>45841</v>
      </c>
      <c r="B26" s="1" t="s">
        <v>610</v>
      </c>
      <c r="C26" s="1" t="s">
        <v>612</v>
      </c>
      <c r="D26" s="1" t="s">
        <v>32</v>
      </c>
      <c r="E26" s="1" t="s">
        <v>19</v>
      </c>
      <c r="F26" s="1"/>
      <c r="G26" s="6" t="s">
        <v>14</v>
      </c>
      <c r="H26" s="7">
        <v>50000</v>
      </c>
      <c r="I26" s="8">
        <v>4.2</v>
      </c>
      <c r="J26" s="1"/>
    </row>
    <row r="27" spans="1:10" x14ac:dyDescent="0.2">
      <c r="A27" s="5">
        <v>45841</v>
      </c>
      <c r="B27" s="1" t="s">
        <v>610</v>
      </c>
      <c r="C27" s="1" t="s">
        <v>188</v>
      </c>
      <c r="D27" s="1" t="s">
        <v>32</v>
      </c>
      <c r="E27" s="1" t="s">
        <v>19</v>
      </c>
      <c r="F27" s="1"/>
      <c r="G27" s="6" t="s">
        <v>14</v>
      </c>
      <c r="H27" s="7">
        <v>60000</v>
      </c>
      <c r="I27" s="8">
        <v>7.2</v>
      </c>
      <c r="J27" s="1"/>
    </row>
    <row r="28" spans="1:10" x14ac:dyDescent="0.2">
      <c r="A28" s="5">
        <v>45841</v>
      </c>
      <c r="B28" s="1" t="s">
        <v>610</v>
      </c>
      <c r="C28" s="1" t="s">
        <v>613</v>
      </c>
      <c r="D28" s="1" t="s">
        <v>32</v>
      </c>
      <c r="E28" s="1" t="s">
        <v>19</v>
      </c>
      <c r="F28" s="1"/>
      <c r="G28" s="6" t="s">
        <v>14</v>
      </c>
      <c r="H28" s="7">
        <v>45000</v>
      </c>
      <c r="I28" s="8">
        <v>4</v>
      </c>
      <c r="J28" s="1"/>
    </row>
    <row r="29" spans="1:10" x14ac:dyDescent="0.2">
      <c r="A29" s="5">
        <v>45841</v>
      </c>
      <c r="B29" s="1" t="s">
        <v>610</v>
      </c>
      <c r="C29" s="1" t="s">
        <v>614</v>
      </c>
      <c r="D29" s="1" t="s">
        <v>32</v>
      </c>
      <c r="E29" s="1" t="s">
        <v>19</v>
      </c>
      <c r="F29" s="1"/>
      <c r="G29" s="6" t="s">
        <v>14</v>
      </c>
      <c r="H29" s="7">
        <v>45000</v>
      </c>
      <c r="I29" s="8">
        <v>3.3</v>
      </c>
      <c r="J29" s="1"/>
    </row>
    <row r="30" spans="1:10" x14ac:dyDescent="0.2">
      <c r="A30" s="5">
        <v>45841</v>
      </c>
      <c r="B30" s="1" t="s">
        <v>1279</v>
      </c>
      <c r="C30" s="1" t="s">
        <v>55</v>
      </c>
      <c r="D30" s="1" t="s">
        <v>494</v>
      </c>
      <c r="E30" s="1" t="s">
        <v>19</v>
      </c>
      <c r="F30" s="1"/>
      <c r="G30" s="6" t="s">
        <v>23</v>
      </c>
      <c r="H30" s="7">
        <v>55000</v>
      </c>
      <c r="I30" s="8">
        <v>2.1</v>
      </c>
      <c r="J30" s="1"/>
    </row>
    <row r="31" spans="1:10" x14ac:dyDescent="0.2">
      <c r="A31" s="5">
        <v>45841</v>
      </c>
      <c r="B31" s="1" t="s">
        <v>1280</v>
      </c>
      <c r="C31" s="1" t="s">
        <v>1233</v>
      </c>
      <c r="D31" s="1" t="s">
        <v>64</v>
      </c>
      <c r="E31" s="1" t="s">
        <v>19</v>
      </c>
      <c r="F31" s="1"/>
      <c r="G31" s="6" t="s">
        <v>14</v>
      </c>
      <c r="H31" s="7">
        <v>65000</v>
      </c>
      <c r="I31" s="8">
        <v>11.5</v>
      </c>
      <c r="J31" s="1"/>
    </row>
    <row r="32" spans="1:10" x14ac:dyDescent="0.2">
      <c r="A32" s="5">
        <v>45841</v>
      </c>
      <c r="B32" s="1"/>
      <c r="C32" s="1"/>
      <c r="D32" s="1"/>
      <c r="E32" s="1" t="s">
        <v>61</v>
      </c>
      <c r="F32" s="1"/>
      <c r="G32" s="6" t="s">
        <v>14</v>
      </c>
      <c r="H32" s="7">
        <v>10000</v>
      </c>
      <c r="I32" s="8"/>
      <c r="J32" s="1"/>
    </row>
    <row r="33" spans="1:10" x14ac:dyDescent="0.2">
      <c r="A33" s="5">
        <v>45842</v>
      </c>
      <c r="B33" s="1" t="s">
        <v>279</v>
      </c>
      <c r="C33" s="1" t="s">
        <v>280</v>
      </c>
      <c r="D33" s="1" t="s">
        <v>32</v>
      </c>
      <c r="E33" s="1" t="s">
        <v>13</v>
      </c>
      <c r="F33" s="1"/>
      <c r="G33" s="6" t="s">
        <v>14</v>
      </c>
      <c r="H33" s="7">
        <v>60000</v>
      </c>
      <c r="I33" s="8">
        <v>3.4</v>
      </c>
      <c r="J33" s="1"/>
    </row>
    <row r="34" spans="1:10" x14ac:dyDescent="0.2">
      <c r="A34" s="5">
        <v>45842</v>
      </c>
      <c r="B34" s="1" t="s">
        <v>279</v>
      </c>
      <c r="C34" s="1" t="s">
        <v>198</v>
      </c>
      <c r="D34" s="1" t="s">
        <v>32</v>
      </c>
      <c r="E34" s="1" t="s">
        <v>13</v>
      </c>
      <c r="F34" s="1"/>
      <c r="G34" s="6" t="s">
        <v>14</v>
      </c>
      <c r="H34" s="7">
        <v>60000</v>
      </c>
      <c r="I34" s="8">
        <v>2.8</v>
      </c>
      <c r="J34" s="1"/>
    </row>
    <row r="35" spans="1:10" x14ac:dyDescent="0.2">
      <c r="A35" s="5">
        <v>45842</v>
      </c>
      <c r="B35" s="1" t="s">
        <v>279</v>
      </c>
      <c r="C35" s="1" t="s">
        <v>356</v>
      </c>
      <c r="D35" s="1" t="s">
        <v>32</v>
      </c>
      <c r="E35" s="1" t="s">
        <v>13</v>
      </c>
      <c r="F35" s="1"/>
      <c r="G35" s="6" t="s">
        <v>14</v>
      </c>
      <c r="H35" s="7">
        <v>60000</v>
      </c>
      <c r="I35" s="1">
        <v>4.4000000000000004</v>
      </c>
      <c r="J35" s="1"/>
    </row>
    <row r="36" spans="1:10" x14ac:dyDescent="0.2">
      <c r="A36" s="5">
        <v>45842</v>
      </c>
      <c r="B36" s="1" t="s">
        <v>279</v>
      </c>
      <c r="C36" s="1" t="s">
        <v>685</v>
      </c>
      <c r="D36" s="1" t="s">
        <v>32</v>
      </c>
      <c r="E36" s="1" t="s">
        <v>13</v>
      </c>
      <c r="F36" s="1"/>
      <c r="G36" s="6" t="s">
        <v>14</v>
      </c>
      <c r="H36" s="7">
        <v>60000</v>
      </c>
      <c r="I36" s="8">
        <v>3.4</v>
      </c>
      <c r="J36" s="1"/>
    </row>
    <row r="37" spans="1:10" x14ac:dyDescent="0.2">
      <c r="A37" s="5">
        <v>45842</v>
      </c>
      <c r="B37" s="1" t="s">
        <v>279</v>
      </c>
      <c r="C37" s="1" t="s">
        <v>365</v>
      </c>
      <c r="D37" s="1" t="s">
        <v>32</v>
      </c>
      <c r="E37" s="1" t="s">
        <v>13</v>
      </c>
      <c r="F37" s="1"/>
      <c r="G37" s="6" t="s">
        <v>14</v>
      </c>
      <c r="H37" s="7">
        <v>60000</v>
      </c>
      <c r="I37" s="8">
        <v>4.3</v>
      </c>
      <c r="J37" s="1"/>
    </row>
    <row r="38" spans="1:10" x14ac:dyDescent="0.2">
      <c r="A38" s="5">
        <v>45842</v>
      </c>
      <c r="B38" s="1" t="s">
        <v>1183</v>
      </c>
      <c r="C38" s="1" t="s">
        <v>282</v>
      </c>
      <c r="D38" s="1" t="s">
        <v>32</v>
      </c>
      <c r="E38" s="1" t="s">
        <v>113</v>
      </c>
      <c r="F38" s="1"/>
      <c r="G38" s="6" t="s">
        <v>14</v>
      </c>
      <c r="H38" s="7" t="s">
        <v>114</v>
      </c>
      <c r="I38" s="8"/>
      <c r="J38" s="1"/>
    </row>
    <row r="39" spans="1:10" x14ac:dyDescent="0.2">
      <c r="A39" s="5">
        <v>45842</v>
      </c>
      <c r="B39" s="1" t="s">
        <v>1099</v>
      </c>
      <c r="C39" s="1" t="s">
        <v>440</v>
      </c>
      <c r="D39" s="1" t="s">
        <v>131</v>
      </c>
      <c r="E39" s="1" t="s">
        <v>19</v>
      </c>
      <c r="F39" s="1"/>
      <c r="G39" s="6" t="s">
        <v>14</v>
      </c>
      <c r="H39" s="7">
        <v>85000</v>
      </c>
      <c r="I39" s="8">
        <v>33</v>
      </c>
      <c r="J39" s="1"/>
    </row>
    <row r="40" spans="1:10" x14ac:dyDescent="0.2">
      <c r="A40" s="5">
        <v>45842</v>
      </c>
      <c r="B40" s="1" t="s">
        <v>24</v>
      </c>
      <c r="C40" s="1" t="s">
        <v>25</v>
      </c>
      <c r="D40" s="1" t="s">
        <v>26</v>
      </c>
      <c r="E40" s="1" t="s">
        <v>19</v>
      </c>
      <c r="F40" s="1"/>
      <c r="G40" s="6" t="s">
        <v>14</v>
      </c>
      <c r="H40" s="7">
        <v>65000</v>
      </c>
      <c r="I40" s="8">
        <v>7.3</v>
      </c>
      <c r="J40" s="1"/>
    </row>
    <row r="41" spans="1:10" x14ac:dyDescent="0.2">
      <c r="A41" s="5">
        <v>45842</v>
      </c>
      <c r="B41" s="1" t="s">
        <v>24</v>
      </c>
      <c r="C41" s="1" t="s">
        <v>31</v>
      </c>
      <c r="D41" s="1" t="s">
        <v>64</v>
      </c>
      <c r="E41" s="1" t="s">
        <v>19</v>
      </c>
      <c r="F41" s="1"/>
      <c r="G41" s="6" t="s">
        <v>23</v>
      </c>
      <c r="H41" s="7">
        <v>60000</v>
      </c>
      <c r="I41" s="8">
        <v>13.6</v>
      </c>
      <c r="J41" s="1"/>
    </row>
    <row r="42" spans="1:10" x14ac:dyDescent="0.2">
      <c r="A42" s="5">
        <v>45842</v>
      </c>
      <c r="B42" s="1" t="s">
        <v>980</v>
      </c>
      <c r="C42" s="1" t="s">
        <v>981</v>
      </c>
      <c r="D42" s="1" t="s">
        <v>64</v>
      </c>
      <c r="E42" s="1" t="s">
        <v>13</v>
      </c>
      <c r="F42" s="1"/>
      <c r="G42" s="6" t="s">
        <v>14</v>
      </c>
      <c r="H42" s="7">
        <v>85000</v>
      </c>
      <c r="I42" s="8">
        <v>12.9</v>
      </c>
      <c r="J42" s="1"/>
    </row>
    <row r="43" spans="1:10" x14ac:dyDescent="0.2">
      <c r="A43" s="5">
        <v>45842</v>
      </c>
      <c r="B43" s="1" t="s">
        <v>533</v>
      </c>
      <c r="C43" s="1" t="s">
        <v>173</v>
      </c>
      <c r="D43" s="1" t="s">
        <v>352</v>
      </c>
      <c r="E43" s="1" t="s">
        <v>19</v>
      </c>
      <c r="F43" s="1"/>
      <c r="G43" s="6" t="s">
        <v>23</v>
      </c>
      <c r="H43" s="7">
        <v>55000</v>
      </c>
      <c r="I43" s="8">
        <v>10.6</v>
      </c>
      <c r="J43" s="1"/>
    </row>
    <row r="44" spans="1:10" x14ac:dyDescent="0.2">
      <c r="A44" s="5">
        <v>45842</v>
      </c>
      <c r="B44" s="1" t="s">
        <v>397</v>
      </c>
      <c r="C44" s="1" t="s">
        <v>398</v>
      </c>
      <c r="D44" s="1" t="s">
        <v>112</v>
      </c>
      <c r="E44" s="1" t="s">
        <v>19</v>
      </c>
      <c r="F44" s="1"/>
      <c r="G44" s="6" t="s">
        <v>14</v>
      </c>
      <c r="H44" s="7" t="s">
        <v>114</v>
      </c>
      <c r="I44" s="8"/>
      <c r="J44" s="1"/>
    </row>
    <row r="45" spans="1:10" x14ac:dyDescent="0.2">
      <c r="A45" s="5">
        <v>45842</v>
      </c>
      <c r="B45" s="1" t="s">
        <v>739</v>
      </c>
      <c r="C45" s="1" t="s">
        <v>740</v>
      </c>
      <c r="D45" s="1" t="s">
        <v>26</v>
      </c>
      <c r="E45" s="1" t="s">
        <v>19</v>
      </c>
      <c r="F45" s="1"/>
      <c r="G45" s="6" t="s">
        <v>14</v>
      </c>
      <c r="H45" s="7">
        <v>75000</v>
      </c>
      <c r="I45" s="8">
        <v>5</v>
      </c>
      <c r="J45" s="1"/>
    </row>
    <row r="46" spans="1:10" x14ac:dyDescent="0.2">
      <c r="A46" s="5">
        <v>45842</v>
      </c>
      <c r="B46" s="1" t="s">
        <v>1092</v>
      </c>
      <c r="C46" s="1" t="s">
        <v>526</v>
      </c>
      <c r="D46" s="1" t="s">
        <v>22</v>
      </c>
      <c r="E46" s="1" t="s">
        <v>19</v>
      </c>
      <c r="F46" s="1"/>
      <c r="G46" s="6" t="s">
        <v>23</v>
      </c>
      <c r="H46" s="7">
        <v>55000</v>
      </c>
      <c r="I46" s="8"/>
      <c r="J46" s="1"/>
    </row>
    <row r="47" spans="1:10" x14ac:dyDescent="0.2">
      <c r="A47" s="5">
        <v>45842</v>
      </c>
      <c r="B47" s="1" t="s">
        <v>1142</v>
      </c>
      <c r="C47" s="1" t="s">
        <v>940</v>
      </c>
      <c r="D47" s="1" t="s">
        <v>1229</v>
      </c>
      <c r="E47" s="1" t="s">
        <v>19</v>
      </c>
      <c r="F47" s="1"/>
      <c r="G47" s="6" t="s">
        <v>23</v>
      </c>
      <c r="H47" s="7">
        <v>30000</v>
      </c>
      <c r="I47" s="8">
        <v>4</v>
      </c>
      <c r="J47" s="1"/>
    </row>
    <row r="48" spans="1:10" x14ac:dyDescent="0.2">
      <c r="A48" s="5">
        <v>45843</v>
      </c>
      <c r="B48" s="1" t="s">
        <v>1281</v>
      </c>
      <c r="C48" s="1" t="s">
        <v>255</v>
      </c>
      <c r="D48" s="1" t="s">
        <v>494</v>
      </c>
      <c r="E48" s="1" t="s">
        <v>59</v>
      </c>
      <c r="F48" s="1"/>
      <c r="G48" s="6" t="s">
        <v>23</v>
      </c>
      <c r="H48" s="7">
        <v>80000</v>
      </c>
      <c r="I48" s="8">
        <v>7.7</v>
      </c>
      <c r="J48" s="1"/>
    </row>
    <row r="49" spans="1:11" x14ac:dyDescent="0.2">
      <c r="A49" s="5">
        <v>45843</v>
      </c>
      <c r="B49" s="1" t="s">
        <v>1281</v>
      </c>
      <c r="C49" s="1" t="s">
        <v>275</v>
      </c>
      <c r="D49" s="1" t="s">
        <v>494</v>
      </c>
      <c r="E49" s="1" t="s">
        <v>59</v>
      </c>
      <c r="F49" s="1"/>
      <c r="G49" s="6" t="s">
        <v>23</v>
      </c>
      <c r="H49" s="7">
        <v>65000</v>
      </c>
      <c r="I49" s="8">
        <v>6.5</v>
      </c>
      <c r="J49" s="1"/>
    </row>
    <row r="50" spans="1:11" x14ac:dyDescent="0.2">
      <c r="A50" s="5">
        <v>45843</v>
      </c>
      <c r="B50" s="1" t="s">
        <v>1282</v>
      </c>
      <c r="C50" s="1" t="s">
        <v>865</v>
      </c>
      <c r="D50" s="1" t="s">
        <v>26</v>
      </c>
      <c r="E50" s="1" t="s">
        <v>13</v>
      </c>
      <c r="F50" s="1"/>
      <c r="G50" s="6" t="s">
        <v>14</v>
      </c>
      <c r="H50" s="7">
        <v>80000</v>
      </c>
      <c r="I50" s="8">
        <v>4.4000000000000004</v>
      </c>
      <c r="J50" s="1"/>
    </row>
    <row r="51" spans="1:11" x14ac:dyDescent="0.2">
      <c r="A51" s="5">
        <v>45843</v>
      </c>
      <c r="B51" s="1" t="s">
        <v>293</v>
      </c>
      <c r="C51" s="1" t="s">
        <v>1283</v>
      </c>
      <c r="D51" s="1" t="s">
        <v>18</v>
      </c>
      <c r="E51" s="1" t="s">
        <v>19</v>
      </c>
      <c r="F51" s="1" t="s">
        <v>792</v>
      </c>
      <c r="G51" s="6" t="s">
        <v>14</v>
      </c>
      <c r="H51" s="7">
        <v>185000</v>
      </c>
      <c r="I51" s="8">
        <v>4.2</v>
      </c>
      <c r="J51" s="1"/>
      <c r="K51" s="18" t="s">
        <v>1284</v>
      </c>
    </row>
    <row r="52" spans="1:11" x14ac:dyDescent="0.2">
      <c r="A52" s="5">
        <v>45843</v>
      </c>
      <c r="B52" s="1" t="s">
        <v>791</v>
      </c>
      <c r="C52" s="1" t="s">
        <v>278</v>
      </c>
      <c r="D52" s="1" t="s">
        <v>18</v>
      </c>
      <c r="E52" s="1" t="s">
        <v>19</v>
      </c>
      <c r="F52" s="1"/>
      <c r="G52" s="6" t="s">
        <v>14</v>
      </c>
      <c r="H52" s="7">
        <v>65000</v>
      </c>
      <c r="I52" s="8">
        <v>17.899999999999999</v>
      </c>
      <c r="J52" s="1"/>
    </row>
    <row r="53" spans="1:11" x14ac:dyDescent="0.2">
      <c r="A53" s="5">
        <v>45843</v>
      </c>
      <c r="B53" s="1" t="s">
        <v>35</v>
      </c>
      <c r="C53" s="1" t="s">
        <v>36</v>
      </c>
      <c r="D53" s="1" t="s">
        <v>18</v>
      </c>
      <c r="E53" s="1" t="s">
        <v>19</v>
      </c>
      <c r="F53" s="1"/>
      <c r="G53" s="6" t="s">
        <v>14</v>
      </c>
      <c r="H53" s="7" t="s">
        <v>114</v>
      </c>
      <c r="I53" s="8"/>
      <c r="J53" s="1"/>
    </row>
    <row r="54" spans="1:11" x14ac:dyDescent="0.2">
      <c r="A54" s="5">
        <v>45843</v>
      </c>
      <c r="B54" s="1" t="s">
        <v>1285</v>
      </c>
      <c r="C54" s="1" t="s">
        <v>1270</v>
      </c>
      <c r="D54" s="1" t="s">
        <v>18</v>
      </c>
      <c r="E54" s="1" t="s">
        <v>13</v>
      </c>
      <c r="F54" s="1"/>
      <c r="G54" s="6" t="s">
        <v>14</v>
      </c>
      <c r="H54" s="7">
        <v>85000</v>
      </c>
      <c r="I54" s="8">
        <v>15</v>
      </c>
      <c r="J54" s="1"/>
    </row>
    <row r="55" spans="1:11" x14ac:dyDescent="0.2">
      <c r="A55" s="5">
        <v>45843</v>
      </c>
      <c r="B55" s="1" t="s">
        <v>1285</v>
      </c>
      <c r="C55" s="1" t="s">
        <v>801</v>
      </c>
      <c r="D55" s="1" t="s">
        <v>371</v>
      </c>
      <c r="E55" s="1" t="s">
        <v>19</v>
      </c>
      <c r="F55" s="1"/>
      <c r="G55" s="6" t="s">
        <v>23</v>
      </c>
      <c r="H55" s="7">
        <v>80000</v>
      </c>
      <c r="I55" s="8">
        <v>35</v>
      </c>
      <c r="J55" s="1"/>
    </row>
    <row r="56" spans="1:11" x14ac:dyDescent="0.2">
      <c r="A56" s="5">
        <v>45843</v>
      </c>
      <c r="B56" s="1" t="s">
        <v>553</v>
      </c>
      <c r="C56" s="1" t="s">
        <v>554</v>
      </c>
      <c r="D56" s="1" t="s">
        <v>18</v>
      </c>
      <c r="E56" s="1" t="s">
        <v>13</v>
      </c>
      <c r="F56" s="1"/>
      <c r="G56" s="6" t="s">
        <v>14</v>
      </c>
      <c r="H56" s="7">
        <v>75000</v>
      </c>
      <c r="I56" s="8">
        <v>10</v>
      </c>
      <c r="J56" s="1"/>
    </row>
    <row r="57" spans="1:11" x14ac:dyDescent="0.2">
      <c r="A57" s="5">
        <v>45843</v>
      </c>
      <c r="B57" s="1" t="s">
        <v>547</v>
      </c>
      <c r="C57" s="1" t="s">
        <v>738</v>
      </c>
      <c r="D57" s="1" t="s">
        <v>18</v>
      </c>
      <c r="E57" s="1" t="s">
        <v>13</v>
      </c>
      <c r="F57" s="1" t="s">
        <v>792</v>
      </c>
      <c r="G57" s="6" t="s">
        <v>14</v>
      </c>
      <c r="H57" s="7">
        <v>180000</v>
      </c>
      <c r="I57" s="8">
        <v>19.100000000000001</v>
      </c>
      <c r="J57" s="1"/>
    </row>
    <row r="58" spans="1:11" x14ac:dyDescent="0.2">
      <c r="A58" s="5">
        <v>45843</v>
      </c>
      <c r="B58" s="1" t="s">
        <v>171</v>
      </c>
      <c r="C58" s="1" t="s">
        <v>172</v>
      </c>
      <c r="D58" s="1" t="s">
        <v>18</v>
      </c>
      <c r="E58" s="1" t="s">
        <v>19</v>
      </c>
      <c r="F58" s="1"/>
      <c r="G58" s="6" t="s">
        <v>14</v>
      </c>
      <c r="H58" s="7">
        <v>55000</v>
      </c>
      <c r="I58" s="8">
        <v>10.9</v>
      </c>
      <c r="J58" s="1"/>
    </row>
    <row r="59" spans="1:11" x14ac:dyDescent="0.2">
      <c r="A59" s="5">
        <v>45843</v>
      </c>
      <c r="B59" s="1" t="s">
        <v>881</v>
      </c>
      <c r="C59" s="1" t="s">
        <v>882</v>
      </c>
      <c r="D59" s="1" t="s">
        <v>131</v>
      </c>
      <c r="E59" s="1" t="s">
        <v>19</v>
      </c>
      <c r="F59" s="1"/>
      <c r="G59" s="6" t="s">
        <v>14</v>
      </c>
      <c r="H59" s="7">
        <v>70000</v>
      </c>
      <c r="I59" s="8">
        <v>31</v>
      </c>
      <c r="J59" s="1"/>
    </row>
    <row r="60" spans="1:11" x14ac:dyDescent="0.2">
      <c r="A60" s="5">
        <v>45845</v>
      </c>
      <c r="B60" s="1" t="s">
        <v>81</v>
      </c>
      <c r="C60" s="1" t="s">
        <v>433</v>
      </c>
      <c r="D60" s="1" t="s">
        <v>18</v>
      </c>
      <c r="E60" s="1" t="s">
        <v>19</v>
      </c>
      <c r="F60" s="1"/>
      <c r="G60" s="6" t="s">
        <v>14</v>
      </c>
      <c r="H60" s="7">
        <v>65000</v>
      </c>
      <c r="I60" s="8">
        <v>15.2</v>
      </c>
      <c r="J60" s="1"/>
    </row>
    <row r="61" spans="1:11" x14ac:dyDescent="0.2">
      <c r="A61" s="5">
        <v>45845</v>
      </c>
      <c r="B61" s="1" t="s">
        <v>1286</v>
      </c>
      <c r="C61" s="1" t="s">
        <v>1029</v>
      </c>
      <c r="D61" s="1" t="s">
        <v>12</v>
      </c>
      <c r="E61" s="1" t="s">
        <v>13</v>
      </c>
      <c r="F61" s="1"/>
      <c r="G61" s="6" t="s">
        <v>14</v>
      </c>
      <c r="H61" s="7">
        <v>90000</v>
      </c>
      <c r="I61" s="8">
        <v>6.1</v>
      </c>
      <c r="J61" s="1"/>
    </row>
    <row r="62" spans="1:11" x14ac:dyDescent="0.2">
      <c r="A62" s="5">
        <v>45845</v>
      </c>
      <c r="B62" s="1" t="s">
        <v>1286</v>
      </c>
      <c r="C62" s="1" t="s">
        <v>1030</v>
      </c>
      <c r="D62" s="1" t="s">
        <v>12</v>
      </c>
      <c r="E62" s="1" t="s">
        <v>13</v>
      </c>
      <c r="F62" s="1"/>
      <c r="G62" s="6" t="s">
        <v>14</v>
      </c>
      <c r="H62" s="7">
        <v>90000</v>
      </c>
      <c r="I62" s="8">
        <v>10.5</v>
      </c>
      <c r="J62" s="1"/>
    </row>
    <row r="63" spans="1:11" x14ac:dyDescent="0.2">
      <c r="A63" s="5">
        <v>45845</v>
      </c>
      <c r="B63" s="1" t="s">
        <v>736</v>
      </c>
      <c r="C63" s="1" t="s">
        <v>737</v>
      </c>
      <c r="D63" s="1" t="s">
        <v>153</v>
      </c>
      <c r="E63" s="1" t="s">
        <v>78</v>
      </c>
      <c r="F63" s="1"/>
      <c r="G63" s="6" t="s">
        <v>14</v>
      </c>
      <c r="H63" s="7">
        <v>65000</v>
      </c>
      <c r="I63" s="8">
        <v>2.9</v>
      </c>
      <c r="J63" s="1"/>
    </row>
    <row r="64" spans="1:11" x14ac:dyDescent="0.2">
      <c r="A64" s="5">
        <v>45845</v>
      </c>
      <c r="B64" s="1" t="s">
        <v>1287</v>
      </c>
      <c r="C64" s="1" t="s">
        <v>910</v>
      </c>
      <c r="D64" s="1" t="s">
        <v>26</v>
      </c>
      <c r="E64" s="1" t="s">
        <v>19</v>
      </c>
      <c r="F64" s="1"/>
      <c r="G64" s="6" t="s">
        <v>14</v>
      </c>
      <c r="H64" s="7">
        <v>85000</v>
      </c>
      <c r="I64" s="8">
        <v>8.4</v>
      </c>
      <c r="J64" s="1"/>
    </row>
    <row r="65" spans="1:10" x14ac:dyDescent="0.2">
      <c r="A65" s="5">
        <v>45845</v>
      </c>
      <c r="B65" s="1" t="s">
        <v>1287</v>
      </c>
      <c r="C65" s="1" t="s">
        <v>715</v>
      </c>
      <c r="D65" s="1" t="s">
        <v>26</v>
      </c>
      <c r="E65" s="1" t="s">
        <v>19</v>
      </c>
      <c r="F65" s="1"/>
      <c r="G65" s="6" t="s">
        <v>14</v>
      </c>
      <c r="H65" s="7">
        <v>80000</v>
      </c>
      <c r="I65" s="8">
        <v>8.8000000000000007</v>
      </c>
      <c r="J65" s="1"/>
    </row>
    <row r="66" spans="1:10" x14ac:dyDescent="0.2">
      <c r="A66" s="5">
        <v>45845</v>
      </c>
      <c r="B66" s="1" t="s">
        <v>1288</v>
      </c>
      <c r="C66" s="1" t="s">
        <v>839</v>
      </c>
      <c r="D66" s="1" t="s">
        <v>165</v>
      </c>
      <c r="E66" s="1" t="s">
        <v>13</v>
      </c>
      <c r="F66" s="1"/>
      <c r="G66" s="6" t="s">
        <v>14</v>
      </c>
      <c r="H66" s="7">
        <v>80000</v>
      </c>
      <c r="I66" s="8">
        <v>2.5</v>
      </c>
      <c r="J66" s="1"/>
    </row>
    <row r="67" spans="1:10" x14ac:dyDescent="0.2">
      <c r="A67" s="5">
        <v>45845</v>
      </c>
      <c r="B67" s="1" t="s">
        <v>1272</v>
      </c>
      <c r="C67" s="1" t="s">
        <v>484</v>
      </c>
      <c r="D67" s="1" t="s">
        <v>64</v>
      </c>
      <c r="E67" s="1" t="s">
        <v>792</v>
      </c>
      <c r="F67" s="1"/>
      <c r="G67" s="6" t="s">
        <v>23</v>
      </c>
      <c r="H67" s="7">
        <v>100000</v>
      </c>
      <c r="I67" s="8"/>
      <c r="J67" s="1"/>
    </row>
    <row r="68" spans="1:10" x14ac:dyDescent="0.2">
      <c r="A68" s="5">
        <v>45845</v>
      </c>
      <c r="B68" s="1" t="s">
        <v>576</v>
      </c>
      <c r="C68" s="1" t="s">
        <v>63</v>
      </c>
      <c r="D68" s="1" t="s">
        <v>1229</v>
      </c>
      <c r="E68" s="1" t="s">
        <v>61</v>
      </c>
      <c r="F68" s="1"/>
      <c r="G68" s="6" t="s">
        <v>23</v>
      </c>
      <c r="H68" s="7">
        <v>8000</v>
      </c>
      <c r="I68" s="1"/>
      <c r="J68" s="1"/>
    </row>
    <row r="69" spans="1:10" x14ac:dyDescent="0.2">
      <c r="A69" s="5">
        <v>45845</v>
      </c>
      <c r="B69" s="1" t="s">
        <v>1289</v>
      </c>
      <c r="C69" s="1" t="s">
        <v>1058</v>
      </c>
      <c r="D69" s="1" t="s">
        <v>64</v>
      </c>
      <c r="E69" s="1" t="s">
        <v>19</v>
      </c>
      <c r="F69" s="1"/>
      <c r="G69" s="6" t="s">
        <v>23</v>
      </c>
      <c r="H69" s="7" t="s">
        <v>1020</v>
      </c>
      <c r="I69" s="8">
        <v>11.1</v>
      </c>
      <c r="J69" s="1"/>
    </row>
    <row r="70" spans="1:10" x14ac:dyDescent="0.2">
      <c r="A70" s="5">
        <v>45845</v>
      </c>
      <c r="B70" s="1" t="s">
        <v>927</v>
      </c>
      <c r="C70" s="1" t="s">
        <v>1290</v>
      </c>
      <c r="D70" s="1" t="s">
        <v>340</v>
      </c>
      <c r="E70" s="1" t="s">
        <v>61</v>
      </c>
      <c r="F70" s="1"/>
      <c r="G70" s="6" t="s">
        <v>23</v>
      </c>
      <c r="H70" s="7">
        <v>10000</v>
      </c>
      <c r="I70" s="1"/>
      <c r="J70" s="1"/>
    </row>
    <row r="71" spans="1:10" x14ac:dyDescent="0.2">
      <c r="A71" s="5">
        <v>45845</v>
      </c>
      <c r="B71" s="1" t="s">
        <v>927</v>
      </c>
      <c r="C71" s="1"/>
      <c r="D71" s="1" t="s">
        <v>340</v>
      </c>
      <c r="E71" s="1" t="s">
        <v>61</v>
      </c>
      <c r="F71" s="1"/>
      <c r="G71" s="6" t="s">
        <v>23</v>
      </c>
      <c r="H71" s="7">
        <v>10000</v>
      </c>
      <c r="I71" s="1"/>
      <c r="J71" s="1"/>
    </row>
    <row r="72" spans="1:10" x14ac:dyDescent="0.2">
      <c r="A72" s="5">
        <v>45845</v>
      </c>
      <c r="B72" s="1"/>
      <c r="C72" s="1"/>
      <c r="D72" s="1" t="s">
        <v>42</v>
      </c>
      <c r="E72" s="1" t="s">
        <v>61</v>
      </c>
      <c r="F72" s="1"/>
      <c r="G72" s="6" t="s">
        <v>23</v>
      </c>
      <c r="H72" s="7">
        <v>10000</v>
      </c>
      <c r="I72" s="8"/>
      <c r="J72" s="1"/>
    </row>
    <row r="73" spans="1:10" x14ac:dyDescent="0.2">
      <c r="A73" s="5">
        <v>45846</v>
      </c>
      <c r="B73" s="1" t="s">
        <v>468</v>
      </c>
      <c r="C73" s="1" t="s">
        <v>469</v>
      </c>
      <c r="D73" s="1" t="s">
        <v>26</v>
      </c>
      <c r="E73" s="1" t="s">
        <v>13</v>
      </c>
      <c r="F73" s="1"/>
      <c r="G73" s="6" t="s">
        <v>14</v>
      </c>
      <c r="H73" s="7">
        <v>80000</v>
      </c>
      <c r="I73" s="8">
        <v>6.5</v>
      </c>
      <c r="J73" s="1"/>
    </row>
    <row r="74" spans="1:10" x14ac:dyDescent="0.2">
      <c r="A74" s="5">
        <v>45846</v>
      </c>
      <c r="B74" s="1" t="s">
        <v>468</v>
      </c>
      <c r="C74" s="1" t="s">
        <v>401</v>
      </c>
      <c r="D74" s="1" t="s">
        <v>26</v>
      </c>
      <c r="E74" s="1" t="s">
        <v>13</v>
      </c>
      <c r="F74" s="1"/>
      <c r="G74" s="6" t="s">
        <v>14</v>
      </c>
      <c r="H74" s="7">
        <v>80000</v>
      </c>
      <c r="I74" s="8">
        <v>7.1</v>
      </c>
      <c r="J74" s="1"/>
    </row>
    <row r="75" spans="1:10" x14ac:dyDescent="0.2">
      <c r="A75" s="5">
        <v>45846</v>
      </c>
      <c r="B75" s="1" t="s">
        <v>200</v>
      </c>
      <c r="C75" s="1" t="s">
        <v>201</v>
      </c>
      <c r="D75" s="1" t="s">
        <v>26</v>
      </c>
      <c r="E75" s="1" t="s">
        <v>19</v>
      </c>
      <c r="F75" s="1"/>
      <c r="G75" s="6" t="s">
        <v>14</v>
      </c>
      <c r="H75" s="7">
        <v>65000</v>
      </c>
      <c r="I75" s="8">
        <v>7.5</v>
      </c>
      <c r="J75" s="1"/>
    </row>
    <row r="76" spans="1:10" x14ac:dyDescent="0.2">
      <c r="A76" s="5">
        <v>45846</v>
      </c>
      <c r="B76" s="1" t="s">
        <v>256</v>
      </c>
      <c r="C76" s="1" t="s">
        <v>257</v>
      </c>
      <c r="D76" s="1" t="s">
        <v>32</v>
      </c>
      <c r="E76" s="1" t="s">
        <v>19</v>
      </c>
      <c r="F76" s="1"/>
      <c r="G76" s="6" t="s">
        <v>14</v>
      </c>
      <c r="H76" s="7" t="s">
        <v>114</v>
      </c>
      <c r="I76" s="8"/>
      <c r="J76" s="1"/>
    </row>
    <row r="77" spans="1:10" x14ac:dyDescent="0.2">
      <c r="A77" s="5">
        <v>45846</v>
      </c>
      <c r="B77" s="1" t="s">
        <v>999</v>
      </c>
      <c r="C77" s="1" t="s">
        <v>1000</v>
      </c>
      <c r="D77" s="1" t="s">
        <v>12</v>
      </c>
      <c r="E77" s="1" t="s">
        <v>13</v>
      </c>
      <c r="F77" s="1"/>
      <c r="G77" s="6" t="s">
        <v>14</v>
      </c>
      <c r="H77" s="7">
        <v>75000</v>
      </c>
      <c r="I77" s="8">
        <v>5.6</v>
      </c>
      <c r="J77" s="1"/>
    </row>
    <row r="78" spans="1:10" x14ac:dyDescent="0.2">
      <c r="A78" s="5">
        <v>45846</v>
      </c>
      <c r="B78" s="1" t="s">
        <v>1291</v>
      </c>
      <c r="C78" s="1" t="s">
        <v>382</v>
      </c>
      <c r="D78" s="1" t="s">
        <v>32</v>
      </c>
      <c r="E78" s="1" t="s">
        <v>19</v>
      </c>
      <c r="F78" s="1"/>
      <c r="G78" s="6" t="s">
        <v>14</v>
      </c>
      <c r="H78" s="7">
        <v>75000</v>
      </c>
      <c r="I78" s="8">
        <v>1.9</v>
      </c>
      <c r="J78" s="1"/>
    </row>
    <row r="79" spans="1:10" x14ac:dyDescent="0.2">
      <c r="A79" s="5">
        <v>45846</v>
      </c>
      <c r="B79" s="1" t="s">
        <v>1292</v>
      </c>
      <c r="C79" s="1" t="s">
        <v>1135</v>
      </c>
      <c r="D79" s="1" t="s">
        <v>64</v>
      </c>
      <c r="E79" s="1" t="s">
        <v>19</v>
      </c>
      <c r="F79" s="1"/>
      <c r="G79" s="6" t="s">
        <v>14</v>
      </c>
      <c r="H79" s="7">
        <v>80000</v>
      </c>
      <c r="I79" s="8">
        <v>24</v>
      </c>
      <c r="J79" s="1"/>
    </row>
    <row r="80" spans="1:10" x14ac:dyDescent="0.2">
      <c r="A80" s="5">
        <v>45846</v>
      </c>
      <c r="B80" s="1" t="s">
        <v>1293</v>
      </c>
      <c r="C80" s="1" t="s">
        <v>1294</v>
      </c>
      <c r="D80" s="1" t="s">
        <v>1229</v>
      </c>
      <c r="E80" s="1" t="s">
        <v>19</v>
      </c>
      <c r="F80" s="1"/>
      <c r="G80" s="6" t="s">
        <v>23</v>
      </c>
      <c r="H80" s="7">
        <v>35000</v>
      </c>
      <c r="I80" s="8">
        <v>3.9</v>
      </c>
      <c r="J80" s="1"/>
    </row>
    <row r="81" spans="1:10" x14ac:dyDescent="0.2">
      <c r="A81" s="5">
        <v>45846</v>
      </c>
      <c r="B81" s="1"/>
      <c r="C81" s="1"/>
      <c r="D81" s="1"/>
      <c r="E81" s="1" t="s">
        <v>61</v>
      </c>
      <c r="F81" s="1"/>
      <c r="G81" s="6" t="s">
        <v>23</v>
      </c>
      <c r="H81" s="7">
        <v>20000</v>
      </c>
      <c r="I81" s="8"/>
      <c r="J81" s="1"/>
    </row>
    <row r="82" spans="1:10" x14ac:dyDescent="0.2">
      <c r="A82" s="5">
        <v>45847</v>
      </c>
      <c r="B82" s="1" t="s">
        <v>230</v>
      </c>
      <c r="C82" s="1" t="s">
        <v>808</v>
      </c>
      <c r="D82" s="1" t="s">
        <v>64</v>
      </c>
      <c r="E82" s="1" t="s">
        <v>19</v>
      </c>
      <c r="F82" s="1"/>
      <c r="G82" s="6" t="s">
        <v>23</v>
      </c>
      <c r="H82" s="7">
        <v>50000</v>
      </c>
      <c r="I82" s="8">
        <v>12.2</v>
      </c>
      <c r="J82" s="1"/>
    </row>
    <row r="83" spans="1:10" x14ac:dyDescent="0.2">
      <c r="A83" s="5">
        <v>45847</v>
      </c>
      <c r="B83" s="1" t="s">
        <v>1295</v>
      </c>
      <c r="C83" s="1" t="s">
        <v>1296</v>
      </c>
      <c r="D83" s="1" t="s">
        <v>18</v>
      </c>
      <c r="E83" s="1" t="s">
        <v>19</v>
      </c>
      <c r="F83" s="1"/>
      <c r="G83" s="6" t="s">
        <v>14</v>
      </c>
      <c r="H83" s="7">
        <v>65000</v>
      </c>
      <c r="I83" s="8">
        <v>14</v>
      </c>
      <c r="J83" s="1"/>
    </row>
    <row r="84" spans="1:10" x14ac:dyDescent="0.2">
      <c r="A84" s="5">
        <v>45847</v>
      </c>
      <c r="B84" s="1" t="s">
        <v>586</v>
      </c>
      <c r="C84" s="1" t="s">
        <v>889</v>
      </c>
      <c r="D84" s="1" t="s">
        <v>165</v>
      </c>
      <c r="E84" s="1" t="s">
        <v>13</v>
      </c>
      <c r="F84" s="1"/>
      <c r="G84" s="6" t="s">
        <v>14</v>
      </c>
      <c r="H84" s="7">
        <v>60000</v>
      </c>
      <c r="I84" s="8"/>
      <c r="J84" s="1"/>
    </row>
    <row r="85" spans="1:10" x14ac:dyDescent="0.2">
      <c r="A85" s="5">
        <v>45847</v>
      </c>
      <c r="B85" s="1" t="s">
        <v>586</v>
      </c>
      <c r="C85" s="1" t="s">
        <v>890</v>
      </c>
      <c r="D85" s="1" t="s">
        <v>26</v>
      </c>
      <c r="E85" s="1" t="s">
        <v>13</v>
      </c>
      <c r="F85" s="1"/>
      <c r="G85" s="6" t="s">
        <v>14</v>
      </c>
      <c r="H85" s="7">
        <v>60000</v>
      </c>
      <c r="I85" s="8"/>
      <c r="J85" s="1"/>
    </row>
    <row r="86" spans="1:10" x14ac:dyDescent="0.2">
      <c r="A86" s="5">
        <v>45847</v>
      </c>
      <c r="B86" s="1" t="s">
        <v>873</v>
      </c>
      <c r="C86" s="1" t="s">
        <v>289</v>
      </c>
      <c r="D86" s="1" t="s">
        <v>64</v>
      </c>
      <c r="E86" s="1" t="s">
        <v>13</v>
      </c>
      <c r="F86" s="1"/>
      <c r="G86" s="6" t="s">
        <v>23</v>
      </c>
      <c r="H86" s="7">
        <v>60000</v>
      </c>
      <c r="I86" s="8">
        <v>16.7</v>
      </c>
      <c r="J86" s="1"/>
    </row>
    <row r="87" spans="1:10" x14ac:dyDescent="0.2">
      <c r="A87" s="5">
        <v>45847</v>
      </c>
      <c r="B87" s="1" t="s">
        <v>204</v>
      </c>
      <c r="C87" s="1" t="s">
        <v>510</v>
      </c>
      <c r="D87" s="1" t="s">
        <v>88</v>
      </c>
      <c r="E87" s="1" t="s">
        <v>13</v>
      </c>
      <c r="F87" s="1"/>
      <c r="G87" s="6" t="s">
        <v>14</v>
      </c>
      <c r="H87" s="7">
        <v>80000</v>
      </c>
      <c r="I87" s="8">
        <v>6.1</v>
      </c>
      <c r="J87" s="1"/>
    </row>
    <row r="88" spans="1:10" x14ac:dyDescent="0.2">
      <c r="A88" s="5">
        <v>45847</v>
      </c>
      <c r="B88" s="1" t="s">
        <v>1297</v>
      </c>
      <c r="C88" s="1" t="s">
        <v>1298</v>
      </c>
      <c r="D88" s="1" t="s">
        <v>1229</v>
      </c>
      <c r="E88" s="1" t="s">
        <v>792</v>
      </c>
      <c r="F88" s="1"/>
      <c r="G88" s="6" t="s">
        <v>23</v>
      </c>
      <c r="H88" s="7">
        <v>100000</v>
      </c>
      <c r="I88" s="8"/>
      <c r="J88" s="1"/>
    </row>
    <row r="89" spans="1:10" x14ac:dyDescent="0.2">
      <c r="A89" s="5">
        <v>45847</v>
      </c>
      <c r="B89" s="1" t="s">
        <v>134</v>
      </c>
      <c r="C89" s="1" t="s">
        <v>1299</v>
      </c>
      <c r="D89" s="1" t="s">
        <v>88</v>
      </c>
      <c r="E89" s="1" t="s">
        <v>13</v>
      </c>
      <c r="F89" s="1"/>
      <c r="G89" s="6" t="s">
        <v>14</v>
      </c>
      <c r="H89" s="7">
        <v>85000</v>
      </c>
      <c r="I89" s="8">
        <v>3.8</v>
      </c>
      <c r="J89" s="1"/>
    </row>
    <row r="90" spans="1:10" x14ac:dyDescent="0.2">
      <c r="A90" s="5">
        <v>45847</v>
      </c>
      <c r="B90" s="1" t="s">
        <v>1004</v>
      </c>
      <c r="C90" s="1" t="s">
        <v>398</v>
      </c>
      <c r="D90" s="1" t="s">
        <v>26</v>
      </c>
      <c r="E90" s="1" t="s">
        <v>13</v>
      </c>
      <c r="F90" s="1"/>
      <c r="G90" s="6" t="s">
        <v>14</v>
      </c>
      <c r="H90" s="7">
        <v>90000</v>
      </c>
      <c r="I90" s="8">
        <v>5.6</v>
      </c>
      <c r="J90" s="1" t="s">
        <v>40</v>
      </c>
    </row>
    <row r="91" spans="1:10" x14ac:dyDescent="0.2">
      <c r="A91" s="5">
        <v>45847</v>
      </c>
      <c r="B91" s="1" t="s">
        <v>636</v>
      </c>
      <c r="C91" s="1" t="s">
        <v>275</v>
      </c>
      <c r="D91" s="1" t="s">
        <v>165</v>
      </c>
      <c r="E91" s="1" t="s">
        <v>19</v>
      </c>
      <c r="F91" s="1"/>
      <c r="G91" s="6" t="s">
        <v>14</v>
      </c>
      <c r="H91" s="7">
        <v>70000</v>
      </c>
      <c r="I91" s="8"/>
      <c r="J91" s="1"/>
    </row>
    <row r="92" spans="1:10" x14ac:dyDescent="0.2">
      <c r="A92" s="5">
        <v>45847</v>
      </c>
      <c r="B92" s="1" t="s">
        <v>636</v>
      </c>
      <c r="C92" s="1" t="s">
        <v>715</v>
      </c>
      <c r="D92" s="1" t="s">
        <v>165</v>
      </c>
      <c r="E92" s="1" t="s">
        <v>19</v>
      </c>
      <c r="F92" s="1"/>
      <c r="G92" s="6" t="s">
        <v>14</v>
      </c>
      <c r="H92" s="7">
        <v>70000</v>
      </c>
      <c r="I92" s="8"/>
      <c r="J92" s="1"/>
    </row>
    <row r="93" spans="1:10" x14ac:dyDescent="0.2">
      <c r="A93" s="5">
        <v>45847</v>
      </c>
      <c r="B93" s="1"/>
      <c r="C93" s="1"/>
      <c r="D93" s="1"/>
      <c r="E93" s="1" t="s">
        <v>61</v>
      </c>
      <c r="F93" s="1"/>
      <c r="G93" s="6" t="s">
        <v>14</v>
      </c>
      <c r="H93" s="7">
        <v>8000</v>
      </c>
      <c r="I93" s="8"/>
      <c r="J93" s="1"/>
    </row>
    <row r="94" spans="1:10" x14ac:dyDescent="0.2">
      <c r="A94" s="5">
        <v>45847</v>
      </c>
      <c r="B94" s="1" t="s">
        <v>781</v>
      </c>
      <c r="C94" s="1" t="s">
        <v>868</v>
      </c>
      <c r="D94" s="1" t="s">
        <v>340</v>
      </c>
      <c r="E94" s="1" t="s">
        <v>19</v>
      </c>
      <c r="F94" s="1"/>
      <c r="G94" s="6" t="s">
        <v>14</v>
      </c>
      <c r="H94" s="7">
        <v>30000</v>
      </c>
      <c r="I94" s="8">
        <v>1.7</v>
      </c>
      <c r="J94" s="1"/>
    </row>
    <row r="95" spans="1:10" x14ac:dyDescent="0.2">
      <c r="A95" s="5">
        <v>45847</v>
      </c>
      <c r="B95" s="1" t="s">
        <v>1300</v>
      </c>
      <c r="C95" s="1" t="s">
        <v>166</v>
      </c>
      <c r="D95" s="1" t="s">
        <v>64</v>
      </c>
      <c r="E95" s="1" t="s">
        <v>13</v>
      </c>
      <c r="F95" s="1"/>
      <c r="G95" s="6" t="s">
        <v>14</v>
      </c>
      <c r="H95" s="7">
        <v>65000</v>
      </c>
      <c r="I95" s="8">
        <v>11.8</v>
      </c>
      <c r="J95" s="1"/>
    </row>
    <row r="96" spans="1:10" x14ac:dyDescent="0.2">
      <c r="A96" s="5">
        <v>45848</v>
      </c>
      <c r="B96" s="1" t="s">
        <v>1301</v>
      </c>
      <c r="C96" s="1" t="s">
        <v>51</v>
      </c>
      <c r="D96" s="1" t="s">
        <v>26</v>
      </c>
      <c r="E96" s="1" t="s">
        <v>13</v>
      </c>
      <c r="F96" s="1" t="s">
        <v>448</v>
      </c>
      <c r="G96" s="6" t="s">
        <v>14</v>
      </c>
      <c r="H96" s="7">
        <v>85000</v>
      </c>
      <c r="I96" s="8">
        <v>7.4</v>
      </c>
      <c r="J96" s="1"/>
    </row>
    <row r="97" spans="1:10" x14ac:dyDescent="0.2">
      <c r="A97" s="5">
        <v>45848</v>
      </c>
      <c r="B97" s="1" t="s">
        <v>1302</v>
      </c>
      <c r="C97" s="1" t="s">
        <v>31</v>
      </c>
      <c r="D97" s="1" t="s">
        <v>32</v>
      </c>
      <c r="E97" s="1" t="s">
        <v>19</v>
      </c>
      <c r="F97" s="1"/>
      <c r="G97" s="6" t="s">
        <v>14</v>
      </c>
      <c r="H97" s="7">
        <v>80000</v>
      </c>
      <c r="I97" s="8">
        <v>4</v>
      </c>
      <c r="J97" s="1"/>
    </row>
    <row r="98" spans="1:10" x14ac:dyDescent="0.2">
      <c r="A98" s="5">
        <v>45848</v>
      </c>
      <c r="B98" s="1" t="s">
        <v>1302</v>
      </c>
      <c r="C98" s="1" t="s">
        <v>440</v>
      </c>
      <c r="D98" s="1" t="s">
        <v>32</v>
      </c>
      <c r="E98" s="1" t="s">
        <v>13</v>
      </c>
      <c r="F98" s="1"/>
      <c r="G98" s="6" t="s">
        <v>14</v>
      </c>
      <c r="H98" s="7">
        <v>80000</v>
      </c>
      <c r="I98" s="8">
        <v>3</v>
      </c>
      <c r="J98" s="1"/>
    </row>
    <row r="99" spans="1:10" x14ac:dyDescent="0.2">
      <c r="A99" s="5">
        <v>45848</v>
      </c>
      <c r="B99" s="1" t="s">
        <v>1175</v>
      </c>
      <c r="C99" s="1" t="s">
        <v>1303</v>
      </c>
      <c r="D99" s="1" t="s">
        <v>64</v>
      </c>
      <c r="E99" s="1" t="s">
        <v>13</v>
      </c>
      <c r="F99" s="1"/>
      <c r="G99" s="6" t="s">
        <v>14</v>
      </c>
      <c r="H99" s="7">
        <v>80000</v>
      </c>
      <c r="I99" s="8">
        <v>8.3000000000000007</v>
      </c>
      <c r="J99" s="1"/>
    </row>
    <row r="100" spans="1:10" x14ac:dyDescent="0.2">
      <c r="A100" s="5">
        <v>45848</v>
      </c>
      <c r="B100" s="1" t="s">
        <v>707</v>
      </c>
      <c r="C100" s="1" t="s">
        <v>1304</v>
      </c>
      <c r="D100" s="1" t="s">
        <v>196</v>
      </c>
      <c r="E100" s="1" t="s">
        <v>94</v>
      </c>
      <c r="F100" s="1"/>
      <c r="G100" s="6" t="s">
        <v>14</v>
      </c>
      <c r="H100" s="7">
        <v>130000</v>
      </c>
      <c r="I100" s="8">
        <v>37</v>
      </c>
      <c r="J100" s="1"/>
    </row>
    <row r="101" spans="1:10" x14ac:dyDescent="0.2">
      <c r="A101" s="5">
        <v>45849</v>
      </c>
      <c r="B101" s="1" t="s">
        <v>1305</v>
      </c>
      <c r="C101" s="1" t="s">
        <v>426</v>
      </c>
      <c r="D101" s="1" t="s">
        <v>64</v>
      </c>
      <c r="E101" s="1" t="s">
        <v>13</v>
      </c>
      <c r="F101" s="1"/>
      <c r="G101" s="6" t="s">
        <v>14</v>
      </c>
      <c r="H101" s="7">
        <v>75000</v>
      </c>
      <c r="I101" s="8">
        <v>17.3</v>
      </c>
      <c r="J101" s="1"/>
    </row>
    <row r="102" spans="1:10" x14ac:dyDescent="0.2">
      <c r="A102" s="5">
        <v>45849</v>
      </c>
      <c r="B102" s="1" t="s">
        <v>1305</v>
      </c>
      <c r="C102" s="1" t="s">
        <v>382</v>
      </c>
      <c r="D102" s="1" t="s">
        <v>18</v>
      </c>
      <c r="E102" s="1" t="s">
        <v>13</v>
      </c>
      <c r="F102" s="1"/>
      <c r="G102" s="6" t="s">
        <v>14</v>
      </c>
      <c r="H102" s="7">
        <v>85000</v>
      </c>
      <c r="I102" s="8">
        <v>13.3</v>
      </c>
      <c r="J102" s="1"/>
    </row>
    <row r="103" spans="1:10" x14ac:dyDescent="0.2">
      <c r="A103" s="5">
        <v>45849</v>
      </c>
      <c r="B103" s="1" t="s">
        <v>927</v>
      </c>
      <c r="C103" s="1" t="s">
        <v>832</v>
      </c>
      <c r="D103" s="1" t="s">
        <v>122</v>
      </c>
      <c r="E103" s="1" t="s">
        <v>19</v>
      </c>
      <c r="F103" s="1"/>
      <c r="G103" s="6" t="s">
        <v>14</v>
      </c>
      <c r="H103" s="7">
        <v>80000</v>
      </c>
      <c r="I103" s="8"/>
      <c r="J103" s="1"/>
    </row>
    <row r="104" spans="1:10" x14ac:dyDescent="0.2">
      <c r="A104" s="5">
        <v>45849</v>
      </c>
      <c r="B104" s="1" t="s">
        <v>1306</v>
      </c>
      <c r="C104" s="1" t="s">
        <v>1307</v>
      </c>
      <c r="D104" s="1" t="s">
        <v>32</v>
      </c>
      <c r="E104" s="1" t="s">
        <v>13</v>
      </c>
      <c r="F104" s="1"/>
      <c r="G104" s="6" t="s">
        <v>14</v>
      </c>
      <c r="H104" s="7">
        <v>80000</v>
      </c>
      <c r="I104" s="8">
        <v>4</v>
      </c>
      <c r="J104" s="1"/>
    </row>
    <row r="105" spans="1:10" x14ac:dyDescent="0.2">
      <c r="A105" s="5">
        <v>45849</v>
      </c>
      <c r="B105" s="1" t="s">
        <v>1308</v>
      </c>
      <c r="C105" s="1" t="s">
        <v>398</v>
      </c>
      <c r="D105" s="1" t="s">
        <v>64</v>
      </c>
      <c r="E105" s="1" t="s">
        <v>19</v>
      </c>
      <c r="F105" s="1"/>
      <c r="G105" s="6" t="s">
        <v>14</v>
      </c>
      <c r="H105" s="7">
        <v>70000</v>
      </c>
      <c r="I105" s="8"/>
      <c r="J105" s="1"/>
    </row>
    <row r="106" spans="1:10" x14ac:dyDescent="0.2">
      <c r="A106" s="5">
        <v>45849</v>
      </c>
      <c r="B106" s="1" t="s">
        <v>1309</v>
      </c>
      <c r="C106" s="1" t="s">
        <v>391</v>
      </c>
      <c r="D106" s="1" t="s">
        <v>18</v>
      </c>
      <c r="E106" s="1" t="s">
        <v>19</v>
      </c>
      <c r="F106" s="1"/>
      <c r="G106" s="6" t="s">
        <v>23</v>
      </c>
      <c r="H106" s="7">
        <v>65000</v>
      </c>
      <c r="I106" s="8"/>
      <c r="J106" s="1"/>
    </row>
    <row r="107" spans="1:10" x14ac:dyDescent="0.2">
      <c r="A107" s="5">
        <v>45849</v>
      </c>
      <c r="B107" s="1" t="s">
        <v>1310</v>
      </c>
      <c r="C107" s="1" t="s">
        <v>301</v>
      </c>
      <c r="D107" s="1" t="s">
        <v>88</v>
      </c>
      <c r="E107" s="1" t="s">
        <v>19</v>
      </c>
      <c r="F107" s="1"/>
      <c r="G107" s="6" t="s">
        <v>14</v>
      </c>
      <c r="H107" s="7">
        <v>60000</v>
      </c>
      <c r="I107" s="8"/>
      <c r="J107" s="1"/>
    </row>
    <row r="108" spans="1:10" x14ac:dyDescent="0.2">
      <c r="A108" s="5">
        <v>45849</v>
      </c>
      <c r="B108" s="1" t="s">
        <v>1311</v>
      </c>
      <c r="C108" s="1" t="s">
        <v>1025</v>
      </c>
      <c r="D108" s="1" t="s">
        <v>32</v>
      </c>
      <c r="E108" s="1" t="s">
        <v>19</v>
      </c>
      <c r="F108" s="1"/>
      <c r="G108" s="6" t="s">
        <v>14</v>
      </c>
      <c r="H108" s="7">
        <v>75000</v>
      </c>
      <c r="I108" s="8"/>
      <c r="J108" s="1"/>
    </row>
    <row r="109" spans="1:10" x14ac:dyDescent="0.2">
      <c r="A109" s="5">
        <v>45849</v>
      </c>
      <c r="B109" s="1" t="s">
        <v>1312</v>
      </c>
      <c r="C109" s="1" t="s">
        <v>251</v>
      </c>
      <c r="D109" s="1" t="s">
        <v>494</v>
      </c>
      <c r="E109" s="1" t="s">
        <v>828</v>
      </c>
      <c r="F109" s="1"/>
      <c r="G109" s="6" t="s">
        <v>23</v>
      </c>
      <c r="H109" s="7">
        <v>55000</v>
      </c>
      <c r="I109" s="8"/>
      <c r="J109" s="1"/>
    </row>
    <row r="110" spans="1:10" x14ac:dyDescent="0.2">
      <c r="A110" s="5">
        <v>45849</v>
      </c>
      <c r="B110" s="1" t="s">
        <v>1313</v>
      </c>
      <c r="C110" s="1" t="s">
        <v>1314</v>
      </c>
      <c r="D110" s="1" t="s">
        <v>165</v>
      </c>
      <c r="E110" s="1" t="s">
        <v>13</v>
      </c>
      <c r="F110" s="1"/>
      <c r="G110" s="6" t="s">
        <v>14</v>
      </c>
      <c r="H110" s="7">
        <v>90000</v>
      </c>
      <c r="I110" s="8"/>
      <c r="J110" s="1"/>
    </row>
    <row r="111" spans="1:10" x14ac:dyDescent="0.2">
      <c r="A111" s="5">
        <v>45849</v>
      </c>
      <c r="B111" s="1" t="s">
        <v>1315</v>
      </c>
      <c r="C111" s="1" t="s">
        <v>401</v>
      </c>
      <c r="D111" s="1" t="s">
        <v>26</v>
      </c>
      <c r="E111" s="1" t="s">
        <v>13</v>
      </c>
      <c r="F111" s="1"/>
      <c r="G111" s="6" t="s">
        <v>14</v>
      </c>
      <c r="H111" s="7">
        <v>75000</v>
      </c>
      <c r="I111" s="8"/>
      <c r="J111" s="1"/>
    </row>
    <row r="112" spans="1:10" x14ac:dyDescent="0.2">
      <c r="A112" s="5">
        <v>45849</v>
      </c>
      <c r="B112" s="1"/>
      <c r="C112" s="1"/>
      <c r="D112" s="1"/>
      <c r="E112" s="1" t="s">
        <v>61</v>
      </c>
      <c r="F112" s="1"/>
      <c r="G112" s="6" t="s">
        <v>23</v>
      </c>
      <c r="H112" s="7">
        <v>15000</v>
      </c>
      <c r="I112" s="8"/>
      <c r="J112" s="1"/>
    </row>
    <row r="113" spans="1:10" x14ac:dyDescent="0.2">
      <c r="A113" s="5">
        <v>45850</v>
      </c>
      <c r="B113" s="1" t="s">
        <v>1008</v>
      </c>
      <c r="C113" s="15" t="s">
        <v>1009</v>
      </c>
      <c r="D113" s="15" t="s">
        <v>64</v>
      </c>
      <c r="E113" s="15" t="s">
        <v>1010</v>
      </c>
      <c r="F113" s="1"/>
      <c r="G113" s="6" t="s">
        <v>14</v>
      </c>
      <c r="H113" s="7">
        <v>75000</v>
      </c>
      <c r="I113" s="8"/>
      <c r="J113" s="1"/>
    </row>
    <row r="114" spans="1:10" x14ac:dyDescent="0.2">
      <c r="A114" s="5">
        <v>45850</v>
      </c>
      <c r="B114" s="1" t="s">
        <v>1316</v>
      </c>
      <c r="C114" s="1" t="s">
        <v>1317</v>
      </c>
      <c r="D114" s="1" t="s">
        <v>64</v>
      </c>
      <c r="E114" s="1" t="s">
        <v>19</v>
      </c>
      <c r="F114" s="1"/>
      <c r="G114" s="6" t="s">
        <v>23</v>
      </c>
      <c r="H114" s="7">
        <v>80000</v>
      </c>
      <c r="I114" s="8"/>
      <c r="J114" s="1"/>
    </row>
    <row r="115" spans="1:10" x14ac:dyDescent="0.2">
      <c r="A115" s="5">
        <v>45850</v>
      </c>
      <c r="B115" s="1" t="s">
        <v>1318</v>
      </c>
      <c r="C115" s="1" t="s">
        <v>1319</v>
      </c>
      <c r="D115" s="1" t="s">
        <v>64</v>
      </c>
      <c r="E115" s="1" t="s">
        <v>19</v>
      </c>
      <c r="F115" s="1"/>
      <c r="G115" s="6" t="s">
        <v>23</v>
      </c>
      <c r="H115" s="7">
        <v>55000</v>
      </c>
      <c r="I115" s="8"/>
      <c r="J115" s="1"/>
    </row>
    <row r="116" spans="1:10" x14ac:dyDescent="0.2">
      <c r="A116" s="5">
        <v>45850</v>
      </c>
      <c r="B116" s="1" t="s">
        <v>607</v>
      </c>
      <c r="C116" s="1" t="s">
        <v>211</v>
      </c>
      <c r="D116" s="1" t="s">
        <v>32</v>
      </c>
      <c r="E116" s="1" t="s">
        <v>19</v>
      </c>
      <c r="F116" s="1"/>
      <c r="G116" s="6" t="s">
        <v>14</v>
      </c>
      <c r="H116" s="7">
        <v>55000</v>
      </c>
      <c r="I116" s="8"/>
      <c r="J116" s="1"/>
    </row>
    <row r="117" spans="1:10" x14ac:dyDescent="0.2">
      <c r="A117" s="5">
        <v>45850</v>
      </c>
      <c r="B117" s="1" t="s">
        <v>256</v>
      </c>
      <c r="C117" s="1" t="s">
        <v>257</v>
      </c>
      <c r="D117" s="1" t="s">
        <v>32</v>
      </c>
      <c r="E117" s="1" t="s">
        <v>113</v>
      </c>
      <c r="F117" s="1"/>
      <c r="G117" s="6" t="s">
        <v>14</v>
      </c>
      <c r="H117" s="7"/>
      <c r="I117" s="8"/>
      <c r="J117" s="1"/>
    </row>
    <row r="118" spans="1:10" x14ac:dyDescent="0.2">
      <c r="A118" s="5">
        <v>45850</v>
      </c>
      <c r="B118" s="1" t="s">
        <v>35</v>
      </c>
      <c r="C118" s="1" t="s">
        <v>36</v>
      </c>
      <c r="D118" s="1" t="s">
        <v>18</v>
      </c>
      <c r="E118" s="1" t="s">
        <v>19</v>
      </c>
      <c r="F118" s="1"/>
      <c r="G118" s="6" t="s">
        <v>14</v>
      </c>
      <c r="H118" s="7"/>
      <c r="I118" s="8"/>
      <c r="J118" s="1"/>
    </row>
    <row r="119" spans="1:10" x14ac:dyDescent="0.2">
      <c r="A119" s="5">
        <v>45850</v>
      </c>
      <c r="B119" s="1" t="s">
        <v>924</v>
      </c>
      <c r="C119" s="1" t="s">
        <v>484</v>
      </c>
      <c r="D119" s="1" t="s">
        <v>131</v>
      </c>
      <c r="E119" s="1" t="s">
        <v>13</v>
      </c>
      <c r="F119" s="1"/>
      <c r="G119" s="6" t="s">
        <v>14</v>
      </c>
      <c r="H119" s="7">
        <v>85000</v>
      </c>
      <c r="I119" s="8"/>
      <c r="J119" s="1"/>
    </row>
    <row r="120" spans="1:10" x14ac:dyDescent="0.2">
      <c r="A120" s="5">
        <v>45850</v>
      </c>
      <c r="B120" s="1" t="s">
        <v>1320</v>
      </c>
      <c r="C120" s="1" t="s">
        <v>1321</v>
      </c>
      <c r="D120" s="1" t="s">
        <v>45</v>
      </c>
      <c r="E120" s="1" t="s">
        <v>19</v>
      </c>
      <c r="F120" s="1"/>
      <c r="G120" s="6" t="s">
        <v>23</v>
      </c>
      <c r="H120" s="7">
        <v>55000</v>
      </c>
      <c r="I120" s="8"/>
      <c r="J120" s="1"/>
    </row>
    <row r="121" spans="1:10" x14ac:dyDescent="0.2">
      <c r="A121" s="5">
        <v>45850</v>
      </c>
      <c r="B121" s="1" t="s">
        <v>1322</v>
      </c>
      <c r="C121" s="1" t="s">
        <v>282</v>
      </c>
      <c r="D121" s="1" t="s">
        <v>196</v>
      </c>
      <c r="E121" s="1" t="s">
        <v>19</v>
      </c>
      <c r="F121" s="1"/>
      <c r="G121" s="6" t="s">
        <v>14</v>
      </c>
      <c r="H121" s="7">
        <v>85000</v>
      </c>
      <c r="I121" s="8">
        <v>18</v>
      </c>
      <c r="J121" s="1"/>
    </row>
    <row r="122" spans="1:10" x14ac:dyDescent="0.2">
      <c r="A122" s="5">
        <v>45850</v>
      </c>
      <c r="B122" s="1" t="s">
        <v>1323</v>
      </c>
      <c r="C122" s="1" t="s">
        <v>247</v>
      </c>
      <c r="D122" s="1" t="s">
        <v>12</v>
      </c>
      <c r="E122" s="1" t="s">
        <v>13</v>
      </c>
      <c r="F122" s="1"/>
      <c r="G122" s="6" t="s">
        <v>14</v>
      </c>
      <c r="H122" s="7">
        <v>85000</v>
      </c>
      <c r="I122" s="8">
        <v>8.5</v>
      </c>
      <c r="J122" s="1"/>
    </row>
    <row r="123" spans="1:10" x14ac:dyDescent="0.2">
      <c r="A123" s="5">
        <v>45850</v>
      </c>
      <c r="B123" s="1" t="s">
        <v>470</v>
      </c>
      <c r="C123" s="1" t="s">
        <v>303</v>
      </c>
      <c r="D123" s="1" t="s">
        <v>101</v>
      </c>
      <c r="E123" s="1" t="s">
        <v>13</v>
      </c>
      <c r="F123" s="1"/>
      <c r="G123" s="6" t="s">
        <v>14</v>
      </c>
      <c r="H123" s="7">
        <v>75000</v>
      </c>
      <c r="I123" s="8"/>
      <c r="J123" s="1"/>
    </row>
    <row r="124" spans="1:10" x14ac:dyDescent="0.2">
      <c r="A124" s="5">
        <v>45850</v>
      </c>
      <c r="B124" s="1" t="s">
        <v>1074</v>
      </c>
      <c r="C124" s="1" t="s">
        <v>1075</v>
      </c>
      <c r="D124" s="1" t="s">
        <v>26</v>
      </c>
      <c r="E124" s="1" t="s">
        <v>13</v>
      </c>
      <c r="F124" s="1"/>
      <c r="G124" s="6" t="s">
        <v>14</v>
      </c>
      <c r="H124" s="7">
        <v>75000</v>
      </c>
      <c r="I124" s="8"/>
      <c r="J124" s="1"/>
    </row>
    <row r="125" spans="1:10" x14ac:dyDescent="0.2">
      <c r="A125" s="5">
        <v>45850</v>
      </c>
      <c r="B125" s="1"/>
      <c r="C125" s="1"/>
      <c r="D125" s="1"/>
      <c r="E125" s="1" t="s">
        <v>61</v>
      </c>
      <c r="F125" s="1"/>
      <c r="G125" s="6" t="s">
        <v>23</v>
      </c>
      <c r="H125" s="7">
        <v>10000</v>
      </c>
      <c r="I125" s="8"/>
      <c r="J125" s="1"/>
    </row>
    <row r="126" spans="1:10" x14ac:dyDescent="0.2">
      <c r="A126" s="5">
        <v>45850</v>
      </c>
      <c r="B126" s="1"/>
      <c r="C126" s="1"/>
      <c r="D126" s="1"/>
      <c r="E126" s="1" t="s">
        <v>61</v>
      </c>
      <c r="F126" s="1"/>
      <c r="G126" s="6" t="s">
        <v>23</v>
      </c>
      <c r="H126" s="7">
        <v>10000</v>
      </c>
      <c r="I126" s="8"/>
      <c r="J126" s="1"/>
    </row>
    <row r="127" spans="1:10" x14ac:dyDescent="0.2">
      <c r="A127" s="5">
        <v>45850</v>
      </c>
      <c r="B127" s="1" t="s">
        <v>1090</v>
      </c>
      <c r="C127" s="1" t="s">
        <v>522</v>
      </c>
      <c r="D127" s="1" t="s">
        <v>64</v>
      </c>
      <c r="E127" s="1" t="s">
        <v>19</v>
      </c>
      <c r="F127" s="1"/>
      <c r="G127" s="6" t="s">
        <v>23</v>
      </c>
      <c r="H127" s="7">
        <v>60000</v>
      </c>
      <c r="I127" s="8"/>
      <c r="J127" s="1"/>
    </row>
    <row r="128" spans="1:10" x14ac:dyDescent="0.2">
      <c r="A128" s="5">
        <v>45852</v>
      </c>
      <c r="B128" s="1" t="s">
        <v>1324</v>
      </c>
      <c r="C128" s="1" t="s">
        <v>249</v>
      </c>
      <c r="D128" s="1" t="s">
        <v>1202</v>
      </c>
      <c r="E128" s="1" t="s">
        <v>19</v>
      </c>
      <c r="F128" s="1"/>
      <c r="G128" s="6" t="s">
        <v>14</v>
      </c>
      <c r="H128" s="7">
        <v>95000</v>
      </c>
      <c r="I128" s="8"/>
      <c r="J128" s="1"/>
    </row>
    <row r="129" spans="1:10" x14ac:dyDescent="0.2">
      <c r="A129" s="5">
        <v>45852</v>
      </c>
      <c r="B129" s="1" t="s">
        <v>1324</v>
      </c>
      <c r="C129" s="1" t="s">
        <v>1201</v>
      </c>
      <c r="D129" s="1" t="s">
        <v>1202</v>
      </c>
      <c r="E129" s="1" t="s">
        <v>19</v>
      </c>
      <c r="F129" s="1"/>
      <c r="G129" s="6" t="s">
        <v>14</v>
      </c>
      <c r="H129" s="7">
        <v>95000</v>
      </c>
      <c r="I129" s="8"/>
      <c r="J129" s="1"/>
    </row>
    <row r="130" spans="1:10" x14ac:dyDescent="0.2">
      <c r="A130" s="5">
        <v>45852</v>
      </c>
      <c r="B130" s="1" t="s">
        <v>1325</v>
      </c>
      <c r="C130" s="1" t="s">
        <v>1326</v>
      </c>
      <c r="D130" s="1"/>
      <c r="E130" s="1"/>
      <c r="F130" s="1"/>
      <c r="G130" s="6"/>
      <c r="H130" s="7">
        <v>80000</v>
      </c>
      <c r="I130" s="8"/>
      <c r="J130" s="1"/>
    </row>
    <row r="131" spans="1:10" x14ac:dyDescent="0.2">
      <c r="A131" s="5">
        <v>45852</v>
      </c>
      <c r="B131" s="1" t="s">
        <v>1325</v>
      </c>
      <c r="C131" s="1" t="s">
        <v>321</v>
      </c>
      <c r="D131" s="1"/>
      <c r="E131" s="1"/>
      <c r="F131" s="1"/>
      <c r="G131" s="6"/>
      <c r="H131" s="7">
        <v>80000</v>
      </c>
      <c r="I131" s="8"/>
      <c r="J131" s="1"/>
    </row>
    <row r="132" spans="1:10" x14ac:dyDescent="0.2">
      <c r="A132" s="5">
        <v>45852</v>
      </c>
      <c r="B132" s="1" t="s">
        <v>1325</v>
      </c>
      <c r="C132" s="1" t="s">
        <v>890</v>
      </c>
      <c r="D132" s="1"/>
      <c r="E132" s="1"/>
      <c r="F132" s="1"/>
      <c r="G132" s="6"/>
      <c r="H132" s="7">
        <v>60000</v>
      </c>
      <c r="I132" s="8"/>
      <c r="J132" s="1"/>
    </row>
    <row r="133" spans="1:10" x14ac:dyDescent="0.2">
      <c r="A133" s="5">
        <v>45852</v>
      </c>
      <c r="B133" s="1" t="s">
        <v>1183</v>
      </c>
      <c r="C133" s="1" t="s">
        <v>282</v>
      </c>
      <c r="D133" s="1" t="s">
        <v>32</v>
      </c>
      <c r="E133" s="1" t="s">
        <v>13</v>
      </c>
      <c r="F133" s="1"/>
      <c r="G133" s="6" t="s">
        <v>14</v>
      </c>
      <c r="H133" s="7">
        <v>10000</v>
      </c>
      <c r="I133" s="8"/>
      <c r="J133" s="1"/>
    </row>
    <row r="134" spans="1:10" x14ac:dyDescent="0.2">
      <c r="A134" s="5">
        <v>45852</v>
      </c>
      <c r="B134" s="1" t="s">
        <v>1327</v>
      </c>
      <c r="C134" s="1" t="s">
        <v>1328</v>
      </c>
      <c r="D134" s="1" t="s">
        <v>1229</v>
      </c>
      <c r="E134" s="1" t="s">
        <v>19</v>
      </c>
      <c r="F134" s="1"/>
      <c r="G134" s="6" t="s">
        <v>23</v>
      </c>
      <c r="H134" s="7">
        <v>30000</v>
      </c>
      <c r="I134" s="8"/>
      <c r="J134" s="1"/>
    </row>
    <row r="135" spans="1:10" x14ac:dyDescent="0.2">
      <c r="A135" s="5">
        <v>45853</v>
      </c>
      <c r="B135" s="1" t="s">
        <v>388</v>
      </c>
      <c r="C135" s="1" t="s">
        <v>389</v>
      </c>
      <c r="D135" s="1" t="s">
        <v>196</v>
      </c>
      <c r="E135" s="1" t="s">
        <v>94</v>
      </c>
      <c r="F135" s="1"/>
      <c r="G135" s="6" t="s">
        <v>14</v>
      </c>
      <c r="H135" s="7">
        <v>85000</v>
      </c>
      <c r="I135" s="8"/>
      <c r="J135" s="1"/>
    </row>
    <row r="136" spans="1:10" x14ac:dyDescent="0.2">
      <c r="A136" s="5">
        <v>45853</v>
      </c>
      <c r="B136" s="1" t="s">
        <v>759</v>
      </c>
      <c r="C136" s="1" t="s">
        <v>760</v>
      </c>
      <c r="D136" s="1" t="s">
        <v>26</v>
      </c>
      <c r="E136" s="1" t="s">
        <v>13</v>
      </c>
      <c r="F136" s="1"/>
      <c r="G136" s="6" t="s">
        <v>14</v>
      </c>
      <c r="H136" s="7">
        <v>90000</v>
      </c>
      <c r="I136" s="8"/>
      <c r="J136" s="1"/>
    </row>
    <row r="137" spans="1:10" x14ac:dyDescent="0.2">
      <c r="A137" s="5">
        <v>45853</v>
      </c>
      <c r="B137" s="1" t="s">
        <v>780</v>
      </c>
      <c r="C137" s="1" t="s">
        <v>46</v>
      </c>
      <c r="D137" s="1" t="s">
        <v>26</v>
      </c>
      <c r="E137" s="1" t="s">
        <v>78</v>
      </c>
      <c r="F137" s="1"/>
      <c r="G137" s="6" t="s">
        <v>14</v>
      </c>
      <c r="H137" s="7">
        <v>70000</v>
      </c>
      <c r="I137" s="8"/>
      <c r="J137" s="1"/>
    </row>
    <row r="138" spans="1:10" x14ac:dyDescent="0.2">
      <c r="A138" s="5">
        <v>45853</v>
      </c>
      <c r="B138" s="1" t="s">
        <v>1329</v>
      </c>
      <c r="C138" s="1" t="s">
        <v>1330</v>
      </c>
      <c r="D138" s="1" t="s">
        <v>222</v>
      </c>
      <c r="E138" s="1" t="s">
        <v>19</v>
      </c>
      <c r="F138" s="1"/>
      <c r="G138" s="6" t="s">
        <v>23</v>
      </c>
      <c r="H138" s="7">
        <v>70000</v>
      </c>
      <c r="I138" s="8"/>
      <c r="J138" s="1"/>
    </row>
    <row r="139" spans="1:10" x14ac:dyDescent="0.2">
      <c r="A139" s="5">
        <v>45853</v>
      </c>
      <c r="B139" s="1" t="s">
        <v>1331</v>
      </c>
      <c r="C139" s="1" t="s">
        <v>946</v>
      </c>
      <c r="D139" s="1" t="s">
        <v>196</v>
      </c>
      <c r="E139" s="1" t="s">
        <v>94</v>
      </c>
      <c r="F139" s="1"/>
      <c r="G139" s="6" t="s">
        <v>14</v>
      </c>
      <c r="H139" s="7">
        <v>90000</v>
      </c>
      <c r="I139" s="8"/>
      <c r="J139" s="1"/>
    </row>
    <row r="140" spans="1:10" x14ac:dyDescent="0.2">
      <c r="A140" s="5">
        <v>45853</v>
      </c>
      <c r="B140" s="1"/>
      <c r="C140" s="1"/>
      <c r="D140" s="1"/>
      <c r="E140" s="1" t="s">
        <v>61</v>
      </c>
      <c r="F140" s="1"/>
      <c r="G140" s="6" t="s">
        <v>23</v>
      </c>
      <c r="H140" s="7">
        <v>10000</v>
      </c>
      <c r="I140" s="8"/>
      <c r="J140" s="1"/>
    </row>
    <row r="141" spans="1:10" x14ac:dyDescent="0.2">
      <c r="A141" s="5">
        <v>45853</v>
      </c>
      <c r="B141" s="1"/>
      <c r="C141" s="1"/>
      <c r="D141" s="1"/>
      <c r="E141" s="1" t="s">
        <v>61</v>
      </c>
      <c r="F141" s="1"/>
      <c r="G141" s="6" t="s">
        <v>14</v>
      </c>
      <c r="H141" s="7">
        <v>10000</v>
      </c>
      <c r="I141" s="8"/>
      <c r="J141" s="1"/>
    </row>
    <row r="142" spans="1:10" x14ac:dyDescent="0.2">
      <c r="A142" s="5">
        <v>45854</v>
      </c>
      <c r="B142" s="1" t="s">
        <v>647</v>
      </c>
      <c r="C142" s="1" t="s">
        <v>1073</v>
      </c>
      <c r="D142" s="1" t="s">
        <v>165</v>
      </c>
      <c r="E142" s="1" t="s">
        <v>13</v>
      </c>
      <c r="F142" s="1"/>
      <c r="G142" s="6" t="s">
        <v>14</v>
      </c>
      <c r="H142" s="7">
        <v>75000</v>
      </c>
      <c r="I142" s="8">
        <v>4.2</v>
      </c>
      <c r="J142" s="1"/>
    </row>
    <row r="143" spans="1:10" x14ac:dyDescent="0.2">
      <c r="A143" s="5">
        <v>45854</v>
      </c>
      <c r="B143" s="1" t="s">
        <v>1332</v>
      </c>
      <c r="C143" s="1" t="s">
        <v>255</v>
      </c>
      <c r="D143" s="1" t="s">
        <v>26</v>
      </c>
      <c r="E143" s="1" t="s">
        <v>13</v>
      </c>
      <c r="F143" s="1" t="s">
        <v>448</v>
      </c>
      <c r="G143" s="6" t="s">
        <v>14</v>
      </c>
      <c r="H143" s="7">
        <v>90000</v>
      </c>
      <c r="I143" s="8"/>
      <c r="J143" s="1"/>
    </row>
    <row r="144" spans="1:10" x14ac:dyDescent="0.2">
      <c r="A144" s="5">
        <v>45854</v>
      </c>
      <c r="B144" s="1" t="s">
        <v>964</v>
      </c>
      <c r="C144" s="1" t="s">
        <v>291</v>
      </c>
      <c r="D144" s="1" t="s">
        <v>26</v>
      </c>
      <c r="E144" s="1" t="s">
        <v>78</v>
      </c>
      <c r="F144" s="1"/>
      <c r="G144" s="6" t="s">
        <v>14</v>
      </c>
      <c r="H144" s="7">
        <v>70000</v>
      </c>
      <c r="I144" s="8"/>
      <c r="J144" s="1"/>
    </row>
    <row r="145" spans="1:10" x14ac:dyDescent="0.2">
      <c r="A145" s="5">
        <v>45854</v>
      </c>
      <c r="B145" s="1" t="s">
        <v>753</v>
      </c>
      <c r="C145" s="1" t="s">
        <v>1333</v>
      </c>
      <c r="D145" s="1" t="s">
        <v>153</v>
      </c>
      <c r="E145" s="1" t="s">
        <v>13</v>
      </c>
      <c r="F145" s="1" t="s">
        <v>448</v>
      </c>
      <c r="G145" s="6" t="s">
        <v>14</v>
      </c>
      <c r="H145" s="7">
        <v>85000</v>
      </c>
      <c r="I145" s="8"/>
      <c r="J145" s="1"/>
    </row>
    <row r="146" spans="1:10" x14ac:dyDescent="0.2">
      <c r="A146" s="5">
        <v>45854</v>
      </c>
      <c r="B146" s="1" t="s">
        <v>1334</v>
      </c>
      <c r="C146" s="1" t="s">
        <v>519</v>
      </c>
      <c r="D146" s="1" t="s">
        <v>26</v>
      </c>
      <c r="E146" s="1" t="s">
        <v>19</v>
      </c>
      <c r="F146" s="1"/>
      <c r="G146" s="6" t="s">
        <v>14</v>
      </c>
      <c r="H146" s="7">
        <v>70000</v>
      </c>
      <c r="I146" s="8"/>
      <c r="J146" s="1"/>
    </row>
    <row r="147" spans="1:10" x14ac:dyDescent="0.2">
      <c r="A147" s="5">
        <v>45854</v>
      </c>
      <c r="B147" s="1" t="s">
        <v>72</v>
      </c>
      <c r="C147" s="1" t="s">
        <v>454</v>
      </c>
      <c r="D147" s="1" t="s">
        <v>58</v>
      </c>
      <c r="E147" s="1" t="s">
        <v>59</v>
      </c>
      <c r="F147" s="1"/>
      <c r="G147" s="6" t="s">
        <v>14</v>
      </c>
      <c r="H147" s="7">
        <v>80000</v>
      </c>
      <c r="I147" s="8"/>
      <c r="J147" s="1"/>
    </row>
    <row r="148" spans="1:10" x14ac:dyDescent="0.2">
      <c r="A148" s="5">
        <v>45854</v>
      </c>
      <c r="B148" s="1" t="s">
        <v>72</v>
      </c>
      <c r="C148" s="1" t="s">
        <v>453</v>
      </c>
      <c r="D148" s="1" t="s">
        <v>58</v>
      </c>
      <c r="E148" s="1" t="s">
        <v>59</v>
      </c>
      <c r="F148" s="1"/>
      <c r="G148" s="6" t="s">
        <v>14</v>
      </c>
      <c r="H148" s="7">
        <v>80000</v>
      </c>
      <c r="I148" s="8"/>
      <c r="J148" s="1"/>
    </row>
    <row r="149" spans="1:10" x14ac:dyDescent="0.2">
      <c r="A149" s="5">
        <v>45854</v>
      </c>
      <c r="B149" s="1" t="s">
        <v>1335</v>
      </c>
      <c r="C149" s="1" t="s">
        <v>1336</v>
      </c>
      <c r="D149" s="1" t="s">
        <v>64</v>
      </c>
      <c r="E149" s="1" t="s">
        <v>19</v>
      </c>
      <c r="F149" s="1"/>
      <c r="G149" s="6" t="s">
        <v>23</v>
      </c>
      <c r="H149" s="7">
        <v>55000</v>
      </c>
      <c r="I149" s="8"/>
      <c r="J149" s="1"/>
    </row>
    <row r="150" spans="1:10" x14ac:dyDescent="0.2">
      <c r="A150" s="5">
        <v>45855</v>
      </c>
      <c r="B150" s="1" t="s">
        <v>27</v>
      </c>
      <c r="C150" s="1" t="s">
        <v>28</v>
      </c>
      <c r="D150" s="1" t="s">
        <v>29</v>
      </c>
      <c r="E150" s="1" t="s">
        <v>19</v>
      </c>
      <c r="F150" s="1"/>
      <c r="G150" s="6" t="s">
        <v>23</v>
      </c>
      <c r="H150" s="7">
        <v>60000</v>
      </c>
      <c r="I150" s="8"/>
      <c r="J150" s="1"/>
    </row>
    <row r="151" spans="1:10" x14ac:dyDescent="0.2">
      <c r="A151" s="5">
        <v>45855</v>
      </c>
      <c r="B151" s="1" t="s">
        <v>1337</v>
      </c>
      <c r="C151" s="1" t="s">
        <v>1338</v>
      </c>
      <c r="D151" s="1" t="s">
        <v>914</v>
      </c>
      <c r="E151" s="1" t="s">
        <v>19</v>
      </c>
      <c r="F151" s="1"/>
      <c r="G151" s="6" t="s">
        <v>23</v>
      </c>
      <c r="H151" s="7">
        <v>55000</v>
      </c>
      <c r="I151" s="8"/>
      <c r="J151" s="1"/>
    </row>
    <row r="152" spans="1:10" x14ac:dyDescent="0.2">
      <c r="A152" s="5">
        <v>45855</v>
      </c>
      <c r="B152" s="1" t="s">
        <v>918</v>
      </c>
      <c r="C152" s="1" t="s">
        <v>919</v>
      </c>
      <c r="D152" s="1" t="s">
        <v>64</v>
      </c>
      <c r="E152" s="1" t="s">
        <v>19</v>
      </c>
      <c r="F152" s="1"/>
      <c r="G152" s="6" t="s">
        <v>23</v>
      </c>
      <c r="H152" s="7">
        <v>70000</v>
      </c>
      <c r="I152" s="8"/>
      <c r="J152" s="1"/>
    </row>
    <row r="153" spans="1:10" x14ac:dyDescent="0.2">
      <c r="A153" s="5">
        <v>45855</v>
      </c>
      <c r="B153" s="1" t="s">
        <v>199</v>
      </c>
      <c r="C153" s="1" t="s">
        <v>398</v>
      </c>
      <c r="D153" s="1" t="s">
        <v>1229</v>
      </c>
      <c r="E153" s="1" t="s">
        <v>19</v>
      </c>
      <c r="F153" s="1"/>
      <c r="G153" s="6" t="s">
        <v>23</v>
      </c>
      <c r="H153" s="7">
        <v>25000</v>
      </c>
      <c r="I153" s="8"/>
      <c r="J153" s="1"/>
    </row>
    <row r="154" spans="1:10" x14ac:dyDescent="0.2">
      <c r="A154" s="5">
        <v>45855</v>
      </c>
      <c r="B154" s="1" t="s">
        <v>1339</v>
      </c>
      <c r="C154" s="1" t="s">
        <v>842</v>
      </c>
      <c r="D154" s="1" t="s">
        <v>119</v>
      </c>
      <c r="E154" s="1" t="s">
        <v>19</v>
      </c>
      <c r="F154" s="1"/>
      <c r="G154" s="6" t="s">
        <v>23</v>
      </c>
      <c r="H154" s="7">
        <v>50000</v>
      </c>
      <c r="I154" s="8"/>
      <c r="J154" s="1"/>
    </row>
    <row r="155" spans="1:10" x14ac:dyDescent="0.2">
      <c r="A155" s="5">
        <v>45855</v>
      </c>
      <c r="B155" s="1" t="s">
        <v>1340</v>
      </c>
      <c r="C155" s="1" t="s">
        <v>1341</v>
      </c>
      <c r="D155" s="1" t="s">
        <v>64</v>
      </c>
      <c r="E155" s="1" t="s">
        <v>13</v>
      </c>
      <c r="F155" s="1"/>
      <c r="G155" s="6" t="s">
        <v>14</v>
      </c>
      <c r="H155" s="7">
        <v>80000</v>
      </c>
      <c r="I155" s="8"/>
      <c r="J155" s="1"/>
    </row>
    <row r="156" spans="1:10" x14ac:dyDescent="0.2">
      <c r="A156" s="5">
        <v>45855</v>
      </c>
      <c r="B156" s="1" t="s">
        <v>436</v>
      </c>
      <c r="C156" s="1" t="s">
        <v>437</v>
      </c>
      <c r="D156" s="1" t="s">
        <v>88</v>
      </c>
      <c r="E156" s="1" t="s">
        <v>19</v>
      </c>
      <c r="F156" s="1" t="s">
        <v>1342</v>
      </c>
      <c r="G156" s="6" t="s">
        <v>14</v>
      </c>
      <c r="H156" s="7">
        <v>110000</v>
      </c>
      <c r="I156" s="8"/>
      <c r="J156" s="1"/>
    </row>
    <row r="157" spans="1:10" x14ac:dyDescent="0.2">
      <c r="A157" s="5">
        <v>45855</v>
      </c>
      <c r="B157" s="1" t="s">
        <v>381</v>
      </c>
      <c r="C157" s="1" t="s">
        <v>382</v>
      </c>
      <c r="D157" s="1" t="s">
        <v>165</v>
      </c>
      <c r="E157" s="1" t="s">
        <v>19</v>
      </c>
      <c r="F157" s="1"/>
      <c r="G157" s="6" t="s">
        <v>14</v>
      </c>
      <c r="H157" s="7">
        <v>65000</v>
      </c>
      <c r="I157" s="8"/>
      <c r="J157" s="1"/>
    </row>
    <row r="158" spans="1:10" x14ac:dyDescent="0.2">
      <c r="A158" s="5">
        <v>45855</v>
      </c>
      <c r="B158" s="1" t="s">
        <v>381</v>
      </c>
      <c r="C158" s="1" t="s">
        <v>385</v>
      </c>
      <c r="D158" s="1" t="s">
        <v>119</v>
      </c>
      <c r="E158" s="1" t="s">
        <v>19</v>
      </c>
      <c r="F158" s="1"/>
      <c r="G158" s="6" t="s">
        <v>23</v>
      </c>
      <c r="H158" s="7">
        <v>50000</v>
      </c>
      <c r="I158" s="8"/>
      <c r="J158" s="1"/>
    </row>
    <row r="159" spans="1:10" x14ac:dyDescent="0.2">
      <c r="A159" s="5">
        <v>45855</v>
      </c>
      <c r="B159" s="1" t="s">
        <v>1343</v>
      </c>
      <c r="C159" s="1" t="s">
        <v>31</v>
      </c>
      <c r="D159" s="1" t="s">
        <v>101</v>
      </c>
      <c r="E159" s="1" t="s">
        <v>13</v>
      </c>
      <c r="F159" s="1"/>
      <c r="G159" s="6" t="s">
        <v>14</v>
      </c>
      <c r="H159" s="7">
        <v>80000</v>
      </c>
      <c r="I159" s="8"/>
      <c r="J159" s="1"/>
    </row>
    <row r="160" spans="1:10" x14ac:dyDescent="0.2">
      <c r="A160" s="5">
        <v>45856</v>
      </c>
      <c r="B160" s="1" t="s">
        <v>1150</v>
      </c>
      <c r="C160" s="1" t="s">
        <v>46</v>
      </c>
      <c r="D160" s="1" t="s">
        <v>88</v>
      </c>
      <c r="E160" s="1" t="s">
        <v>19</v>
      </c>
      <c r="F160" s="1" t="s">
        <v>1010</v>
      </c>
      <c r="G160" s="6" t="s">
        <v>14</v>
      </c>
      <c r="H160" s="7">
        <v>70000</v>
      </c>
      <c r="I160" s="8"/>
      <c r="J160" s="1"/>
    </row>
    <row r="161" spans="1:10" x14ac:dyDescent="0.2">
      <c r="A161" s="5">
        <v>45856</v>
      </c>
      <c r="B161" s="1" t="s">
        <v>785</v>
      </c>
      <c r="C161" s="1" t="s">
        <v>786</v>
      </c>
      <c r="D161" s="1" t="s">
        <v>64</v>
      </c>
      <c r="E161" s="1" t="s">
        <v>19</v>
      </c>
      <c r="F161" s="1"/>
      <c r="G161" s="6" t="s">
        <v>23</v>
      </c>
      <c r="H161" s="7">
        <v>70000</v>
      </c>
      <c r="I161" s="8"/>
      <c r="J161" s="1"/>
    </row>
    <row r="162" spans="1:10" x14ac:dyDescent="0.2">
      <c r="A162" s="5">
        <v>45856</v>
      </c>
      <c r="B162" s="1" t="s">
        <v>1344</v>
      </c>
      <c r="C162" s="1" t="s">
        <v>742</v>
      </c>
      <c r="D162" s="1" t="s">
        <v>64</v>
      </c>
      <c r="E162" s="1" t="s">
        <v>19</v>
      </c>
      <c r="F162" s="1"/>
      <c r="G162" s="6" t="s">
        <v>23</v>
      </c>
      <c r="H162" s="7">
        <v>85000</v>
      </c>
      <c r="I162" s="8"/>
      <c r="J162" s="1"/>
    </row>
    <row r="163" spans="1:10" x14ac:dyDescent="0.2">
      <c r="A163" s="5">
        <v>45856</v>
      </c>
      <c r="B163" s="1" t="s">
        <v>795</v>
      </c>
      <c r="C163" s="1" t="s">
        <v>796</v>
      </c>
      <c r="D163" s="1" t="s">
        <v>18</v>
      </c>
      <c r="E163" s="1" t="s">
        <v>13</v>
      </c>
      <c r="F163" s="1"/>
      <c r="G163" s="6" t="s">
        <v>14</v>
      </c>
      <c r="H163" s="7">
        <v>150000</v>
      </c>
      <c r="I163" s="1"/>
      <c r="J163" s="1"/>
    </row>
    <row r="164" spans="1:10" x14ac:dyDescent="0.2">
      <c r="A164" s="5">
        <v>45856</v>
      </c>
      <c r="B164" s="1" t="s">
        <v>473</v>
      </c>
      <c r="C164" s="1" t="s">
        <v>882</v>
      </c>
      <c r="D164" s="1" t="s">
        <v>88</v>
      </c>
      <c r="E164" s="1" t="s">
        <v>13</v>
      </c>
      <c r="F164" s="1"/>
      <c r="G164" s="6" t="s">
        <v>14</v>
      </c>
      <c r="H164" s="7">
        <v>85000</v>
      </c>
      <c r="I164" s="8"/>
      <c r="J164" s="1"/>
    </row>
    <row r="165" spans="1:10" x14ac:dyDescent="0.2">
      <c r="A165" s="5">
        <v>45856</v>
      </c>
      <c r="B165" s="1" t="s">
        <v>1345</v>
      </c>
      <c r="C165" s="1" t="s">
        <v>712</v>
      </c>
      <c r="D165" s="1" t="s">
        <v>18</v>
      </c>
      <c r="E165" s="1" t="s">
        <v>13</v>
      </c>
      <c r="F165" s="1"/>
      <c r="G165" s="6" t="s">
        <v>14</v>
      </c>
      <c r="H165" s="7">
        <v>75000</v>
      </c>
      <c r="I165" s="8"/>
      <c r="J165" s="1"/>
    </row>
    <row r="166" spans="1:10" x14ac:dyDescent="0.2">
      <c r="A166" s="5">
        <v>45857</v>
      </c>
      <c r="B166" s="1" t="s">
        <v>972</v>
      </c>
      <c r="C166" s="1" t="s">
        <v>173</v>
      </c>
      <c r="D166" s="1" t="s">
        <v>64</v>
      </c>
      <c r="E166" s="1" t="s">
        <v>19</v>
      </c>
      <c r="F166" s="1"/>
      <c r="G166" s="6" t="s">
        <v>14</v>
      </c>
      <c r="H166" s="7">
        <v>70000</v>
      </c>
      <c r="I166" s="8"/>
      <c r="J166" s="1"/>
    </row>
    <row r="167" spans="1:10" x14ac:dyDescent="0.2">
      <c r="A167" s="5">
        <v>45857</v>
      </c>
      <c r="B167" s="1" t="s">
        <v>72</v>
      </c>
      <c r="C167" s="1" t="s">
        <v>454</v>
      </c>
      <c r="D167" s="1" t="s">
        <v>58</v>
      </c>
      <c r="E167" s="1" t="s">
        <v>59</v>
      </c>
      <c r="F167" s="1"/>
      <c r="G167" s="6" t="s">
        <v>14</v>
      </c>
      <c r="H167" s="7">
        <v>80000</v>
      </c>
      <c r="I167" s="8"/>
      <c r="J167" s="1"/>
    </row>
    <row r="168" spans="1:10" x14ac:dyDescent="0.2">
      <c r="A168" s="5">
        <v>45857</v>
      </c>
      <c r="B168" s="1" t="s">
        <v>1346</v>
      </c>
      <c r="C168" s="1" t="s">
        <v>384</v>
      </c>
      <c r="D168" s="1" t="s">
        <v>32</v>
      </c>
      <c r="E168" s="1" t="s">
        <v>13</v>
      </c>
      <c r="F168" s="1"/>
      <c r="G168" s="6" t="s">
        <v>14</v>
      </c>
      <c r="H168" s="7">
        <v>80000</v>
      </c>
      <c r="I168" s="8"/>
      <c r="J168" s="1"/>
    </row>
    <row r="169" spans="1:10" x14ac:dyDescent="0.2">
      <c r="A169" s="5">
        <v>45857</v>
      </c>
      <c r="B169" s="1" t="s">
        <v>1174</v>
      </c>
      <c r="C169" s="1" t="s">
        <v>558</v>
      </c>
      <c r="D169" s="1" t="s">
        <v>119</v>
      </c>
      <c r="E169" s="1" t="s">
        <v>19</v>
      </c>
      <c r="F169" s="1"/>
      <c r="G169" s="6" t="s">
        <v>23</v>
      </c>
      <c r="H169" s="7">
        <v>50000</v>
      </c>
      <c r="I169" s="8"/>
      <c r="J169" s="1"/>
    </row>
    <row r="170" spans="1:10" x14ac:dyDescent="0.2">
      <c r="A170" s="5">
        <v>45857</v>
      </c>
      <c r="B170" s="1" t="s">
        <v>35</v>
      </c>
      <c r="C170" s="1" t="s">
        <v>36</v>
      </c>
      <c r="D170" s="1" t="s">
        <v>18</v>
      </c>
      <c r="E170" s="1" t="s">
        <v>19</v>
      </c>
      <c r="F170" s="1"/>
      <c r="G170" s="6" t="s">
        <v>14</v>
      </c>
      <c r="H170" s="7"/>
      <c r="I170" s="8"/>
      <c r="J170" s="1"/>
    </row>
    <row r="171" spans="1:10" x14ac:dyDescent="0.2">
      <c r="A171" s="5">
        <v>45857</v>
      </c>
      <c r="B171" s="1" t="s">
        <v>725</v>
      </c>
      <c r="C171" s="1" t="s">
        <v>168</v>
      </c>
      <c r="D171" s="1" t="s">
        <v>196</v>
      </c>
      <c r="E171" s="1" t="s">
        <v>94</v>
      </c>
      <c r="F171" s="1"/>
      <c r="G171" s="6" t="s">
        <v>14</v>
      </c>
      <c r="H171" s="7">
        <v>85000</v>
      </c>
      <c r="I171" s="8"/>
      <c r="J171" s="1"/>
    </row>
    <row r="172" spans="1:10" x14ac:dyDescent="0.2">
      <c r="A172" s="5">
        <v>45857</v>
      </c>
      <c r="B172" s="1" t="s">
        <v>809</v>
      </c>
      <c r="C172" s="1" t="s">
        <v>21</v>
      </c>
      <c r="D172" s="1" t="s">
        <v>18</v>
      </c>
      <c r="E172" s="1" t="s">
        <v>13</v>
      </c>
      <c r="F172" s="1"/>
      <c r="G172" s="6" t="s">
        <v>14</v>
      </c>
      <c r="H172" s="7">
        <v>70000</v>
      </c>
      <c r="I172" s="1"/>
      <c r="J172" s="1"/>
    </row>
    <row r="173" spans="1:10" x14ac:dyDescent="0.2">
      <c r="A173" s="5">
        <v>45857</v>
      </c>
      <c r="B173" s="1" t="s">
        <v>875</v>
      </c>
      <c r="C173" s="1" t="s">
        <v>245</v>
      </c>
      <c r="D173" s="1" t="s">
        <v>26</v>
      </c>
      <c r="E173" s="1" t="s">
        <v>13</v>
      </c>
      <c r="F173" s="1"/>
      <c r="G173" s="6" t="s">
        <v>14</v>
      </c>
      <c r="H173" s="7">
        <v>90000</v>
      </c>
      <c r="I173" s="8"/>
      <c r="J173" s="1"/>
    </row>
    <row r="174" spans="1:10" x14ac:dyDescent="0.2">
      <c r="A174" s="5">
        <v>45857</v>
      </c>
      <c r="B174" s="1" t="s">
        <v>875</v>
      </c>
      <c r="C174" s="1" t="s">
        <v>1347</v>
      </c>
      <c r="D174" s="1" t="s">
        <v>1229</v>
      </c>
      <c r="E174" s="1" t="s">
        <v>19</v>
      </c>
      <c r="F174" s="1"/>
      <c r="G174" s="6" t="s">
        <v>23</v>
      </c>
      <c r="H174" s="7">
        <v>30000</v>
      </c>
      <c r="I174" s="8"/>
      <c r="J174" s="1"/>
    </row>
    <row r="175" spans="1:10" x14ac:dyDescent="0.2">
      <c r="A175" s="5">
        <v>45857</v>
      </c>
      <c r="B175" s="1" t="s">
        <v>1348</v>
      </c>
      <c r="C175" s="1" t="s">
        <v>444</v>
      </c>
      <c r="D175" s="1" t="s">
        <v>12</v>
      </c>
      <c r="E175" s="1" t="s">
        <v>13</v>
      </c>
      <c r="F175" s="1"/>
      <c r="G175" s="6" t="s">
        <v>14</v>
      </c>
      <c r="H175" s="7">
        <v>85000</v>
      </c>
      <c r="I175" s="8"/>
      <c r="J175" s="1"/>
    </row>
    <row r="176" spans="1:10" x14ac:dyDescent="0.2">
      <c r="A176" s="5">
        <v>45857</v>
      </c>
      <c r="B176" s="1" t="s">
        <v>1349</v>
      </c>
      <c r="C176" s="1" t="s">
        <v>1350</v>
      </c>
      <c r="D176" s="1" t="s">
        <v>112</v>
      </c>
      <c r="E176" s="1" t="s">
        <v>13</v>
      </c>
      <c r="F176" s="1"/>
      <c r="G176" s="6" t="s">
        <v>14</v>
      </c>
      <c r="H176" s="7">
        <v>85000</v>
      </c>
      <c r="I176" s="8"/>
      <c r="J176" s="1"/>
    </row>
    <row r="177" spans="1:10" x14ac:dyDescent="0.2">
      <c r="A177" s="5">
        <v>45859</v>
      </c>
      <c r="B177" s="1" t="s">
        <v>1351</v>
      </c>
      <c r="C177" s="1" t="s">
        <v>180</v>
      </c>
      <c r="D177" s="1" t="s">
        <v>18</v>
      </c>
      <c r="E177" s="1" t="s">
        <v>19</v>
      </c>
      <c r="F177" s="1"/>
      <c r="G177" s="6" t="s">
        <v>14</v>
      </c>
      <c r="H177" s="7">
        <v>80000</v>
      </c>
      <c r="I177" s="8"/>
      <c r="J177" s="1"/>
    </row>
    <row r="178" spans="1:10" x14ac:dyDescent="0.2">
      <c r="A178" s="5">
        <v>45859</v>
      </c>
      <c r="B178" s="1" t="s">
        <v>16</v>
      </c>
      <c r="C178" s="1" t="s">
        <v>17</v>
      </c>
      <c r="D178" s="1" t="s">
        <v>18</v>
      </c>
      <c r="E178" s="1" t="s">
        <v>19</v>
      </c>
      <c r="F178" s="1"/>
      <c r="G178" s="6" t="s">
        <v>14</v>
      </c>
      <c r="H178" s="7">
        <v>50000</v>
      </c>
      <c r="I178" s="8"/>
      <c r="J178" s="1"/>
    </row>
    <row r="179" spans="1:10" x14ac:dyDescent="0.2">
      <c r="A179" s="5">
        <v>45859</v>
      </c>
      <c r="B179" s="1" t="s">
        <v>837</v>
      </c>
      <c r="C179" s="1" t="s">
        <v>282</v>
      </c>
      <c r="D179" s="1" t="s">
        <v>307</v>
      </c>
      <c r="E179" s="1" t="s">
        <v>94</v>
      </c>
      <c r="F179" s="1"/>
      <c r="G179" s="6" t="s">
        <v>14</v>
      </c>
      <c r="H179" s="7">
        <v>90000</v>
      </c>
      <c r="I179" s="1"/>
      <c r="J179" s="1"/>
    </row>
    <row r="180" spans="1:10" x14ac:dyDescent="0.2">
      <c r="A180" s="5">
        <v>45859</v>
      </c>
      <c r="B180" s="1" t="s">
        <v>1220</v>
      </c>
      <c r="C180" s="1" t="s">
        <v>1221</v>
      </c>
      <c r="D180" s="1" t="s">
        <v>101</v>
      </c>
      <c r="E180" s="1" t="s">
        <v>19</v>
      </c>
      <c r="F180" s="1"/>
      <c r="G180" s="6" t="s">
        <v>14</v>
      </c>
      <c r="H180" s="7">
        <v>65000</v>
      </c>
      <c r="I180" s="8"/>
      <c r="J180" s="1"/>
    </row>
    <row r="181" spans="1:10" x14ac:dyDescent="0.2">
      <c r="A181" s="5">
        <v>45859</v>
      </c>
      <c r="B181" s="1" t="s">
        <v>899</v>
      </c>
      <c r="C181" s="1" t="s">
        <v>695</v>
      </c>
      <c r="D181" s="1" t="s">
        <v>131</v>
      </c>
      <c r="E181" s="1" t="s">
        <v>19</v>
      </c>
      <c r="F181" s="1"/>
      <c r="G181" s="6" t="s">
        <v>14</v>
      </c>
      <c r="H181" s="7">
        <v>85000</v>
      </c>
      <c r="I181" s="8"/>
      <c r="J181" s="1"/>
    </row>
    <row r="182" spans="1:10" x14ac:dyDescent="0.2">
      <c r="A182" s="5">
        <v>45859</v>
      </c>
      <c r="B182" s="1" t="s">
        <v>1324</v>
      </c>
      <c r="C182" s="1" t="s">
        <v>1240</v>
      </c>
      <c r="D182" s="1" t="s">
        <v>88</v>
      </c>
      <c r="E182" s="1" t="s">
        <v>19</v>
      </c>
      <c r="F182" s="1"/>
      <c r="G182" s="6" t="s">
        <v>14</v>
      </c>
      <c r="H182" s="7">
        <v>70000</v>
      </c>
      <c r="I182" s="8"/>
      <c r="J182" s="1"/>
    </row>
    <row r="183" spans="1:10" x14ac:dyDescent="0.2">
      <c r="A183" s="5">
        <v>45859</v>
      </c>
      <c r="B183" s="1" t="s">
        <v>1352</v>
      </c>
      <c r="C183" s="1" t="s">
        <v>742</v>
      </c>
      <c r="D183" s="1" t="s">
        <v>64</v>
      </c>
      <c r="E183" s="1" t="s">
        <v>19</v>
      </c>
      <c r="F183" s="1"/>
      <c r="G183" s="6" t="s">
        <v>23</v>
      </c>
      <c r="H183" s="7">
        <v>65000</v>
      </c>
      <c r="I183" s="8"/>
      <c r="J183" s="1"/>
    </row>
    <row r="184" spans="1:10" x14ac:dyDescent="0.2">
      <c r="A184" s="5">
        <v>45860</v>
      </c>
      <c r="B184" s="1" t="s">
        <v>1353</v>
      </c>
      <c r="C184" s="1" t="s">
        <v>910</v>
      </c>
      <c r="D184" s="1" t="s">
        <v>26</v>
      </c>
      <c r="E184" s="1" t="s">
        <v>19</v>
      </c>
      <c r="F184" s="1"/>
      <c r="G184" s="6" t="s">
        <v>14</v>
      </c>
      <c r="H184" s="7">
        <v>85000</v>
      </c>
      <c r="I184" s="8"/>
      <c r="J184" s="1"/>
    </row>
    <row r="185" spans="1:10" x14ac:dyDescent="0.2">
      <c r="A185" s="5">
        <v>45860</v>
      </c>
      <c r="B185" s="1" t="s">
        <v>1353</v>
      </c>
      <c r="C185" s="1" t="s">
        <v>637</v>
      </c>
      <c r="D185" s="1" t="s">
        <v>26</v>
      </c>
      <c r="E185" s="1" t="s">
        <v>19</v>
      </c>
      <c r="F185" s="1"/>
      <c r="G185" s="6" t="s">
        <v>14</v>
      </c>
      <c r="H185" s="7">
        <v>85000</v>
      </c>
      <c r="I185" s="8"/>
      <c r="J185" s="1"/>
    </row>
    <row r="186" spans="1:10" x14ac:dyDescent="0.2">
      <c r="A186" s="5">
        <v>45860</v>
      </c>
      <c r="B186" s="1" t="s">
        <v>154</v>
      </c>
      <c r="C186" s="1" t="s">
        <v>667</v>
      </c>
      <c r="D186" s="1" t="s">
        <v>26</v>
      </c>
      <c r="E186" s="1" t="s">
        <v>13</v>
      </c>
      <c r="F186" s="1"/>
      <c r="G186" s="6" t="s">
        <v>14</v>
      </c>
      <c r="H186" s="7">
        <v>75000</v>
      </c>
      <c r="I186" s="8"/>
      <c r="J186" s="1"/>
    </row>
    <row r="187" spans="1:10" x14ac:dyDescent="0.2">
      <c r="A187" s="5">
        <v>45860</v>
      </c>
      <c r="B187" s="1" t="s">
        <v>1354</v>
      </c>
      <c r="C187" s="1" t="s">
        <v>450</v>
      </c>
      <c r="D187" s="1" t="s">
        <v>64</v>
      </c>
      <c r="E187" s="1" t="s">
        <v>19</v>
      </c>
      <c r="F187" s="1"/>
      <c r="G187" s="6" t="s">
        <v>23</v>
      </c>
      <c r="H187" s="7">
        <v>40000</v>
      </c>
      <c r="I187" s="8"/>
      <c r="J187" s="1"/>
    </row>
    <row r="188" spans="1:10" x14ac:dyDescent="0.2">
      <c r="A188" s="5">
        <v>45860</v>
      </c>
      <c r="B188" s="1" t="s">
        <v>973</v>
      </c>
      <c r="C188" s="1" t="s">
        <v>264</v>
      </c>
      <c r="D188" s="1" t="s">
        <v>119</v>
      </c>
      <c r="E188" s="1" t="s">
        <v>19</v>
      </c>
      <c r="F188" s="1"/>
      <c r="G188" s="6" t="s">
        <v>23</v>
      </c>
      <c r="H188" s="7">
        <v>55000</v>
      </c>
      <c r="I188" s="8"/>
      <c r="J188" s="1"/>
    </row>
    <row r="189" spans="1:10" x14ac:dyDescent="0.2">
      <c r="A189" s="5">
        <v>45860</v>
      </c>
      <c r="B189" s="1" t="s">
        <v>973</v>
      </c>
      <c r="C189" s="1" t="s">
        <v>1355</v>
      </c>
      <c r="D189" s="1" t="s">
        <v>119</v>
      </c>
      <c r="E189" s="1" t="s">
        <v>19</v>
      </c>
      <c r="F189" s="1"/>
      <c r="G189" s="6" t="s">
        <v>23</v>
      </c>
      <c r="H189" s="7">
        <v>55000</v>
      </c>
      <c r="I189" s="8"/>
      <c r="J189" s="1"/>
    </row>
    <row r="190" spans="1:10" x14ac:dyDescent="0.2">
      <c r="A190" s="5">
        <v>45861</v>
      </c>
      <c r="B190" s="1" t="s">
        <v>194</v>
      </c>
      <c r="C190" s="1" t="s">
        <v>195</v>
      </c>
      <c r="D190" s="1" t="s">
        <v>196</v>
      </c>
      <c r="E190" s="1" t="s">
        <v>94</v>
      </c>
      <c r="F190" s="1"/>
      <c r="G190" s="6" t="s">
        <v>14</v>
      </c>
      <c r="H190" s="7">
        <v>90000</v>
      </c>
      <c r="I190" s="8">
        <v>33.799999999999997</v>
      </c>
      <c r="J190" s="1"/>
    </row>
    <row r="191" spans="1:10" x14ac:dyDescent="0.2">
      <c r="A191" s="5">
        <v>45861</v>
      </c>
      <c r="B191" s="1" t="s">
        <v>513</v>
      </c>
      <c r="C191" s="1" t="s">
        <v>514</v>
      </c>
      <c r="D191" s="1" t="s">
        <v>45</v>
      </c>
      <c r="E191" s="1" t="s">
        <v>19</v>
      </c>
      <c r="F191" s="1"/>
      <c r="G191" s="6" t="s">
        <v>23</v>
      </c>
      <c r="H191" s="7">
        <v>55000</v>
      </c>
      <c r="I191" s="8"/>
      <c r="J191" s="1"/>
    </row>
    <row r="192" spans="1:10" x14ac:dyDescent="0.2">
      <c r="A192" s="5">
        <v>45861</v>
      </c>
      <c r="B192" s="10" t="s">
        <v>1356</v>
      </c>
      <c r="C192" s="1" t="s">
        <v>582</v>
      </c>
      <c r="D192" s="1" t="s">
        <v>131</v>
      </c>
      <c r="E192" s="1" t="s">
        <v>19</v>
      </c>
      <c r="F192" s="1"/>
      <c r="G192" s="6" t="s">
        <v>14</v>
      </c>
      <c r="H192" s="7">
        <v>85000</v>
      </c>
      <c r="I192" s="8"/>
      <c r="J192" s="1"/>
    </row>
    <row r="193" spans="1:10" x14ac:dyDescent="0.2">
      <c r="A193" s="5">
        <v>45861</v>
      </c>
      <c r="B193" s="1" t="s">
        <v>481</v>
      </c>
      <c r="C193" s="1" t="s">
        <v>482</v>
      </c>
      <c r="D193" s="1" t="s">
        <v>371</v>
      </c>
      <c r="E193" s="1" t="s">
        <v>19</v>
      </c>
      <c r="F193" s="1"/>
      <c r="G193" s="6" t="s">
        <v>23</v>
      </c>
      <c r="H193" s="7">
        <v>60000</v>
      </c>
      <c r="I193" s="8">
        <v>41</v>
      </c>
      <c r="J193" s="1"/>
    </row>
    <row r="194" spans="1:10" x14ac:dyDescent="0.2">
      <c r="A194" s="5">
        <v>45861</v>
      </c>
      <c r="B194" s="1" t="s">
        <v>1357</v>
      </c>
      <c r="C194" s="1" t="s">
        <v>811</v>
      </c>
      <c r="D194" s="1" t="s">
        <v>494</v>
      </c>
      <c r="E194" s="1" t="s">
        <v>828</v>
      </c>
      <c r="F194" s="1"/>
      <c r="G194" s="6" t="s">
        <v>14</v>
      </c>
      <c r="H194" s="7">
        <v>55000</v>
      </c>
      <c r="I194" s="8"/>
      <c r="J194" s="1"/>
    </row>
    <row r="195" spans="1:10" x14ac:dyDescent="0.2">
      <c r="A195" s="5">
        <v>45862</v>
      </c>
      <c r="B195" s="1" t="s">
        <v>200</v>
      </c>
      <c r="C195" s="1" t="s">
        <v>201</v>
      </c>
      <c r="D195" s="1" t="s">
        <v>26</v>
      </c>
      <c r="E195" s="1" t="s">
        <v>13</v>
      </c>
      <c r="F195" s="1"/>
      <c r="G195" s="6" t="s">
        <v>14</v>
      </c>
      <c r="H195" s="7">
        <v>85000</v>
      </c>
      <c r="I195" s="8">
        <v>7.3</v>
      </c>
      <c r="J195" s="1"/>
    </row>
    <row r="196" spans="1:10" x14ac:dyDescent="0.2">
      <c r="A196" s="5">
        <v>45862</v>
      </c>
      <c r="B196" s="1" t="s">
        <v>1358</v>
      </c>
      <c r="C196" s="1" t="s">
        <v>1359</v>
      </c>
      <c r="D196" s="1" t="s">
        <v>119</v>
      </c>
      <c r="E196" s="1" t="s">
        <v>19</v>
      </c>
      <c r="F196" s="1"/>
      <c r="G196" s="6" t="s">
        <v>23</v>
      </c>
      <c r="H196" s="7">
        <v>55000</v>
      </c>
      <c r="I196" s="8"/>
      <c r="J196" s="1"/>
    </row>
    <row r="197" spans="1:10" x14ac:dyDescent="0.2">
      <c r="A197" s="5">
        <v>45862</v>
      </c>
      <c r="B197" s="1" t="s">
        <v>1360</v>
      </c>
      <c r="C197" s="1" t="s">
        <v>825</v>
      </c>
      <c r="D197" s="1" t="s">
        <v>914</v>
      </c>
      <c r="E197" s="1" t="s">
        <v>19</v>
      </c>
      <c r="F197" s="1"/>
      <c r="G197" s="6" t="s">
        <v>23</v>
      </c>
      <c r="H197" s="7">
        <v>75000</v>
      </c>
      <c r="I197" s="8"/>
      <c r="J197" s="1"/>
    </row>
    <row r="198" spans="1:10" x14ac:dyDescent="0.2">
      <c r="A198" s="5">
        <v>45862</v>
      </c>
      <c r="B198" s="1" t="s">
        <v>1360</v>
      </c>
      <c r="C198" s="1" t="s">
        <v>1361</v>
      </c>
      <c r="D198" s="1" t="s">
        <v>119</v>
      </c>
      <c r="E198" s="1" t="s">
        <v>19</v>
      </c>
      <c r="F198" s="1"/>
      <c r="G198" s="6" t="s">
        <v>23</v>
      </c>
      <c r="H198" s="7">
        <v>55000</v>
      </c>
      <c r="I198" s="8"/>
      <c r="J198" s="1"/>
    </row>
    <row r="199" spans="1:10" x14ac:dyDescent="0.2">
      <c r="A199" s="5">
        <v>45862</v>
      </c>
      <c r="B199" s="1" t="s">
        <v>436</v>
      </c>
      <c r="C199" s="1" t="s">
        <v>437</v>
      </c>
      <c r="D199" s="1" t="s">
        <v>88</v>
      </c>
      <c r="E199" s="1" t="s">
        <v>792</v>
      </c>
      <c r="F199" s="1"/>
      <c r="G199" s="6" t="s">
        <v>14</v>
      </c>
      <c r="H199" s="7">
        <v>50000</v>
      </c>
      <c r="I199" s="8"/>
      <c r="J199" s="1"/>
    </row>
    <row r="200" spans="1:10" x14ac:dyDescent="0.2">
      <c r="A200" s="5">
        <v>45862</v>
      </c>
      <c r="B200" s="1" t="s">
        <v>263</v>
      </c>
      <c r="C200" s="1" t="s">
        <v>264</v>
      </c>
      <c r="D200" s="1" t="s">
        <v>88</v>
      </c>
      <c r="E200" s="1" t="s">
        <v>13</v>
      </c>
      <c r="F200" s="1"/>
      <c r="G200" s="6" t="s">
        <v>14</v>
      </c>
      <c r="H200" s="7">
        <v>140000</v>
      </c>
      <c r="I200" s="8"/>
      <c r="J200" s="1"/>
    </row>
    <row r="201" spans="1:10" x14ac:dyDescent="0.2">
      <c r="A201" s="5">
        <v>45862</v>
      </c>
      <c r="B201" s="1" t="s">
        <v>1362</v>
      </c>
      <c r="C201" s="1" t="s">
        <v>1363</v>
      </c>
      <c r="D201" s="1" t="s">
        <v>119</v>
      </c>
      <c r="E201" s="1" t="s">
        <v>19</v>
      </c>
      <c r="F201" s="1"/>
      <c r="G201" s="6" t="s">
        <v>23</v>
      </c>
      <c r="H201" s="7">
        <v>60000</v>
      </c>
      <c r="I201" s="8">
        <v>12.6</v>
      </c>
      <c r="J201" s="1"/>
    </row>
    <row r="202" spans="1:10" x14ac:dyDescent="0.2">
      <c r="A202" s="5">
        <v>45863</v>
      </c>
      <c r="B202" s="1" t="s">
        <v>267</v>
      </c>
      <c r="C202" s="1" t="s">
        <v>268</v>
      </c>
      <c r="D202" s="1" t="s">
        <v>165</v>
      </c>
      <c r="E202" s="1" t="s">
        <v>13</v>
      </c>
      <c r="F202" s="1"/>
      <c r="G202" s="6" t="s">
        <v>14</v>
      </c>
      <c r="H202" s="7">
        <v>80000</v>
      </c>
      <c r="I202" s="8">
        <v>3.7</v>
      </c>
      <c r="J202" s="1"/>
    </row>
    <row r="203" spans="1:10" x14ac:dyDescent="0.2">
      <c r="A203" s="5">
        <v>45863</v>
      </c>
      <c r="B203" s="1" t="s">
        <v>515</v>
      </c>
      <c r="C203" s="1" t="s">
        <v>516</v>
      </c>
      <c r="D203" s="1" t="s">
        <v>834</v>
      </c>
      <c r="E203" s="1" t="s">
        <v>13</v>
      </c>
      <c r="F203" s="1"/>
      <c r="G203" s="6" t="s">
        <v>14</v>
      </c>
      <c r="H203" s="7">
        <v>72000</v>
      </c>
      <c r="I203" s="8">
        <v>25.4</v>
      </c>
      <c r="J203" s="1"/>
    </row>
    <row r="204" spans="1:10" x14ac:dyDescent="0.2">
      <c r="A204" s="5">
        <v>45863</v>
      </c>
      <c r="B204" s="1" t="s">
        <v>1183</v>
      </c>
      <c r="C204" s="1" t="s">
        <v>282</v>
      </c>
      <c r="D204" s="1" t="s">
        <v>32</v>
      </c>
      <c r="E204" s="1" t="s">
        <v>19</v>
      </c>
      <c r="F204" s="1"/>
      <c r="G204" s="6" t="s">
        <v>14</v>
      </c>
      <c r="H204" s="7">
        <v>25000</v>
      </c>
      <c r="I204" s="8"/>
      <c r="J204" s="1"/>
    </row>
    <row r="205" spans="1:10" x14ac:dyDescent="0.2">
      <c r="A205" s="5">
        <v>45863</v>
      </c>
      <c r="B205" s="1" t="s">
        <v>1364</v>
      </c>
      <c r="C205" s="1" t="s">
        <v>1365</v>
      </c>
      <c r="D205" s="1" t="s">
        <v>32</v>
      </c>
      <c r="E205" s="1" t="s">
        <v>181</v>
      </c>
      <c r="F205" s="1"/>
      <c r="G205" s="6" t="s">
        <v>14</v>
      </c>
      <c r="H205" s="7">
        <v>90000</v>
      </c>
      <c r="I205" s="8">
        <v>8.9</v>
      </c>
      <c r="J205" s="1"/>
    </row>
    <row r="206" spans="1:10" x14ac:dyDescent="0.2">
      <c r="A206" s="5">
        <v>45863</v>
      </c>
      <c r="B206" s="1" t="s">
        <v>1366</v>
      </c>
      <c r="C206" s="1" t="s">
        <v>1135</v>
      </c>
      <c r="D206" s="1" t="s">
        <v>196</v>
      </c>
      <c r="E206" s="1" t="s">
        <v>19</v>
      </c>
      <c r="F206" s="1"/>
      <c r="G206" s="6" t="s">
        <v>14</v>
      </c>
      <c r="H206" s="7">
        <v>90000</v>
      </c>
      <c r="I206" s="8">
        <v>27.7</v>
      </c>
      <c r="J206" s="1"/>
    </row>
    <row r="207" spans="1:10" x14ac:dyDescent="0.2">
      <c r="A207" s="5">
        <v>45863</v>
      </c>
      <c r="B207" s="1" t="s">
        <v>1222</v>
      </c>
      <c r="C207" s="1" t="s">
        <v>440</v>
      </c>
      <c r="D207" s="1" t="s">
        <v>88</v>
      </c>
      <c r="E207" s="1" t="s">
        <v>13</v>
      </c>
      <c r="F207" s="1"/>
      <c r="G207" s="6" t="s">
        <v>14</v>
      </c>
      <c r="H207" s="7">
        <v>70000</v>
      </c>
      <c r="I207" s="8">
        <v>3.6</v>
      </c>
      <c r="J207" s="1"/>
    </row>
    <row r="208" spans="1:10" x14ac:dyDescent="0.2">
      <c r="A208" s="5">
        <v>45863</v>
      </c>
      <c r="B208" s="1" t="s">
        <v>1222</v>
      </c>
      <c r="C208" s="1" t="s">
        <v>330</v>
      </c>
      <c r="D208" s="1" t="s">
        <v>88</v>
      </c>
      <c r="E208" s="1" t="s">
        <v>13</v>
      </c>
      <c r="F208" s="1"/>
      <c r="G208" s="6" t="s">
        <v>14</v>
      </c>
      <c r="H208" s="7">
        <v>70000</v>
      </c>
      <c r="I208" s="8">
        <v>6.4</v>
      </c>
      <c r="J208" s="1"/>
    </row>
    <row r="209" spans="1:10" x14ac:dyDescent="0.2">
      <c r="A209" s="5">
        <v>45863</v>
      </c>
      <c r="B209" s="1" t="s">
        <v>1367</v>
      </c>
      <c r="C209" s="1" t="s">
        <v>1368</v>
      </c>
      <c r="D209" s="1" t="s">
        <v>22</v>
      </c>
      <c r="E209" s="1" t="s">
        <v>19</v>
      </c>
      <c r="F209" s="1"/>
      <c r="G209" s="6" t="s">
        <v>23</v>
      </c>
      <c r="H209" s="7">
        <v>55000</v>
      </c>
      <c r="I209" s="8"/>
      <c r="J209" s="1"/>
    </row>
    <row r="210" spans="1:10" x14ac:dyDescent="0.2">
      <c r="A210" s="5">
        <v>45863</v>
      </c>
      <c r="B210" s="1" t="s">
        <v>1092</v>
      </c>
      <c r="C210" s="1" t="s">
        <v>526</v>
      </c>
      <c r="D210" s="1" t="s">
        <v>22</v>
      </c>
      <c r="E210" s="1" t="s">
        <v>19</v>
      </c>
      <c r="F210" s="1"/>
      <c r="G210" s="6" t="s">
        <v>23</v>
      </c>
      <c r="H210" s="7">
        <v>55000</v>
      </c>
      <c r="I210" s="8">
        <v>9</v>
      </c>
      <c r="J210" s="1"/>
    </row>
    <row r="211" spans="1:10" x14ac:dyDescent="0.2">
      <c r="A211" s="5">
        <v>45863</v>
      </c>
      <c r="B211" s="1" t="s">
        <v>1369</v>
      </c>
      <c r="C211" s="1" t="s">
        <v>1244</v>
      </c>
      <c r="D211" s="1" t="s">
        <v>119</v>
      </c>
      <c r="E211" s="1" t="s">
        <v>19</v>
      </c>
      <c r="F211" s="1"/>
      <c r="G211" s="6" t="s">
        <v>23</v>
      </c>
      <c r="H211" s="7">
        <v>55000</v>
      </c>
      <c r="I211" s="8">
        <v>13.4</v>
      </c>
      <c r="J211" s="1"/>
    </row>
    <row r="212" spans="1:10" x14ac:dyDescent="0.2">
      <c r="A212" s="5">
        <v>45864</v>
      </c>
      <c r="B212" s="1" t="s">
        <v>700</v>
      </c>
      <c r="C212" s="1" t="s">
        <v>41</v>
      </c>
      <c r="D212" s="1" t="s">
        <v>64</v>
      </c>
      <c r="E212" s="1" t="s">
        <v>13</v>
      </c>
      <c r="F212" s="1"/>
      <c r="G212" s="6" t="s">
        <v>14</v>
      </c>
      <c r="H212" s="7">
        <v>90000</v>
      </c>
      <c r="I212" s="8">
        <v>3.6</v>
      </c>
      <c r="J212" s="1"/>
    </row>
    <row r="213" spans="1:10" x14ac:dyDescent="0.2">
      <c r="A213" s="5">
        <v>45864</v>
      </c>
      <c r="B213" s="1" t="s">
        <v>1148</v>
      </c>
      <c r="C213" s="1" t="s">
        <v>1298</v>
      </c>
      <c r="D213" s="1" t="s">
        <v>119</v>
      </c>
      <c r="E213" s="1" t="s">
        <v>19</v>
      </c>
      <c r="F213" s="1"/>
      <c r="G213" s="6" t="s">
        <v>23</v>
      </c>
      <c r="H213" s="7">
        <v>55000</v>
      </c>
      <c r="I213" s="8">
        <v>7.8</v>
      </c>
      <c r="J213" s="1"/>
    </row>
    <row r="214" spans="1:10" x14ac:dyDescent="0.2">
      <c r="A214" s="5">
        <v>45864</v>
      </c>
      <c r="B214" s="1" t="s">
        <v>1148</v>
      </c>
      <c r="C214" s="1" t="s">
        <v>845</v>
      </c>
      <c r="D214" s="1" t="s">
        <v>119</v>
      </c>
      <c r="E214" s="1" t="s">
        <v>19</v>
      </c>
      <c r="F214" s="1"/>
      <c r="G214" s="6" t="s">
        <v>23</v>
      </c>
      <c r="H214" s="7">
        <v>55000</v>
      </c>
      <c r="I214" s="8">
        <v>6.9</v>
      </c>
      <c r="J214" s="1"/>
    </row>
    <row r="215" spans="1:10" x14ac:dyDescent="0.2">
      <c r="A215" s="5">
        <v>45864</v>
      </c>
      <c r="B215" s="1" t="s">
        <v>1148</v>
      </c>
      <c r="C215" s="1" t="s">
        <v>330</v>
      </c>
      <c r="D215" s="1" t="s">
        <v>119</v>
      </c>
      <c r="E215" s="1" t="s">
        <v>19</v>
      </c>
      <c r="F215" s="17"/>
      <c r="G215" s="6" t="s">
        <v>23</v>
      </c>
      <c r="H215" s="7">
        <v>55000</v>
      </c>
      <c r="I215" s="7">
        <v>9.1999999999999993</v>
      </c>
      <c r="J215" s="1"/>
    </row>
    <row r="216" spans="1:10" x14ac:dyDescent="0.2">
      <c r="A216" s="5">
        <v>45864</v>
      </c>
      <c r="B216" s="1" t="s">
        <v>125</v>
      </c>
      <c r="C216" s="1" t="s">
        <v>211</v>
      </c>
      <c r="D216" s="1" t="s">
        <v>32</v>
      </c>
      <c r="E216" s="1" t="s">
        <v>19</v>
      </c>
      <c r="F216" s="1"/>
      <c r="G216" s="6" t="s">
        <v>14</v>
      </c>
      <c r="H216" s="7">
        <v>55000</v>
      </c>
      <c r="I216" s="8"/>
      <c r="J216" s="1"/>
    </row>
    <row r="217" spans="1:10" x14ac:dyDescent="0.2">
      <c r="A217" s="5">
        <v>45864</v>
      </c>
      <c r="B217" s="1" t="s">
        <v>132</v>
      </c>
      <c r="C217" s="1" t="s">
        <v>36</v>
      </c>
      <c r="D217" s="1" t="s">
        <v>18</v>
      </c>
      <c r="E217" s="1" t="s">
        <v>13</v>
      </c>
      <c r="F217" s="1"/>
      <c r="G217" s="6" t="s">
        <v>14</v>
      </c>
      <c r="H217" s="7">
        <v>200000</v>
      </c>
      <c r="I217" s="8"/>
      <c r="J217" s="1"/>
    </row>
    <row r="218" spans="1:10" x14ac:dyDescent="0.2">
      <c r="A218" s="5">
        <v>45864</v>
      </c>
      <c r="B218" s="1" t="s">
        <v>711</v>
      </c>
      <c r="C218" s="1" t="s">
        <v>712</v>
      </c>
      <c r="D218" s="1" t="s">
        <v>1229</v>
      </c>
      <c r="E218" s="1" t="s">
        <v>19</v>
      </c>
      <c r="F218" s="1"/>
      <c r="G218" s="6" t="s">
        <v>23</v>
      </c>
      <c r="H218" s="7">
        <v>25000</v>
      </c>
      <c r="I218" s="8"/>
      <c r="J218" s="1"/>
    </row>
    <row r="219" spans="1:10" x14ac:dyDescent="0.2">
      <c r="A219" s="5">
        <v>45864</v>
      </c>
      <c r="B219" s="1" t="s">
        <v>1370</v>
      </c>
      <c r="C219" s="1" t="s">
        <v>962</v>
      </c>
      <c r="D219" s="1" t="s">
        <v>26</v>
      </c>
      <c r="E219" s="1" t="s">
        <v>13</v>
      </c>
      <c r="F219" s="1"/>
      <c r="G219" s="6" t="s">
        <v>14</v>
      </c>
      <c r="H219" s="7">
        <v>85000</v>
      </c>
      <c r="I219" s="8"/>
      <c r="J219" s="1"/>
    </row>
    <row r="220" spans="1:10" x14ac:dyDescent="0.2">
      <c r="A220" s="5">
        <v>45864</v>
      </c>
      <c r="B220" s="1" t="s">
        <v>1371</v>
      </c>
      <c r="C220" s="1" t="s">
        <v>1372</v>
      </c>
      <c r="D220" s="1" t="s">
        <v>494</v>
      </c>
      <c r="E220" s="1" t="s">
        <v>59</v>
      </c>
      <c r="F220" s="1"/>
      <c r="G220" s="6" t="s">
        <v>23</v>
      </c>
      <c r="H220" s="7">
        <v>55000</v>
      </c>
      <c r="I220" s="8"/>
      <c r="J220" s="1"/>
    </row>
    <row r="221" spans="1:10" x14ac:dyDescent="0.2">
      <c r="A221" s="5">
        <v>45864</v>
      </c>
      <c r="B221" s="1" t="s">
        <v>643</v>
      </c>
      <c r="C221" s="1" t="s">
        <v>148</v>
      </c>
      <c r="D221" s="1" t="s">
        <v>32</v>
      </c>
      <c r="E221" s="1" t="s">
        <v>19</v>
      </c>
      <c r="F221" s="1" t="s">
        <v>209</v>
      </c>
      <c r="G221" s="6" t="s">
        <v>14</v>
      </c>
      <c r="H221" s="7">
        <f>65000+50000</f>
        <v>115000</v>
      </c>
      <c r="I221" s="8">
        <v>5.5</v>
      </c>
      <c r="J221" s="1"/>
    </row>
    <row r="222" spans="1:10" x14ac:dyDescent="0.2">
      <c r="A222" s="5">
        <v>45864</v>
      </c>
      <c r="B222" s="1" t="s">
        <v>1373</v>
      </c>
      <c r="C222" s="1" t="s">
        <v>41</v>
      </c>
      <c r="D222" s="1" t="s">
        <v>64</v>
      </c>
      <c r="E222" s="1" t="s">
        <v>13</v>
      </c>
      <c r="F222" s="1"/>
      <c r="G222" s="6" t="s">
        <v>14</v>
      </c>
      <c r="H222" s="7">
        <v>85000</v>
      </c>
      <c r="I222" s="8">
        <v>16.3</v>
      </c>
      <c r="J222" s="1"/>
    </row>
    <row r="223" spans="1:10" x14ac:dyDescent="0.2">
      <c r="A223" s="5">
        <v>45864</v>
      </c>
      <c r="B223" s="1" t="s">
        <v>1374</v>
      </c>
      <c r="C223" s="1" t="s">
        <v>116</v>
      </c>
      <c r="D223" s="1" t="s">
        <v>32</v>
      </c>
      <c r="E223" s="1" t="s">
        <v>113</v>
      </c>
      <c r="F223" s="1"/>
      <c r="G223" s="6" t="s">
        <v>14</v>
      </c>
      <c r="H223" s="7">
        <v>100000</v>
      </c>
      <c r="I223" s="8"/>
      <c r="J223" s="1"/>
    </row>
    <row r="224" spans="1:10" x14ac:dyDescent="0.2">
      <c r="A224" s="5">
        <v>45864</v>
      </c>
      <c r="B224" s="1" t="s">
        <v>841</v>
      </c>
      <c r="C224" s="1" t="s">
        <v>764</v>
      </c>
      <c r="D224" s="1" t="s">
        <v>119</v>
      </c>
      <c r="E224" s="1" t="s">
        <v>19</v>
      </c>
      <c r="F224" s="1"/>
      <c r="G224" s="6" t="s">
        <v>23</v>
      </c>
      <c r="H224" s="7">
        <v>50000</v>
      </c>
      <c r="I224" s="8">
        <v>9.5</v>
      </c>
      <c r="J224" s="1"/>
    </row>
    <row r="225" spans="1:10" x14ac:dyDescent="0.2">
      <c r="A225" s="5">
        <v>45864</v>
      </c>
      <c r="B225" s="1" t="s">
        <v>1375</v>
      </c>
      <c r="C225" s="1" t="s">
        <v>1376</v>
      </c>
      <c r="D225" s="1" t="s">
        <v>307</v>
      </c>
      <c r="E225" s="1" t="s">
        <v>94</v>
      </c>
      <c r="F225" s="1"/>
      <c r="G225" s="6" t="s">
        <v>14</v>
      </c>
      <c r="H225" s="7">
        <v>90000</v>
      </c>
      <c r="I225" s="8">
        <v>20.9</v>
      </c>
      <c r="J225" s="1"/>
    </row>
    <row r="226" spans="1:10" x14ac:dyDescent="0.2">
      <c r="A226" s="5">
        <v>45864</v>
      </c>
      <c r="B226" s="1" t="s">
        <v>423</v>
      </c>
      <c r="C226" s="1" t="s">
        <v>808</v>
      </c>
      <c r="D226" s="1" t="s">
        <v>64</v>
      </c>
      <c r="E226" s="1" t="s">
        <v>13</v>
      </c>
      <c r="F226" s="1"/>
      <c r="G226" s="6" t="s">
        <v>14</v>
      </c>
      <c r="H226" s="7">
        <v>70000</v>
      </c>
      <c r="I226" s="8"/>
      <c r="J226" s="1"/>
    </row>
    <row r="227" spans="1:10" x14ac:dyDescent="0.2">
      <c r="A227" s="5">
        <v>45866</v>
      </c>
      <c r="B227" s="1" t="s">
        <v>896</v>
      </c>
      <c r="C227" s="1" t="s">
        <v>185</v>
      </c>
      <c r="D227" s="1" t="s">
        <v>32</v>
      </c>
      <c r="E227" s="1" t="s">
        <v>13</v>
      </c>
      <c r="F227" s="1"/>
      <c r="G227" s="6" t="s">
        <v>14</v>
      </c>
      <c r="H227" s="7">
        <v>70000</v>
      </c>
      <c r="I227" s="8">
        <v>1.9</v>
      </c>
      <c r="J227" s="1"/>
    </row>
    <row r="228" spans="1:10" x14ac:dyDescent="0.2">
      <c r="A228" s="5">
        <v>45866</v>
      </c>
      <c r="B228" s="1" t="s">
        <v>374</v>
      </c>
      <c r="C228" s="1" t="s">
        <v>375</v>
      </c>
      <c r="D228" s="1" t="s">
        <v>131</v>
      </c>
      <c r="E228" s="1" t="s">
        <v>19</v>
      </c>
      <c r="F228" s="1"/>
      <c r="G228" s="6" t="s">
        <v>14</v>
      </c>
      <c r="H228" s="7">
        <v>75000</v>
      </c>
      <c r="I228" s="8">
        <v>31.2</v>
      </c>
      <c r="J228" s="1"/>
    </row>
    <row r="229" spans="1:10" x14ac:dyDescent="0.2">
      <c r="A229" s="5">
        <v>45866</v>
      </c>
      <c r="B229" s="1" t="s">
        <v>1377</v>
      </c>
      <c r="C229" s="1" t="s">
        <v>1378</v>
      </c>
      <c r="D229" s="1" t="s">
        <v>26</v>
      </c>
      <c r="E229" s="1" t="s">
        <v>13</v>
      </c>
      <c r="F229" s="1"/>
      <c r="G229" s="6" t="s">
        <v>14</v>
      </c>
      <c r="H229" s="7">
        <v>85000</v>
      </c>
      <c r="I229" s="8">
        <v>4.8</v>
      </c>
      <c r="J229" s="1"/>
    </row>
    <row r="230" spans="1:10" x14ac:dyDescent="0.2">
      <c r="A230" s="5">
        <v>45866</v>
      </c>
      <c r="B230" s="1" t="s">
        <v>1379</v>
      </c>
      <c r="C230" s="1" t="s">
        <v>604</v>
      </c>
      <c r="D230" s="1" t="s">
        <v>26</v>
      </c>
      <c r="E230" s="1" t="s">
        <v>13</v>
      </c>
      <c r="F230" s="1"/>
      <c r="G230" s="6" t="s">
        <v>14</v>
      </c>
      <c r="H230" s="7">
        <v>85000</v>
      </c>
      <c r="I230" s="8">
        <v>4.4000000000000004</v>
      </c>
      <c r="J230" s="1"/>
    </row>
    <row r="231" spans="1:10" x14ac:dyDescent="0.2">
      <c r="A231" s="5">
        <v>45866</v>
      </c>
      <c r="B231" s="1" t="s">
        <v>941</v>
      </c>
      <c r="C231" s="1" t="s">
        <v>93</v>
      </c>
      <c r="D231" s="1" t="s">
        <v>88</v>
      </c>
      <c r="E231" s="1" t="s">
        <v>13</v>
      </c>
      <c r="F231" s="1"/>
      <c r="G231" s="6" t="s">
        <v>14</v>
      </c>
      <c r="H231" s="7">
        <v>70000</v>
      </c>
      <c r="I231" s="8">
        <v>5.8</v>
      </c>
      <c r="J231" s="1"/>
    </row>
    <row r="232" spans="1:10" x14ac:dyDescent="0.2">
      <c r="A232" s="5">
        <v>45866</v>
      </c>
      <c r="B232" s="1"/>
      <c r="C232" s="1"/>
      <c r="D232" s="1"/>
      <c r="E232" s="1" t="s">
        <v>61</v>
      </c>
      <c r="F232" s="1"/>
      <c r="G232" s="6"/>
      <c r="H232" s="7">
        <v>10000</v>
      </c>
      <c r="I232" s="8"/>
      <c r="J232" s="1"/>
    </row>
    <row r="233" spans="1:10" x14ac:dyDescent="0.2">
      <c r="A233" s="5">
        <v>45867</v>
      </c>
      <c r="B233" s="1" t="s">
        <v>1380</v>
      </c>
      <c r="C233" s="1" t="s">
        <v>440</v>
      </c>
      <c r="D233" s="1" t="s">
        <v>18</v>
      </c>
      <c r="E233" s="1" t="s">
        <v>19</v>
      </c>
      <c r="F233" s="1"/>
      <c r="G233" s="6" t="s">
        <v>14</v>
      </c>
      <c r="H233" s="7">
        <v>70000</v>
      </c>
      <c r="I233" s="8">
        <v>14.3</v>
      </c>
      <c r="J233" s="1"/>
    </row>
    <row r="234" spans="1:10" x14ac:dyDescent="0.2">
      <c r="A234" s="5">
        <v>45867</v>
      </c>
      <c r="B234" s="1" t="s">
        <v>1381</v>
      </c>
      <c r="C234" s="1" t="s">
        <v>25</v>
      </c>
      <c r="D234" s="1" t="s">
        <v>26</v>
      </c>
      <c r="E234" s="1" t="s">
        <v>19</v>
      </c>
      <c r="F234" s="1"/>
      <c r="G234" s="6" t="s">
        <v>14</v>
      </c>
      <c r="H234" s="7">
        <v>65000</v>
      </c>
      <c r="I234" s="8">
        <v>7.5</v>
      </c>
      <c r="J234" s="1"/>
    </row>
    <row r="235" spans="1:10" x14ac:dyDescent="0.2">
      <c r="A235" s="5">
        <v>45867</v>
      </c>
      <c r="B235" s="1" t="s">
        <v>1381</v>
      </c>
      <c r="C235" s="1" t="s">
        <v>31</v>
      </c>
      <c r="D235" s="1" t="s">
        <v>64</v>
      </c>
      <c r="E235" s="1" t="s">
        <v>19</v>
      </c>
      <c r="F235" s="1"/>
      <c r="G235" s="6" t="s">
        <v>23</v>
      </c>
      <c r="H235" s="7">
        <v>60000</v>
      </c>
      <c r="I235" s="8">
        <v>13</v>
      </c>
      <c r="J235" s="1"/>
    </row>
    <row r="236" spans="1:10" x14ac:dyDescent="0.2">
      <c r="A236" s="5">
        <v>45867</v>
      </c>
      <c r="B236" s="1" t="s">
        <v>1382</v>
      </c>
      <c r="C236" s="1" t="s">
        <v>1383</v>
      </c>
      <c r="D236" s="1" t="s">
        <v>26</v>
      </c>
      <c r="E236" s="1" t="s">
        <v>78</v>
      </c>
      <c r="F236" s="1"/>
      <c r="G236" s="6" t="s">
        <v>14</v>
      </c>
      <c r="H236" s="7">
        <v>80000</v>
      </c>
      <c r="I236" s="8">
        <v>2.8</v>
      </c>
      <c r="J236" s="1"/>
    </row>
    <row r="237" spans="1:10" x14ac:dyDescent="0.2">
      <c r="A237" s="5">
        <v>45867</v>
      </c>
      <c r="B237" s="1" t="s">
        <v>318</v>
      </c>
      <c r="C237" s="1" t="s">
        <v>1384</v>
      </c>
      <c r="D237" s="1" t="s">
        <v>88</v>
      </c>
      <c r="E237" s="1" t="s">
        <v>19</v>
      </c>
      <c r="F237" s="1"/>
      <c r="G237" s="6" t="s">
        <v>14</v>
      </c>
      <c r="H237" s="7">
        <v>55000</v>
      </c>
      <c r="I237" s="8">
        <v>4</v>
      </c>
      <c r="J237" s="1"/>
    </row>
    <row r="238" spans="1:10" x14ac:dyDescent="0.2">
      <c r="A238" s="5">
        <v>45867</v>
      </c>
      <c r="B238" s="1" t="s">
        <v>318</v>
      </c>
      <c r="C238" s="1" t="s">
        <v>996</v>
      </c>
      <c r="D238" s="1" t="s">
        <v>88</v>
      </c>
      <c r="E238" s="1" t="s">
        <v>19</v>
      </c>
      <c r="F238" s="1"/>
      <c r="G238" s="6" t="s">
        <v>14</v>
      </c>
      <c r="H238" s="7">
        <v>50000</v>
      </c>
      <c r="I238" s="8">
        <v>5</v>
      </c>
      <c r="J238" s="1"/>
    </row>
    <row r="239" spans="1:10" x14ac:dyDescent="0.2">
      <c r="A239" s="5">
        <v>45867</v>
      </c>
      <c r="B239" s="1" t="s">
        <v>1385</v>
      </c>
      <c r="C239" s="1" t="s">
        <v>1386</v>
      </c>
      <c r="D239" s="1" t="s">
        <v>307</v>
      </c>
      <c r="E239" s="1" t="s">
        <v>94</v>
      </c>
      <c r="F239" s="1"/>
      <c r="G239" s="6" t="s">
        <v>14</v>
      </c>
      <c r="H239" s="7">
        <v>95000</v>
      </c>
      <c r="I239" s="8">
        <v>30</v>
      </c>
      <c r="J239" s="1"/>
    </row>
    <row r="240" spans="1:10" x14ac:dyDescent="0.2">
      <c r="A240" s="5">
        <v>45867</v>
      </c>
      <c r="B240" s="1" t="s">
        <v>1168</v>
      </c>
      <c r="C240" s="1" t="s">
        <v>506</v>
      </c>
      <c r="D240" s="1" t="s">
        <v>88</v>
      </c>
      <c r="E240" s="1" t="s">
        <v>19</v>
      </c>
      <c r="F240" s="1"/>
      <c r="G240" s="6" t="s">
        <v>14</v>
      </c>
      <c r="H240" s="7">
        <v>80000</v>
      </c>
      <c r="I240" s="8">
        <v>5.2</v>
      </c>
      <c r="J240" s="1"/>
    </row>
    <row r="241" spans="1:10" x14ac:dyDescent="0.2">
      <c r="A241" s="5">
        <v>45868</v>
      </c>
      <c r="B241" s="1" t="s">
        <v>1387</v>
      </c>
      <c r="C241" s="1" t="s">
        <v>1388</v>
      </c>
      <c r="D241" s="1" t="s">
        <v>494</v>
      </c>
      <c r="E241" s="1" t="s">
        <v>59</v>
      </c>
      <c r="F241" s="1"/>
      <c r="G241" s="6" t="s">
        <v>23</v>
      </c>
      <c r="H241" s="7">
        <v>80000</v>
      </c>
      <c r="I241" s="8">
        <v>5.5</v>
      </c>
      <c r="J241" s="1"/>
    </row>
    <row r="242" spans="1:10" x14ac:dyDescent="0.2">
      <c r="A242" s="5">
        <v>45868</v>
      </c>
      <c r="B242" s="1" t="s">
        <v>717</v>
      </c>
      <c r="C242" s="1" t="s">
        <v>433</v>
      </c>
      <c r="D242" s="1" t="s">
        <v>119</v>
      </c>
      <c r="E242" s="1" t="s">
        <v>19</v>
      </c>
      <c r="F242" s="1"/>
      <c r="G242" s="6" t="s">
        <v>23</v>
      </c>
      <c r="H242" s="7">
        <v>60000</v>
      </c>
      <c r="I242" s="8">
        <v>14</v>
      </c>
      <c r="J242" s="1"/>
    </row>
    <row r="243" spans="1:10" x14ac:dyDescent="0.2">
      <c r="A243" s="5">
        <v>45868</v>
      </c>
      <c r="B243" s="1" t="s">
        <v>20</v>
      </c>
      <c r="C243" s="1" t="s">
        <v>21</v>
      </c>
      <c r="D243" s="1" t="s">
        <v>22</v>
      </c>
      <c r="E243" s="1" t="s">
        <v>19</v>
      </c>
      <c r="F243" s="1"/>
      <c r="G243" s="6" t="s">
        <v>23</v>
      </c>
      <c r="H243" s="7">
        <v>60000</v>
      </c>
      <c r="I243" s="8">
        <v>12.2</v>
      </c>
      <c r="J243" s="1"/>
    </row>
    <row r="244" spans="1:10" x14ac:dyDescent="0.2">
      <c r="A244" s="5">
        <v>45868</v>
      </c>
      <c r="B244" s="1" t="s">
        <v>999</v>
      </c>
      <c r="C244" s="1" t="s">
        <v>1000</v>
      </c>
      <c r="D244" s="1" t="s">
        <v>12</v>
      </c>
      <c r="E244" s="1" t="s">
        <v>13</v>
      </c>
      <c r="F244" s="1"/>
      <c r="G244" s="6" t="s">
        <v>14</v>
      </c>
      <c r="H244" s="7">
        <v>78000</v>
      </c>
      <c r="I244" s="8"/>
      <c r="J244" s="1"/>
    </row>
    <row r="245" spans="1:10" x14ac:dyDescent="0.2">
      <c r="A245" s="5">
        <v>45868</v>
      </c>
      <c r="B245" s="1" t="s">
        <v>1389</v>
      </c>
      <c r="C245" s="1" t="s">
        <v>31</v>
      </c>
      <c r="D245" s="1" t="s">
        <v>26</v>
      </c>
      <c r="E245" s="1" t="s">
        <v>19</v>
      </c>
      <c r="F245" s="1"/>
      <c r="G245" s="6" t="s">
        <v>14</v>
      </c>
      <c r="H245" s="7">
        <v>70000</v>
      </c>
      <c r="I245" s="8">
        <v>5.0999999999999996</v>
      </c>
      <c r="J245" s="1"/>
    </row>
    <row r="246" spans="1:10" x14ac:dyDescent="0.2">
      <c r="A246" s="5">
        <v>45868</v>
      </c>
      <c r="B246" s="1" t="s">
        <v>1147</v>
      </c>
      <c r="C246" s="1" t="s">
        <v>148</v>
      </c>
      <c r="D246" s="1" t="s">
        <v>32</v>
      </c>
      <c r="E246" s="1" t="s">
        <v>792</v>
      </c>
      <c r="F246" s="1"/>
      <c r="G246" s="6" t="s">
        <v>14</v>
      </c>
      <c r="H246" s="7" t="s">
        <v>114</v>
      </c>
      <c r="I246" s="8"/>
      <c r="J246" s="1"/>
    </row>
    <row r="247" spans="1:10" x14ac:dyDescent="0.2">
      <c r="A247" s="5">
        <v>45868</v>
      </c>
      <c r="B247" s="1" t="s">
        <v>1390</v>
      </c>
      <c r="C247" s="1" t="s">
        <v>1391</v>
      </c>
      <c r="D247" s="1" t="s">
        <v>26</v>
      </c>
      <c r="E247" s="1" t="s">
        <v>13</v>
      </c>
      <c r="F247" s="1"/>
      <c r="G247" s="6" t="s">
        <v>14</v>
      </c>
      <c r="H247" s="7">
        <v>80000</v>
      </c>
      <c r="I247" s="8">
        <v>5</v>
      </c>
      <c r="J247" s="1"/>
    </row>
    <row r="248" spans="1:10" x14ac:dyDescent="0.2">
      <c r="A248" s="5">
        <v>45868</v>
      </c>
      <c r="B248" s="17"/>
      <c r="C248" s="17"/>
      <c r="D248" s="1"/>
      <c r="E248" s="1" t="s">
        <v>61</v>
      </c>
      <c r="F248" s="17"/>
      <c r="G248" s="6"/>
      <c r="H248" s="7">
        <v>10000</v>
      </c>
      <c r="I248" s="17"/>
      <c r="J248" s="17"/>
    </row>
    <row r="249" spans="1:10" x14ac:dyDescent="0.2">
      <c r="A249" s="5">
        <v>45869</v>
      </c>
      <c r="B249" s="1" t="s">
        <v>1001</v>
      </c>
      <c r="C249" s="1" t="s">
        <v>370</v>
      </c>
      <c r="D249" s="1" t="s">
        <v>371</v>
      </c>
      <c r="E249" s="1" t="s">
        <v>19</v>
      </c>
      <c r="F249" s="1"/>
      <c r="G249" s="6" t="s">
        <v>23</v>
      </c>
      <c r="H249" s="1">
        <v>60000</v>
      </c>
      <c r="I249" s="8"/>
      <c r="J249" s="17"/>
    </row>
    <row r="250" spans="1:10" x14ac:dyDescent="0.2">
      <c r="A250" s="5">
        <v>45869</v>
      </c>
      <c r="B250" s="1" t="s">
        <v>991</v>
      </c>
      <c r="C250" s="1" t="s">
        <v>992</v>
      </c>
      <c r="D250" s="1" t="s">
        <v>196</v>
      </c>
      <c r="E250" s="1" t="s">
        <v>94</v>
      </c>
      <c r="F250" s="1"/>
      <c r="G250" s="6" t="s">
        <v>14</v>
      </c>
      <c r="H250" s="7">
        <v>95000</v>
      </c>
      <c r="I250" s="8">
        <v>20</v>
      </c>
      <c r="J250" s="17"/>
    </row>
    <row r="251" spans="1:10" x14ac:dyDescent="0.2">
      <c r="A251" s="5">
        <v>45869</v>
      </c>
      <c r="B251" s="1" t="s">
        <v>794</v>
      </c>
      <c r="C251" s="1" t="s">
        <v>185</v>
      </c>
      <c r="D251" s="1" t="s">
        <v>32</v>
      </c>
      <c r="E251" s="1" t="s">
        <v>13</v>
      </c>
      <c r="F251" s="1" t="s">
        <v>209</v>
      </c>
      <c r="G251" s="6" t="s">
        <v>14</v>
      </c>
      <c r="H251" s="7">
        <f>80000+120000</f>
        <v>200000</v>
      </c>
      <c r="I251" s="8">
        <v>2.5</v>
      </c>
      <c r="J251" s="17"/>
    </row>
    <row r="252" spans="1:10" x14ac:dyDescent="0.2">
      <c r="A252" s="5">
        <v>45869</v>
      </c>
      <c r="B252" s="1" t="s">
        <v>1392</v>
      </c>
      <c r="C252" s="1" t="s">
        <v>1393</v>
      </c>
      <c r="D252" s="1" t="s">
        <v>32</v>
      </c>
      <c r="E252" s="1" t="s">
        <v>13</v>
      </c>
      <c r="F252" s="1"/>
      <c r="G252" s="6" t="s">
        <v>14</v>
      </c>
      <c r="H252" s="7">
        <v>65000</v>
      </c>
      <c r="I252" s="8">
        <v>6</v>
      </c>
      <c r="J252" s="17"/>
    </row>
    <row r="253" spans="1:10" x14ac:dyDescent="0.2">
      <c r="A253" s="5">
        <v>45869</v>
      </c>
      <c r="B253" s="1" t="s">
        <v>485</v>
      </c>
      <c r="C253" s="1" t="s">
        <v>486</v>
      </c>
      <c r="D253" s="1" t="s">
        <v>32</v>
      </c>
      <c r="E253" s="1" t="s">
        <v>19</v>
      </c>
      <c r="F253" s="1"/>
      <c r="G253" s="6" t="s">
        <v>14</v>
      </c>
      <c r="H253" s="7">
        <v>75000</v>
      </c>
      <c r="I253" s="8">
        <v>4.7</v>
      </c>
      <c r="J253" s="17"/>
    </row>
    <row r="254" spans="1:10" x14ac:dyDescent="0.2">
      <c r="A254" s="5">
        <v>45869</v>
      </c>
      <c r="B254" s="1" t="s">
        <v>485</v>
      </c>
      <c r="C254" s="1" t="s">
        <v>1394</v>
      </c>
      <c r="D254" s="1" t="s">
        <v>32</v>
      </c>
      <c r="E254" s="1" t="s">
        <v>19</v>
      </c>
      <c r="F254" s="1"/>
      <c r="G254" s="6" t="s">
        <v>14</v>
      </c>
      <c r="H254" s="7">
        <v>70000</v>
      </c>
      <c r="I254" s="8">
        <v>3</v>
      </c>
      <c r="J254" s="17"/>
    </row>
    <row r="255" spans="1:10" x14ac:dyDescent="0.2">
      <c r="A255" s="5"/>
      <c r="B255" s="1"/>
      <c r="C255" s="1"/>
      <c r="D255" s="1"/>
      <c r="E255" s="1"/>
      <c r="F255" s="1"/>
      <c r="G255" s="6"/>
      <c r="H255" s="7"/>
      <c r="I255" s="8"/>
      <c r="J255" s="17"/>
    </row>
    <row r="256" spans="1:10" x14ac:dyDescent="0.2">
      <c r="A256" s="5"/>
      <c r="B256" s="1"/>
      <c r="C256" s="1"/>
      <c r="D256" s="1"/>
      <c r="E256" s="1"/>
      <c r="F256" s="1"/>
      <c r="G256" s="6"/>
      <c r="H256" s="7"/>
      <c r="I256" s="8"/>
      <c r="J256" s="17"/>
    </row>
    <row r="257" spans="1:10" x14ac:dyDescent="0.2">
      <c r="A257" s="5"/>
      <c r="B257" s="1"/>
      <c r="C257" s="1"/>
      <c r="D257" s="1"/>
      <c r="E257" s="1"/>
      <c r="F257" s="1"/>
      <c r="G257" s="6"/>
      <c r="H257" s="7"/>
      <c r="I257" s="8"/>
      <c r="J257" s="17"/>
    </row>
    <row r="258" spans="1:10" x14ac:dyDescent="0.2">
      <c r="A258" s="5"/>
      <c r="B258" s="1"/>
      <c r="C258" s="1"/>
      <c r="D258" s="1"/>
      <c r="E258" s="1"/>
      <c r="F258" s="1"/>
      <c r="G258" s="6"/>
      <c r="H258" s="7"/>
      <c r="I258" s="8"/>
      <c r="J258" s="17"/>
    </row>
    <row r="259" spans="1:10" x14ac:dyDescent="0.2">
      <c r="A259" s="5"/>
      <c r="B259" s="1"/>
      <c r="C259" s="1"/>
      <c r="D259" s="1"/>
      <c r="E259" s="1"/>
      <c r="F259" s="1"/>
      <c r="G259" s="6"/>
      <c r="H259" s="7"/>
      <c r="I259" s="8"/>
      <c r="J259" s="17"/>
    </row>
  </sheetData>
  <autoFilter ref="A1:J254" xr:uid="{00000000-0009-0000-0000-000006000000}"/>
  <dataValidations count="6">
    <dataValidation type="list" allowBlank="1" showErrorMessage="1" sqref="D191:D192 D231" xr:uid="{00000000-0002-0000-06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59" xr:uid="{00000000-0002-0000-0600-000001000000}">
      <formula1>"LARGO,CORTO"</formula1>
    </dataValidation>
    <dataValidation type="list" allowBlank="1" showErrorMessage="1" sqref="E2:E259" xr:uid="{00000000-0002-0000-06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D113" xr:uid="{00000000-0002-0000-0600-000003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38" xr:uid="{00000000-0002-0000-0600-000004000000}">
      <formula1>"MOÑO,MOÑOS,CORBATÍN,PAÑOLETA,NO"</formula1>
    </dataValidation>
    <dataValidation type="list" allowBlank="1" showErrorMessage="1" sqref="D2:D112 D114:D190 D193:D230 D232:D259" xr:uid="{00000000-0002-0000-0600-000005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238"/>
  <sheetViews>
    <sheetView workbookViewId="0"/>
  </sheetViews>
  <sheetFormatPr baseColWidth="10" defaultColWidth="12.6640625" defaultRowHeight="15.75" customHeight="1" x14ac:dyDescent="0.15"/>
  <cols>
    <col min="1" max="1" width="12" customWidth="1"/>
    <col min="2" max="2" width="28.1640625" customWidth="1"/>
    <col min="3" max="3" width="19" customWidth="1"/>
    <col min="4" max="4" width="19.33203125" customWidth="1"/>
    <col min="5" max="5" width="20" customWidth="1"/>
    <col min="6" max="6" width="14" customWidth="1"/>
    <col min="7" max="7" width="15" customWidth="1"/>
    <col min="8" max="8" width="14" customWidth="1"/>
    <col min="9" max="9" width="10.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x14ac:dyDescent="0.2">
      <c r="A2" s="5">
        <v>45870</v>
      </c>
      <c r="B2" s="1" t="s">
        <v>728</v>
      </c>
      <c r="C2" s="1" t="s">
        <v>313</v>
      </c>
      <c r="D2" s="1" t="s">
        <v>196</v>
      </c>
      <c r="E2" s="1" t="s">
        <v>94</v>
      </c>
      <c r="F2" s="1"/>
      <c r="G2" s="6" t="s">
        <v>14</v>
      </c>
      <c r="H2" s="7">
        <v>65000</v>
      </c>
      <c r="I2" s="8">
        <v>18</v>
      </c>
      <c r="J2" s="1" t="s">
        <v>15</v>
      </c>
    </row>
    <row r="3" spans="1:10" x14ac:dyDescent="0.2">
      <c r="A3" s="5">
        <v>45870</v>
      </c>
      <c r="B3" s="1" t="s">
        <v>1395</v>
      </c>
      <c r="C3" s="1" t="s">
        <v>1296</v>
      </c>
      <c r="D3" s="1" t="s">
        <v>18</v>
      </c>
      <c r="E3" s="1" t="s">
        <v>19</v>
      </c>
      <c r="F3" s="1"/>
      <c r="G3" s="6" t="s">
        <v>14</v>
      </c>
      <c r="H3" s="7">
        <v>65000</v>
      </c>
      <c r="I3" s="8">
        <v>14</v>
      </c>
      <c r="J3" s="1" t="s">
        <v>15</v>
      </c>
    </row>
    <row r="4" spans="1:10" x14ac:dyDescent="0.2">
      <c r="A4" s="5">
        <v>45870</v>
      </c>
      <c r="B4" s="1" t="s">
        <v>1094</v>
      </c>
      <c r="C4" s="1" t="s">
        <v>512</v>
      </c>
      <c r="D4" s="1" t="s">
        <v>32</v>
      </c>
      <c r="E4" s="1" t="s">
        <v>13</v>
      </c>
      <c r="F4" s="1"/>
      <c r="G4" s="6" t="s">
        <v>14</v>
      </c>
      <c r="H4" s="7">
        <v>75000</v>
      </c>
      <c r="I4" s="8">
        <v>3.2</v>
      </c>
      <c r="J4" s="1" t="s">
        <v>15</v>
      </c>
    </row>
    <row r="5" spans="1:10" x14ac:dyDescent="0.2">
      <c r="A5" s="5">
        <v>45870</v>
      </c>
      <c r="B5" s="1" t="s">
        <v>204</v>
      </c>
      <c r="C5" s="1" t="s">
        <v>180</v>
      </c>
      <c r="D5" s="1" t="s">
        <v>88</v>
      </c>
      <c r="E5" s="1" t="s">
        <v>13</v>
      </c>
      <c r="F5" s="1"/>
      <c r="G5" s="6" t="s">
        <v>14</v>
      </c>
      <c r="H5" s="7">
        <v>80000</v>
      </c>
      <c r="I5" s="8">
        <v>5.9</v>
      </c>
      <c r="J5" s="1" t="s">
        <v>15</v>
      </c>
    </row>
    <row r="6" spans="1:10" x14ac:dyDescent="0.2">
      <c r="A6" s="5">
        <v>45870</v>
      </c>
      <c r="B6" s="1" t="s">
        <v>1396</v>
      </c>
      <c r="C6" s="1" t="s">
        <v>444</v>
      </c>
      <c r="D6" s="1" t="s">
        <v>340</v>
      </c>
      <c r="E6" s="1" t="s">
        <v>19</v>
      </c>
      <c r="F6" s="1"/>
      <c r="G6" s="6" t="s">
        <v>23</v>
      </c>
      <c r="H6" s="7">
        <v>40000</v>
      </c>
      <c r="I6" s="8">
        <v>1.8</v>
      </c>
      <c r="J6" s="1" t="s">
        <v>15</v>
      </c>
    </row>
    <row r="7" spans="1:10" x14ac:dyDescent="0.2">
      <c r="A7" s="5">
        <v>45870</v>
      </c>
      <c r="B7" s="1" t="s">
        <v>835</v>
      </c>
      <c r="C7" s="1" t="s">
        <v>843</v>
      </c>
      <c r="D7" s="1" t="s">
        <v>119</v>
      </c>
      <c r="E7" s="1" t="s">
        <v>19</v>
      </c>
      <c r="F7" s="1"/>
      <c r="G7" s="6" t="s">
        <v>23</v>
      </c>
      <c r="H7" s="7">
        <v>50000</v>
      </c>
      <c r="I7" s="8">
        <v>12.3</v>
      </c>
      <c r="J7" s="1" t="s">
        <v>15</v>
      </c>
    </row>
    <row r="8" spans="1:10" x14ac:dyDescent="0.2">
      <c r="A8" s="5">
        <v>45870</v>
      </c>
      <c r="B8" s="1" t="s">
        <v>761</v>
      </c>
      <c r="C8" s="1" t="s">
        <v>667</v>
      </c>
      <c r="D8" s="1" t="s">
        <v>26</v>
      </c>
      <c r="E8" s="1" t="s">
        <v>19</v>
      </c>
      <c r="F8" s="1"/>
      <c r="G8" s="6" t="s">
        <v>14</v>
      </c>
      <c r="H8" s="7">
        <v>65000</v>
      </c>
      <c r="I8" s="8">
        <v>7.1</v>
      </c>
      <c r="J8" s="1" t="s">
        <v>15</v>
      </c>
    </row>
    <row r="9" spans="1:10" x14ac:dyDescent="0.2">
      <c r="A9" s="5">
        <v>45870</v>
      </c>
      <c r="B9" s="1" t="s">
        <v>1397</v>
      </c>
      <c r="C9" s="1" t="s">
        <v>830</v>
      </c>
      <c r="D9" s="1" t="s">
        <v>12</v>
      </c>
      <c r="E9" s="1" t="s">
        <v>13</v>
      </c>
      <c r="F9" s="1"/>
      <c r="G9" s="6" t="s">
        <v>14</v>
      </c>
      <c r="H9" s="7">
        <v>85000</v>
      </c>
      <c r="I9" s="8"/>
      <c r="J9" s="1" t="s">
        <v>15</v>
      </c>
    </row>
    <row r="10" spans="1:10" x14ac:dyDescent="0.2">
      <c r="A10" s="5">
        <v>45870</v>
      </c>
      <c r="B10" s="1" t="s">
        <v>397</v>
      </c>
      <c r="C10" s="1" t="s">
        <v>398</v>
      </c>
      <c r="D10" s="1" t="s">
        <v>112</v>
      </c>
      <c r="E10" s="1" t="s">
        <v>19</v>
      </c>
      <c r="F10" s="1" t="s">
        <v>109</v>
      </c>
      <c r="G10" s="6" t="s">
        <v>14</v>
      </c>
      <c r="H10" s="7">
        <v>120000</v>
      </c>
      <c r="I10" s="8"/>
      <c r="J10" s="1" t="s">
        <v>34</v>
      </c>
    </row>
    <row r="11" spans="1:10" x14ac:dyDescent="0.2">
      <c r="A11" s="5">
        <v>45871</v>
      </c>
      <c r="B11" s="1" t="s">
        <v>782</v>
      </c>
      <c r="C11" s="1" t="s">
        <v>1016</v>
      </c>
      <c r="D11" s="1" t="s">
        <v>18</v>
      </c>
      <c r="E11" s="1" t="s">
        <v>13</v>
      </c>
      <c r="F11" s="1"/>
      <c r="G11" s="6" t="s">
        <v>14</v>
      </c>
      <c r="H11" s="7">
        <v>70000</v>
      </c>
      <c r="I11" s="8"/>
      <c r="J11" s="1" t="s">
        <v>15</v>
      </c>
    </row>
    <row r="12" spans="1:10" x14ac:dyDescent="0.2">
      <c r="A12" s="5">
        <v>45871</v>
      </c>
      <c r="B12" s="1" t="s">
        <v>782</v>
      </c>
      <c r="C12" s="1" t="s">
        <v>1017</v>
      </c>
      <c r="D12" s="1" t="s">
        <v>32</v>
      </c>
      <c r="E12" s="1" t="s">
        <v>19</v>
      </c>
      <c r="F12" s="1"/>
      <c r="G12" s="6" t="s">
        <v>14</v>
      </c>
      <c r="H12" s="7">
        <v>65000</v>
      </c>
      <c r="I12" s="8"/>
      <c r="J12" s="1" t="s">
        <v>15</v>
      </c>
    </row>
    <row r="13" spans="1:10" x14ac:dyDescent="0.2">
      <c r="A13" s="5">
        <v>45871</v>
      </c>
      <c r="B13" s="1" t="s">
        <v>197</v>
      </c>
      <c r="C13" s="1" t="s">
        <v>198</v>
      </c>
      <c r="D13" s="1" t="s">
        <v>64</v>
      </c>
      <c r="E13" s="1" t="s">
        <v>19</v>
      </c>
      <c r="F13" s="1"/>
      <c r="G13" s="6" t="s">
        <v>23</v>
      </c>
      <c r="H13" s="7">
        <v>70000</v>
      </c>
      <c r="I13" s="8"/>
      <c r="J13" s="1" t="s">
        <v>15</v>
      </c>
    </row>
    <row r="14" spans="1:10" x14ac:dyDescent="0.2">
      <c r="A14" s="5">
        <v>45871</v>
      </c>
      <c r="B14" s="1" t="s">
        <v>1398</v>
      </c>
      <c r="C14" s="1" t="s">
        <v>742</v>
      </c>
      <c r="D14" s="1" t="s">
        <v>1229</v>
      </c>
      <c r="E14" s="1" t="s">
        <v>19</v>
      </c>
      <c r="F14" s="1"/>
      <c r="G14" s="6" t="s">
        <v>23</v>
      </c>
      <c r="H14" s="7">
        <v>35000</v>
      </c>
      <c r="I14" s="8">
        <v>5.2</v>
      </c>
      <c r="J14" s="1" t="s">
        <v>15</v>
      </c>
    </row>
    <row r="15" spans="1:10" x14ac:dyDescent="0.2">
      <c r="A15" s="5">
        <v>45871</v>
      </c>
      <c r="B15" s="1" t="s">
        <v>256</v>
      </c>
      <c r="C15" s="1" t="s">
        <v>257</v>
      </c>
      <c r="D15" s="1" t="s">
        <v>32</v>
      </c>
      <c r="E15" s="1" t="s">
        <v>113</v>
      </c>
      <c r="F15" s="1"/>
      <c r="G15" s="6" t="s">
        <v>14</v>
      </c>
      <c r="H15" s="7" t="s">
        <v>114</v>
      </c>
      <c r="I15" s="8"/>
      <c r="J15" s="1"/>
    </row>
    <row r="16" spans="1:10" x14ac:dyDescent="0.2">
      <c r="A16" s="5">
        <v>45871</v>
      </c>
      <c r="B16" s="1" t="s">
        <v>1398</v>
      </c>
      <c r="C16" s="1" t="s">
        <v>1298</v>
      </c>
      <c r="D16" s="1" t="s">
        <v>64</v>
      </c>
      <c r="E16" s="1" t="s">
        <v>19</v>
      </c>
      <c r="F16" s="1"/>
      <c r="G16" s="6" t="s">
        <v>23</v>
      </c>
      <c r="H16" s="7">
        <v>35000</v>
      </c>
      <c r="I16" s="8">
        <v>2.6</v>
      </c>
      <c r="J16" s="1" t="s">
        <v>15</v>
      </c>
    </row>
    <row r="17" spans="1:10" x14ac:dyDescent="0.2">
      <c r="A17" s="5">
        <v>45871</v>
      </c>
      <c r="B17" s="1" t="s">
        <v>1399</v>
      </c>
      <c r="C17" s="1" t="s">
        <v>447</v>
      </c>
      <c r="D17" s="1" t="s">
        <v>1229</v>
      </c>
      <c r="E17" s="1" t="s">
        <v>19</v>
      </c>
      <c r="F17" s="1"/>
      <c r="G17" s="6" t="s">
        <v>23</v>
      </c>
      <c r="H17" s="7">
        <v>30000</v>
      </c>
      <c r="I17" s="8">
        <v>4</v>
      </c>
      <c r="J17" s="1" t="s">
        <v>15</v>
      </c>
    </row>
    <row r="18" spans="1:10" x14ac:dyDescent="0.2">
      <c r="A18" s="5">
        <v>45871</v>
      </c>
      <c r="B18" s="1" t="s">
        <v>536</v>
      </c>
      <c r="C18" s="1" t="s">
        <v>537</v>
      </c>
      <c r="D18" s="1" t="s">
        <v>196</v>
      </c>
      <c r="E18" s="1" t="s">
        <v>94</v>
      </c>
      <c r="F18" s="1"/>
      <c r="G18" s="6" t="s">
        <v>14</v>
      </c>
      <c r="H18" s="7">
        <v>90000</v>
      </c>
      <c r="I18" s="8">
        <v>20.7</v>
      </c>
      <c r="J18" s="1" t="s">
        <v>15</v>
      </c>
    </row>
    <row r="19" spans="1:10" x14ac:dyDescent="0.2">
      <c r="A19" s="5">
        <v>45871</v>
      </c>
      <c r="B19" s="1" t="s">
        <v>35</v>
      </c>
      <c r="C19" s="1" t="s">
        <v>36</v>
      </c>
      <c r="D19" s="1" t="s">
        <v>18</v>
      </c>
      <c r="E19" s="1" t="s">
        <v>19</v>
      </c>
      <c r="F19" s="1"/>
      <c r="G19" s="6" t="s">
        <v>14</v>
      </c>
      <c r="H19" s="7" t="s">
        <v>114</v>
      </c>
      <c r="I19" s="8"/>
      <c r="J19" s="1" t="s">
        <v>37</v>
      </c>
    </row>
    <row r="20" spans="1:10" x14ac:dyDescent="0.2">
      <c r="A20" s="5">
        <v>45871</v>
      </c>
      <c r="B20" s="1" t="s">
        <v>553</v>
      </c>
      <c r="C20" s="1" t="s">
        <v>554</v>
      </c>
      <c r="D20" s="1" t="s">
        <v>18</v>
      </c>
      <c r="E20" s="1" t="s">
        <v>19</v>
      </c>
      <c r="F20" s="1"/>
      <c r="G20" s="6" t="s">
        <v>14</v>
      </c>
      <c r="H20" s="7">
        <v>65000</v>
      </c>
      <c r="I20" s="8">
        <v>9.6999999999999993</v>
      </c>
      <c r="J20" s="1" t="s">
        <v>15</v>
      </c>
    </row>
    <row r="21" spans="1:10" x14ac:dyDescent="0.2">
      <c r="A21" s="5">
        <v>45871</v>
      </c>
      <c r="B21" s="1" t="s">
        <v>171</v>
      </c>
      <c r="C21" s="1" t="s">
        <v>172</v>
      </c>
      <c r="D21" s="1" t="s">
        <v>18</v>
      </c>
      <c r="E21" s="1" t="s">
        <v>19</v>
      </c>
      <c r="F21" s="19"/>
      <c r="G21" s="6" t="s">
        <v>14</v>
      </c>
      <c r="H21" s="7">
        <v>55000</v>
      </c>
      <c r="I21" s="8">
        <v>11.5</v>
      </c>
      <c r="J21" s="1" t="s">
        <v>15</v>
      </c>
    </row>
    <row r="22" spans="1:10" x14ac:dyDescent="0.2">
      <c r="A22" s="5">
        <v>45871</v>
      </c>
      <c r="B22" s="1" t="s">
        <v>1400</v>
      </c>
      <c r="C22" s="1" t="s">
        <v>1401</v>
      </c>
      <c r="D22" s="1" t="s">
        <v>101</v>
      </c>
      <c r="E22" s="1" t="s">
        <v>19</v>
      </c>
      <c r="F22" s="1"/>
      <c r="G22" s="6" t="s">
        <v>14</v>
      </c>
      <c r="H22" s="7">
        <v>65000</v>
      </c>
      <c r="I22" s="8">
        <v>4.5</v>
      </c>
      <c r="J22" s="1" t="s">
        <v>15</v>
      </c>
    </row>
    <row r="23" spans="1:10" x14ac:dyDescent="0.2">
      <c r="A23" s="5">
        <v>45871</v>
      </c>
      <c r="B23" s="1" t="s">
        <v>1402</v>
      </c>
      <c r="C23" s="1" t="s">
        <v>1403</v>
      </c>
      <c r="D23" s="1" t="s">
        <v>1229</v>
      </c>
      <c r="E23" s="1" t="s">
        <v>19</v>
      </c>
      <c r="F23" s="1"/>
      <c r="G23" s="6" t="s">
        <v>23</v>
      </c>
      <c r="H23" s="7">
        <v>30000</v>
      </c>
      <c r="I23" s="8">
        <v>2.5</v>
      </c>
      <c r="J23" s="1" t="s">
        <v>15</v>
      </c>
    </row>
    <row r="24" spans="1:10" x14ac:dyDescent="0.2">
      <c r="A24" s="5">
        <v>45871</v>
      </c>
      <c r="B24" s="1" t="s">
        <v>933</v>
      </c>
      <c r="C24" s="1" t="s">
        <v>46</v>
      </c>
      <c r="D24" s="1" t="s">
        <v>1229</v>
      </c>
      <c r="E24" s="1" t="s">
        <v>19</v>
      </c>
      <c r="F24" s="1"/>
      <c r="G24" s="6" t="s">
        <v>23</v>
      </c>
      <c r="H24" s="7">
        <v>30000</v>
      </c>
      <c r="I24" s="8">
        <v>3</v>
      </c>
      <c r="J24" s="1" t="s">
        <v>15</v>
      </c>
    </row>
    <row r="25" spans="1:10" x14ac:dyDescent="0.2">
      <c r="A25" s="5">
        <v>45871</v>
      </c>
      <c r="B25" s="1" t="s">
        <v>488</v>
      </c>
      <c r="C25" s="1" t="s">
        <v>843</v>
      </c>
      <c r="D25" s="1" t="s">
        <v>229</v>
      </c>
      <c r="E25" s="1" t="s">
        <v>19</v>
      </c>
      <c r="F25" s="1"/>
      <c r="G25" s="6" t="s">
        <v>23</v>
      </c>
      <c r="H25" s="7">
        <v>85000</v>
      </c>
      <c r="I25" s="8">
        <v>27.5</v>
      </c>
      <c r="J25" s="1" t="s">
        <v>15</v>
      </c>
    </row>
    <row r="26" spans="1:10" x14ac:dyDescent="0.2">
      <c r="A26" s="5">
        <v>45871</v>
      </c>
      <c r="B26" s="1"/>
      <c r="C26" s="1"/>
      <c r="D26" s="1"/>
      <c r="E26" s="1" t="s">
        <v>61</v>
      </c>
      <c r="F26" s="1"/>
      <c r="G26" s="6" t="s">
        <v>23</v>
      </c>
      <c r="H26" s="7">
        <v>10000</v>
      </c>
      <c r="I26" s="8"/>
      <c r="J26" s="1"/>
    </row>
    <row r="27" spans="1:10" x14ac:dyDescent="0.2">
      <c r="A27" s="5">
        <v>45871</v>
      </c>
      <c r="B27" s="1"/>
      <c r="C27" s="1"/>
      <c r="D27" s="1"/>
      <c r="E27" s="1" t="s">
        <v>61</v>
      </c>
      <c r="F27" s="1"/>
      <c r="G27" s="6" t="s">
        <v>23</v>
      </c>
      <c r="H27" s="7">
        <v>10000</v>
      </c>
      <c r="I27" s="8"/>
      <c r="J27" s="1"/>
    </row>
    <row r="28" spans="1:10" x14ac:dyDescent="0.2">
      <c r="A28" s="5">
        <v>45871</v>
      </c>
      <c r="B28" s="1" t="s">
        <v>1404</v>
      </c>
      <c r="C28" s="1" t="s">
        <v>303</v>
      </c>
      <c r="D28" s="1" t="s">
        <v>1229</v>
      </c>
      <c r="E28" s="1" t="s">
        <v>19</v>
      </c>
      <c r="F28" s="1"/>
      <c r="G28" s="6" t="s">
        <v>23</v>
      </c>
      <c r="H28" s="7">
        <v>30000</v>
      </c>
      <c r="I28" s="8">
        <v>2.2999999999999998</v>
      </c>
      <c r="J28" s="1" t="s">
        <v>15</v>
      </c>
    </row>
    <row r="29" spans="1:10" x14ac:dyDescent="0.2">
      <c r="A29" s="5">
        <v>45871</v>
      </c>
      <c r="B29" s="1"/>
      <c r="C29" s="1"/>
      <c r="D29" s="1"/>
      <c r="E29" s="1" t="s">
        <v>61</v>
      </c>
      <c r="F29" s="1"/>
      <c r="G29" s="6" t="s">
        <v>14</v>
      </c>
      <c r="H29" s="7">
        <v>10000</v>
      </c>
      <c r="I29" s="8"/>
      <c r="J29" s="1"/>
    </row>
    <row r="30" spans="1:10" x14ac:dyDescent="0.2">
      <c r="A30" s="5">
        <v>45871</v>
      </c>
      <c r="B30" s="1"/>
      <c r="C30" s="1"/>
      <c r="D30" s="1"/>
      <c r="E30" s="1"/>
      <c r="F30" s="1" t="s">
        <v>15</v>
      </c>
      <c r="G30" s="6"/>
      <c r="H30" s="7">
        <v>15000</v>
      </c>
      <c r="I30" s="8"/>
      <c r="J30" s="1"/>
    </row>
    <row r="31" spans="1:10" x14ac:dyDescent="0.2">
      <c r="A31" s="5">
        <v>45871</v>
      </c>
      <c r="B31" s="1"/>
      <c r="C31" s="1"/>
      <c r="D31" s="1"/>
      <c r="E31" s="1" t="s">
        <v>61</v>
      </c>
      <c r="F31" s="1"/>
      <c r="G31" s="6" t="s">
        <v>23</v>
      </c>
      <c r="H31" s="7">
        <v>10000</v>
      </c>
      <c r="I31" s="8"/>
      <c r="J31" s="1"/>
    </row>
    <row r="32" spans="1:10" x14ac:dyDescent="0.2">
      <c r="A32" s="5">
        <v>45871</v>
      </c>
      <c r="B32" s="1"/>
      <c r="C32" s="1"/>
      <c r="D32" s="1"/>
      <c r="E32" s="1" t="s">
        <v>61</v>
      </c>
      <c r="F32" s="1"/>
      <c r="G32" s="6" t="s">
        <v>23</v>
      </c>
      <c r="H32" s="7">
        <v>10000</v>
      </c>
      <c r="I32" s="8"/>
      <c r="J32" s="1"/>
    </row>
    <row r="33" spans="1:10" x14ac:dyDescent="0.2">
      <c r="A33" s="5">
        <v>45873</v>
      </c>
      <c r="B33" s="1" t="s">
        <v>1405</v>
      </c>
      <c r="C33" s="1" t="s">
        <v>401</v>
      </c>
      <c r="D33" s="1" t="s">
        <v>64</v>
      </c>
      <c r="E33" s="1" t="s">
        <v>181</v>
      </c>
      <c r="F33" s="1"/>
      <c r="G33" s="6" t="s">
        <v>14</v>
      </c>
      <c r="H33" s="7">
        <v>90000</v>
      </c>
      <c r="I33" s="8"/>
      <c r="J33" s="1" t="s">
        <v>15</v>
      </c>
    </row>
    <row r="34" spans="1:10" x14ac:dyDescent="0.2">
      <c r="A34" s="5">
        <v>45873</v>
      </c>
      <c r="B34" s="1" t="s">
        <v>1406</v>
      </c>
      <c r="C34" s="1" t="s">
        <v>46</v>
      </c>
      <c r="D34" s="1" t="s">
        <v>26</v>
      </c>
      <c r="E34" s="1" t="s">
        <v>13</v>
      </c>
      <c r="F34" s="1"/>
      <c r="G34" s="6" t="s">
        <v>14</v>
      </c>
      <c r="H34" s="7">
        <v>87000</v>
      </c>
      <c r="I34" s="8"/>
      <c r="J34" s="1" t="s">
        <v>15</v>
      </c>
    </row>
    <row r="35" spans="1:10" x14ac:dyDescent="0.2">
      <c r="A35" s="5">
        <v>45873</v>
      </c>
      <c r="B35" s="1" t="s">
        <v>1407</v>
      </c>
      <c r="C35" s="1" t="s">
        <v>1408</v>
      </c>
      <c r="D35" s="1" t="s">
        <v>29</v>
      </c>
      <c r="E35" s="1" t="s">
        <v>13</v>
      </c>
      <c r="F35" s="1"/>
      <c r="G35" s="6" t="s">
        <v>14</v>
      </c>
      <c r="H35" s="7">
        <v>85000</v>
      </c>
      <c r="I35" s="8"/>
      <c r="J35" s="1" t="s">
        <v>15</v>
      </c>
    </row>
    <row r="36" spans="1:10" x14ac:dyDescent="0.2">
      <c r="A36" s="5">
        <v>45873</v>
      </c>
      <c r="B36" s="1" t="s">
        <v>292</v>
      </c>
      <c r="C36" s="1" t="s">
        <v>198</v>
      </c>
      <c r="D36" s="1" t="s">
        <v>58</v>
      </c>
      <c r="E36" s="1" t="s">
        <v>59</v>
      </c>
      <c r="F36" s="1"/>
      <c r="G36" s="6" t="s">
        <v>14</v>
      </c>
      <c r="H36" s="7">
        <v>65000</v>
      </c>
      <c r="I36" s="8"/>
      <c r="J36" s="1" t="s">
        <v>15</v>
      </c>
    </row>
    <row r="37" spans="1:10" x14ac:dyDescent="0.2">
      <c r="A37" s="5">
        <v>45873</v>
      </c>
      <c r="B37" s="1" t="s">
        <v>1409</v>
      </c>
      <c r="C37" s="1" t="s">
        <v>712</v>
      </c>
      <c r="D37" s="1" t="s">
        <v>1229</v>
      </c>
      <c r="E37" s="1" t="s">
        <v>19</v>
      </c>
      <c r="F37" s="1"/>
      <c r="G37" s="6" t="s">
        <v>23</v>
      </c>
      <c r="H37" s="7">
        <v>30000</v>
      </c>
      <c r="I37" s="8">
        <v>3</v>
      </c>
      <c r="J37" s="1" t="s">
        <v>15</v>
      </c>
    </row>
    <row r="38" spans="1:10" x14ac:dyDescent="0.2">
      <c r="A38" s="5">
        <v>45873</v>
      </c>
      <c r="B38" s="1" t="s">
        <v>759</v>
      </c>
      <c r="C38" s="1" t="s">
        <v>760</v>
      </c>
      <c r="D38" s="1" t="s">
        <v>26</v>
      </c>
      <c r="E38" s="1" t="s">
        <v>19</v>
      </c>
      <c r="F38" s="1"/>
      <c r="G38" s="6" t="s">
        <v>14</v>
      </c>
      <c r="H38" s="7">
        <v>70000</v>
      </c>
      <c r="I38" s="8">
        <v>10.4</v>
      </c>
      <c r="J38" s="1" t="s">
        <v>15</v>
      </c>
    </row>
    <row r="39" spans="1:10" x14ac:dyDescent="0.2">
      <c r="A39" s="5">
        <v>45873</v>
      </c>
      <c r="B39" s="1" t="s">
        <v>1410</v>
      </c>
      <c r="C39" s="1" t="s">
        <v>180</v>
      </c>
      <c r="D39" s="1" t="s">
        <v>18</v>
      </c>
      <c r="E39" s="1" t="s">
        <v>19</v>
      </c>
      <c r="F39" s="1"/>
      <c r="G39" s="6" t="s">
        <v>14</v>
      </c>
      <c r="H39" s="7">
        <v>70000</v>
      </c>
      <c r="I39" s="8">
        <v>13.5</v>
      </c>
      <c r="J39" s="1" t="s">
        <v>15</v>
      </c>
    </row>
    <row r="40" spans="1:10" x14ac:dyDescent="0.2">
      <c r="A40" s="5">
        <v>45873</v>
      </c>
      <c r="B40" s="1" t="s">
        <v>739</v>
      </c>
      <c r="C40" s="1" t="s">
        <v>740</v>
      </c>
      <c r="D40" s="1" t="s">
        <v>26</v>
      </c>
      <c r="E40" s="1" t="s">
        <v>19</v>
      </c>
      <c r="F40" s="1"/>
      <c r="G40" s="6" t="s">
        <v>14</v>
      </c>
      <c r="H40" s="7">
        <v>75000</v>
      </c>
      <c r="I40" s="8">
        <v>4.9000000000000004</v>
      </c>
      <c r="J40" s="1" t="s">
        <v>15</v>
      </c>
    </row>
    <row r="41" spans="1:10" x14ac:dyDescent="0.2">
      <c r="A41" s="5">
        <v>45873</v>
      </c>
      <c r="B41" s="1" t="s">
        <v>1411</v>
      </c>
      <c r="C41" s="1" t="s">
        <v>752</v>
      </c>
      <c r="D41" s="1" t="s">
        <v>88</v>
      </c>
      <c r="E41" s="1" t="s">
        <v>13</v>
      </c>
      <c r="F41" s="1"/>
      <c r="G41" s="6" t="s">
        <v>14</v>
      </c>
      <c r="H41" s="7">
        <v>85000</v>
      </c>
      <c r="I41" s="8">
        <v>3.6</v>
      </c>
      <c r="J41" s="1" t="s">
        <v>15</v>
      </c>
    </row>
    <row r="42" spans="1:10" x14ac:dyDescent="0.2">
      <c r="A42" s="5">
        <v>45874</v>
      </c>
      <c r="B42" s="1" t="s">
        <v>1412</v>
      </c>
      <c r="C42" s="1" t="s">
        <v>126</v>
      </c>
      <c r="D42" s="1" t="s">
        <v>58</v>
      </c>
      <c r="E42" s="1" t="s">
        <v>59</v>
      </c>
      <c r="F42" s="1"/>
      <c r="G42" s="6" t="s">
        <v>14</v>
      </c>
      <c r="H42" s="7">
        <v>85000</v>
      </c>
      <c r="I42" s="8">
        <v>5.4</v>
      </c>
      <c r="J42" s="1" t="s">
        <v>15</v>
      </c>
    </row>
    <row r="43" spans="1:10" x14ac:dyDescent="0.2">
      <c r="A43" s="5">
        <v>45874</v>
      </c>
      <c r="B43" s="1" t="s">
        <v>1412</v>
      </c>
      <c r="C43" s="1" t="s">
        <v>1413</v>
      </c>
      <c r="D43" s="1" t="s">
        <v>58</v>
      </c>
      <c r="E43" s="1" t="s">
        <v>59</v>
      </c>
      <c r="F43" s="1"/>
      <c r="G43" s="6" t="s">
        <v>14</v>
      </c>
      <c r="H43" s="7">
        <v>85000</v>
      </c>
      <c r="I43" s="8">
        <v>5</v>
      </c>
      <c r="J43" s="1" t="s">
        <v>15</v>
      </c>
    </row>
    <row r="44" spans="1:10" x14ac:dyDescent="0.2">
      <c r="A44" s="5">
        <v>45874</v>
      </c>
      <c r="B44" s="1" t="s">
        <v>605</v>
      </c>
      <c r="C44" s="1" t="s">
        <v>923</v>
      </c>
      <c r="D44" s="1" t="s">
        <v>64</v>
      </c>
      <c r="E44" s="1" t="s">
        <v>19</v>
      </c>
      <c r="F44" s="1"/>
      <c r="G44" s="6" t="s">
        <v>23</v>
      </c>
      <c r="H44" s="7">
        <v>60000</v>
      </c>
      <c r="I44" s="8"/>
      <c r="J44" s="1" t="s">
        <v>37</v>
      </c>
    </row>
    <row r="45" spans="1:10" x14ac:dyDescent="0.2">
      <c r="A45" s="5">
        <v>45874</v>
      </c>
      <c r="B45" s="1" t="s">
        <v>860</v>
      </c>
      <c r="C45" s="1" t="s">
        <v>737</v>
      </c>
      <c r="D45" s="1" t="s">
        <v>153</v>
      </c>
      <c r="E45" s="1" t="s">
        <v>19</v>
      </c>
      <c r="F45" s="1"/>
      <c r="G45" s="6"/>
      <c r="H45" s="7">
        <v>65000</v>
      </c>
      <c r="I45" s="8">
        <v>3</v>
      </c>
      <c r="J45" s="1" t="s">
        <v>34</v>
      </c>
    </row>
    <row r="46" spans="1:10" x14ac:dyDescent="0.2">
      <c r="A46" s="5">
        <v>45874</v>
      </c>
      <c r="B46" s="1" t="s">
        <v>850</v>
      </c>
      <c r="C46" s="1" t="s">
        <v>663</v>
      </c>
      <c r="D46" s="1" t="s">
        <v>1229</v>
      </c>
      <c r="E46" s="1" t="s">
        <v>19</v>
      </c>
      <c r="F46" s="1"/>
      <c r="G46" s="6" t="s">
        <v>23</v>
      </c>
      <c r="H46" s="7">
        <v>25000</v>
      </c>
      <c r="I46" s="8"/>
      <c r="J46" s="1" t="s">
        <v>15</v>
      </c>
    </row>
    <row r="47" spans="1:10" x14ac:dyDescent="0.2">
      <c r="A47" s="5">
        <v>45874</v>
      </c>
      <c r="B47" s="1" t="s">
        <v>497</v>
      </c>
      <c r="C47" s="1" t="s">
        <v>39</v>
      </c>
      <c r="D47" s="1" t="s">
        <v>26</v>
      </c>
      <c r="E47" s="1" t="s">
        <v>13</v>
      </c>
      <c r="F47" s="1"/>
      <c r="G47" s="6" t="s">
        <v>14</v>
      </c>
      <c r="H47" s="7">
        <v>75000</v>
      </c>
      <c r="I47" s="8"/>
      <c r="J47" s="1" t="s">
        <v>40</v>
      </c>
    </row>
    <row r="48" spans="1:10" x14ac:dyDescent="0.2">
      <c r="A48" s="5">
        <v>45874</v>
      </c>
      <c r="B48" s="1" t="s">
        <v>134</v>
      </c>
      <c r="C48" s="1" t="s">
        <v>135</v>
      </c>
      <c r="D48" s="1" t="s">
        <v>88</v>
      </c>
      <c r="E48" s="1" t="s">
        <v>19</v>
      </c>
      <c r="F48" s="1"/>
      <c r="G48" s="6" t="s">
        <v>14</v>
      </c>
      <c r="H48" s="7" t="s">
        <v>114</v>
      </c>
      <c r="I48" s="8"/>
      <c r="J48" s="1" t="s">
        <v>37</v>
      </c>
    </row>
    <row r="49" spans="1:10" x14ac:dyDescent="0.2">
      <c r="A49" s="5">
        <v>45874</v>
      </c>
      <c r="B49" s="1" t="s">
        <v>1414</v>
      </c>
      <c r="C49" s="1" t="s">
        <v>634</v>
      </c>
      <c r="D49" s="1" t="s">
        <v>1229</v>
      </c>
      <c r="E49" s="1" t="s">
        <v>19</v>
      </c>
      <c r="F49" s="1"/>
      <c r="G49" s="6" t="s">
        <v>23</v>
      </c>
      <c r="H49" s="7">
        <v>30000</v>
      </c>
      <c r="I49" s="8">
        <v>4.9000000000000004</v>
      </c>
      <c r="J49" s="1" t="s">
        <v>37</v>
      </c>
    </row>
    <row r="50" spans="1:10" x14ac:dyDescent="0.2">
      <c r="A50" s="5">
        <v>45874</v>
      </c>
      <c r="B50" s="1" t="s">
        <v>1414</v>
      </c>
      <c r="C50" s="1" t="s">
        <v>1415</v>
      </c>
      <c r="D50" s="1" t="s">
        <v>64</v>
      </c>
      <c r="E50" s="1" t="s">
        <v>13</v>
      </c>
      <c r="F50" s="1"/>
      <c r="G50" s="6" t="s">
        <v>23</v>
      </c>
      <c r="H50" s="7">
        <v>70000</v>
      </c>
      <c r="I50" s="8">
        <v>13.1</v>
      </c>
      <c r="J50" s="1" t="s">
        <v>37</v>
      </c>
    </row>
    <row r="51" spans="1:10" x14ac:dyDescent="0.2">
      <c r="A51" s="5">
        <v>45874</v>
      </c>
      <c r="B51" s="1"/>
      <c r="C51" s="1"/>
      <c r="D51" s="1"/>
      <c r="E51" s="1" t="s">
        <v>61</v>
      </c>
      <c r="F51" s="1"/>
      <c r="G51" s="6"/>
      <c r="H51" s="7">
        <v>10000</v>
      </c>
      <c r="I51" s="8"/>
      <c r="J51" s="1" t="s">
        <v>160</v>
      </c>
    </row>
    <row r="52" spans="1:10" x14ac:dyDescent="0.2">
      <c r="A52" s="5">
        <v>45875</v>
      </c>
      <c r="B52" s="1" t="s">
        <v>1416</v>
      </c>
      <c r="C52" s="1" t="s">
        <v>1417</v>
      </c>
      <c r="D52" s="1" t="s">
        <v>26</v>
      </c>
      <c r="E52" s="1" t="s">
        <v>13</v>
      </c>
      <c r="F52" s="1"/>
      <c r="G52" s="6" t="s">
        <v>14</v>
      </c>
      <c r="H52" s="7">
        <v>85000</v>
      </c>
      <c r="I52" s="8">
        <v>5.4</v>
      </c>
      <c r="J52" s="1"/>
    </row>
    <row r="53" spans="1:10" x14ac:dyDescent="0.2">
      <c r="A53" s="5">
        <v>45875</v>
      </c>
      <c r="B53" s="1" t="s">
        <v>1241</v>
      </c>
      <c r="C53" s="1" t="s">
        <v>253</v>
      </c>
      <c r="D53" s="1" t="s">
        <v>88</v>
      </c>
      <c r="E53" s="1" t="s">
        <v>94</v>
      </c>
      <c r="F53" s="1"/>
      <c r="G53" s="6" t="s">
        <v>14</v>
      </c>
      <c r="H53" s="7">
        <v>60000</v>
      </c>
      <c r="I53" s="8"/>
      <c r="J53" s="1"/>
    </row>
    <row r="54" spans="1:10" x14ac:dyDescent="0.2">
      <c r="A54" s="5">
        <v>45875</v>
      </c>
      <c r="B54" s="1" t="s">
        <v>1241</v>
      </c>
      <c r="C54" s="1" t="s">
        <v>1418</v>
      </c>
      <c r="D54" s="1" t="s">
        <v>165</v>
      </c>
      <c r="E54" s="1" t="s">
        <v>19</v>
      </c>
      <c r="F54" s="1"/>
      <c r="G54" s="6" t="s">
        <v>14</v>
      </c>
      <c r="H54" s="7">
        <v>60000</v>
      </c>
      <c r="I54" s="8"/>
      <c r="J54" s="1"/>
    </row>
    <row r="55" spans="1:10" x14ac:dyDescent="0.2">
      <c r="A55" s="5">
        <v>45875</v>
      </c>
      <c r="B55" s="1" t="s">
        <v>1419</v>
      </c>
      <c r="C55" s="1" t="s">
        <v>1420</v>
      </c>
      <c r="D55" s="1" t="s">
        <v>26</v>
      </c>
      <c r="E55" s="1" t="s">
        <v>13</v>
      </c>
      <c r="F55" s="1" t="s">
        <v>448</v>
      </c>
      <c r="G55" s="6" t="s">
        <v>14</v>
      </c>
      <c r="H55" s="7">
        <v>90000</v>
      </c>
      <c r="I55" s="8"/>
      <c r="J55" s="1"/>
    </row>
    <row r="56" spans="1:10" x14ac:dyDescent="0.2">
      <c r="A56" s="5">
        <v>45875</v>
      </c>
      <c r="B56" s="1" t="s">
        <v>985</v>
      </c>
      <c r="C56" s="1" t="s">
        <v>738</v>
      </c>
      <c r="D56" s="1" t="s">
        <v>18</v>
      </c>
      <c r="E56" s="1" t="s">
        <v>13</v>
      </c>
      <c r="F56" s="1"/>
      <c r="G56" s="6" t="s">
        <v>14</v>
      </c>
      <c r="H56" s="7">
        <v>80000</v>
      </c>
      <c r="I56" s="8">
        <v>18.600000000000001</v>
      </c>
      <c r="J56" s="1"/>
    </row>
    <row r="57" spans="1:10" x14ac:dyDescent="0.2">
      <c r="A57" s="5">
        <v>45875</v>
      </c>
      <c r="B57" s="1" t="s">
        <v>601</v>
      </c>
      <c r="C57" s="1" t="s">
        <v>294</v>
      </c>
      <c r="D57" s="1" t="s">
        <v>18</v>
      </c>
      <c r="E57" s="1" t="s">
        <v>19</v>
      </c>
      <c r="F57" s="1"/>
      <c r="G57" s="6" t="s">
        <v>14</v>
      </c>
      <c r="H57" s="7">
        <v>65000</v>
      </c>
      <c r="I57" s="8">
        <v>11.3</v>
      </c>
      <c r="J57" s="1"/>
    </row>
    <row r="58" spans="1:10" x14ac:dyDescent="0.2">
      <c r="A58" s="5">
        <v>45875</v>
      </c>
      <c r="B58" s="1" t="s">
        <v>350</v>
      </c>
      <c r="C58" s="1" t="s">
        <v>766</v>
      </c>
      <c r="D58" s="1" t="s">
        <v>352</v>
      </c>
      <c r="E58" s="1" t="s">
        <v>19</v>
      </c>
      <c r="F58" s="1"/>
      <c r="G58" s="6" t="s">
        <v>23</v>
      </c>
      <c r="H58" s="7">
        <v>50000</v>
      </c>
      <c r="I58" s="8">
        <v>15</v>
      </c>
      <c r="J58" s="1"/>
    </row>
    <row r="59" spans="1:10" x14ac:dyDescent="0.2">
      <c r="A59" s="5">
        <v>45875</v>
      </c>
      <c r="B59" s="1" t="s">
        <v>1421</v>
      </c>
      <c r="C59" s="1" t="s">
        <v>1422</v>
      </c>
      <c r="D59" s="1" t="s">
        <v>64</v>
      </c>
      <c r="E59" s="1" t="s">
        <v>19</v>
      </c>
      <c r="F59" s="1"/>
      <c r="G59" s="6" t="s">
        <v>23</v>
      </c>
      <c r="H59" s="7">
        <v>70000</v>
      </c>
      <c r="I59" s="8"/>
      <c r="J59" s="1"/>
    </row>
    <row r="60" spans="1:10" x14ac:dyDescent="0.2">
      <c r="A60" s="5">
        <v>45875</v>
      </c>
      <c r="B60" s="1" t="s">
        <v>1421</v>
      </c>
      <c r="C60" s="1" t="s">
        <v>811</v>
      </c>
      <c r="D60" s="1" t="s">
        <v>64</v>
      </c>
      <c r="E60" s="1" t="s">
        <v>19</v>
      </c>
      <c r="F60" s="1"/>
      <c r="G60" s="6" t="s">
        <v>23</v>
      </c>
      <c r="H60" s="7">
        <v>70000</v>
      </c>
      <c r="I60" s="8"/>
      <c r="J60" s="1"/>
    </row>
    <row r="61" spans="1:10" x14ac:dyDescent="0.2">
      <c r="A61" s="5">
        <v>45875</v>
      </c>
      <c r="B61" s="1" t="s">
        <v>1324</v>
      </c>
      <c r="C61" s="1" t="s">
        <v>249</v>
      </c>
      <c r="D61" s="1" t="s">
        <v>45</v>
      </c>
      <c r="E61" s="1" t="s">
        <v>19</v>
      </c>
      <c r="F61" s="1"/>
      <c r="G61" s="6" t="s">
        <v>14</v>
      </c>
      <c r="H61" s="7">
        <v>95000</v>
      </c>
      <c r="I61" s="8"/>
      <c r="J61" s="1"/>
    </row>
    <row r="62" spans="1:10" x14ac:dyDescent="0.2">
      <c r="A62" s="5">
        <v>45877</v>
      </c>
      <c r="B62" s="1" t="s">
        <v>54</v>
      </c>
      <c r="C62" s="1" t="s">
        <v>55</v>
      </c>
      <c r="D62" s="1" t="s">
        <v>32</v>
      </c>
      <c r="E62" s="1" t="s">
        <v>19</v>
      </c>
      <c r="F62" s="1"/>
      <c r="G62" s="6" t="s">
        <v>14</v>
      </c>
      <c r="H62" s="7">
        <v>60000</v>
      </c>
      <c r="I62" s="8">
        <v>4.5</v>
      </c>
      <c r="J62" s="1"/>
    </row>
    <row r="63" spans="1:10" x14ac:dyDescent="0.2">
      <c r="A63" s="5">
        <v>45877</v>
      </c>
      <c r="B63" s="1" t="s">
        <v>1190</v>
      </c>
      <c r="C63" s="1" t="s">
        <v>1105</v>
      </c>
      <c r="D63" s="1" t="s">
        <v>88</v>
      </c>
      <c r="E63" s="1" t="s">
        <v>13</v>
      </c>
      <c r="F63" s="1"/>
      <c r="G63" s="6" t="s">
        <v>14</v>
      </c>
      <c r="H63" s="7">
        <v>85000</v>
      </c>
      <c r="I63" s="8">
        <v>8.4</v>
      </c>
      <c r="J63" s="1"/>
    </row>
    <row r="64" spans="1:10" x14ac:dyDescent="0.2">
      <c r="A64" s="5">
        <v>45877</v>
      </c>
      <c r="B64" s="1" t="s">
        <v>355</v>
      </c>
      <c r="C64" s="1" t="s">
        <v>287</v>
      </c>
      <c r="D64" s="1" t="s">
        <v>32</v>
      </c>
      <c r="E64" s="1" t="s">
        <v>13</v>
      </c>
      <c r="F64" s="1"/>
      <c r="G64" s="6" t="s">
        <v>14</v>
      </c>
      <c r="H64" s="7">
        <v>60000</v>
      </c>
      <c r="I64" s="8">
        <v>4.5</v>
      </c>
      <c r="J64" s="1"/>
    </row>
    <row r="65" spans="1:10" x14ac:dyDescent="0.2">
      <c r="A65" s="5">
        <v>45877</v>
      </c>
      <c r="B65" s="1" t="s">
        <v>938</v>
      </c>
      <c r="C65" s="1" t="s">
        <v>563</v>
      </c>
      <c r="D65" s="1" t="s">
        <v>64</v>
      </c>
      <c r="E65" s="1" t="s">
        <v>19</v>
      </c>
      <c r="F65" s="1"/>
      <c r="G65" s="6" t="s">
        <v>23</v>
      </c>
      <c r="H65" s="7">
        <v>50000</v>
      </c>
      <c r="I65" s="8">
        <v>14.2</v>
      </c>
      <c r="J65" s="1"/>
    </row>
    <row r="66" spans="1:10" x14ac:dyDescent="0.2">
      <c r="A66" s="5">
        <v>45877</v>
      </c>
      <c r="B66" s="1" t="s">
        <v>1423</v>
      </c>
      <c r="C66" s="1" t="s">
        <v>110</v>
      </c>
      <c r="D66" s="1" t="s">
        <v>101</v>
      </c>
      <c r="E66" s="1" t="s">
        <v>13</v>
      </c>
      <c r="F66" s="1"/>
      <c r="G66" s="6" t="s">
        <v>14</v>
      </c>
      <c r="H66" s="7">
        <v>75000</v>
      </c>
      <c r="I66" s="8">
        <v>9.3000000000000007</v>
      </c>
      <c r="J66" s="1"/>
    </row>
    <row r="67" spans="1:10" x14ac:dyDescent="0.2">
      <c r="A67" s="5">
        <v>45877</v>
      </c>
      <c r="B67" s="1" t="s">
        <v>1424</v>
      </c>
      <c r="C67" s="1" t="s">
        <v>712</v>
      </c>
      <c r="D67" s="1" t="s">
        <v>18</v>
      </c>
      <c r="E67" s="1"/>
      <c r="F67" s="1"/>
      <c r="G67" s="6"/>
      <c r="H67" s="7">
        <v>78000</v>
      </c>
      <c r="I67" s="1">
        <v>12.7</v>
      </c>
      <c r="J67" s="1"/>
    </row>
    <row r="68" spans="1:10" x14ac:dyDescent="0.2">
      <c r="A68" s="5">
        <v>45877</v>
      </c>
      <c r="B68" s="1" t="s">
        <v>841</v>
      </c>
      <c r="C68" s="1" t="s">
        <v>842</v>
      </c>
      <c r="D68" s="1" t="s">
        <v>119</v>
      </c>
      <c r="E68" s="1" t="s">
        <v>19</v>
      </c>
      <c r="F68" s="1"/>
      <c r="G68" s="6" t="s">
        <v>14</v>
      </c>
      <c r="H68" s="7">
        <v>50000</v>
      </c>
      <c r="I68" s="1">
        <v>9.8000000000000007</v>
      </c>
      <c r="J68" s="1"/>
    </row>
    <row r="69" spans="1:10" x14ac:dyDescent="0.2">
      <c r="A69" s="5">
        <v>45877</v>
      </c>
      <c r="B69" s="1" t="s">
        <v>1343</v>
      </c>
      <c r="C69" s="1" t="s">
        <v>31</v>
      </c>
      <c r="D69" s="1" t="s">
        <v>101</v>
      </c>
      <c r="E69" s="1" t="s">
        <v>13</v>
      </c>
      <c r="F69" s="1"/>
      <c r="G69" s="6"/>
      <c r="H69" s="7">
        <v>65000</v>
      </c>
      <c r="I69" s="8">
        <v>3.7</v>
      </c>
      <c r="J69" s="1"/>
    </row>
    <row r="70" spans="1:10" x14ac:dyDescent="0.2">
      <c r="A70" s="5">
        <v>45877</v>
      </c>
      <c r="B70" s="1" t="s">
        <v>1199</v>
      </c>
      <c r="C70" s="1" t="s">
        <v>604</v>
      </c>
      <c r="D70" s="1" t="s">
        <v>64</v>
      </c>
      <c r="E70" s="1" t="s">
        <v>19</v>
      </c>
      <c r="F70" s="1"/>
      <c r="G70" s="6" t="s">
        <v>23</v>
      </c>
      <c r="H70" s="7">
        <v>70000</v>
      </c>
      <c r="I70" s="8">
        <v>27.2</v>
      </c>
      <c r="J70" s="1"/>
    </row>
    <row r="71" spans="1:10" x14ac:dyDescent="0.2">
      <c r="A71" s="5">
        <v>45877</v>
      </c>
      <c r="B71" s="1"/>
      <c r="C71" s="1"/>
      <c r="D71" s="1"/>
      <c r="E71" s="1" t="s">
        <v>61</v>
      </c>
      <c r="F71" s="1"/>
      <c r="G71" s="6"/>
      <c r="H71" s="7">
        <v>10000</v>
      </c>
      <c r="I71" s="8"/>
      <c r="J71" s="1"/>
    </row>
    <row r="72" spans="1:10" x14ac:dyDescent="0.2">
      <c r="A72" s="5">
        <v>45878</v>
      </c>
      <c r="B72" s="1" t="s">
        <v>1346</v>
      </c>
      <c r="C72" s="1" t="s">
        <v>651</v>
      </c>
      <c r="D72" s="1" t="s">
        <v>32</v>
      </c>
      <c r="E72" s="1" t="s">
        <v>13</v>
      </c>
      <c r="F72" s="1"/>
      <c r="G72" s="6" t="s">
        <v>14</v>
      </c>
      <c r="H72" s="7">
        <v>80000</v>
      </c>
      <c r="I72" s="8">
        <v>2.2999999999999998</v>
      </c>
      <c r="J72" s="1"/>
    </row>
    <row r="73" spans="1:10" x14ac:dyDescent="0.2">
      <c r="A73" s="5">
        <v>45878</v>
      </c>
      <c r="B73" s="1" t="s">
        <v>81</v>
      </c>
      <c r="C73" s="1" t="s">
        <v>929</v>
      </c>
      <c r="D73" s="1" t="s">
        <v>64</v>
      </c>
      <c r="E73" s="1" t="s">
        <v>13</v>
      </c>
      <c r="F73" s="1"/>
      <c r="G73" s="6" t="s">
        <v>14</v>
      </c>
      <c r="H73" s="7">
        <v>65000</v>
      </c>
      <c r="I73" s="8">
        <v>14</v>
      </c>
      <c r="J73" s="1"/>
    </row>
    <row r="74" spans="1:10" x14ac:dyDescent="0.2">
      <c r="A74" s="5">
        <v>45878</v>
      </c>
      <c r="B74" s="1" t="s">
        <v>607</v>
      </c>
      <c r="C74" s="1" t="s">
        <v>126</v>
      </c>
      <c r="D74" s="1" t="s">
        <v>32</v>
      </c>
      <c r="E74" s="1" t="s">
        <v>19</v>
      </c>
      <c r="F74" s="1"/>
      <c r="G74" s="6" t="s">
        <v>14</v>
      </c>
      <c r="H74" s="7">
        <v>55000</v>
      </c>
      <c r="I74" s="8"/>
      <c r="J74" s="1"/>
    </row>
    <row r="75" spans="1:10" x14ac:dyDescent="0.2">
      <c r="A75" s="5">
        <v>45878</v>
      </c>
      <c r="B75" s="1" t="s">
        <v>1425</v>
      </c>
      <c r="C75" s="1" t="s">
        <v>1426</v>
      </c>
      <c r="D75" s="1" t="s">
        <v>64</v>
      </c>
      <c r="E75" s="1" t="s">
        <v>19</v>
      </c>
      <c r="F75" s="1"/>
      <c r="G75" s="6" t="s">
        <v>14</v>
      </c>
      <c r="H75" s="7">
        <v>70000</v>
      </c>
      <c r="I75" s="8">
        <v>19.3</v>
      </c>
      <c r="J75" s="1"/>
    </row>
    <row r="76" spans="1:10" x14ac:dyDescent="0.2">
      <c r="A76" s="5">
        <v>45878</v>
      </c>
      <c r="B76" s="1" t="s">
        <v>132</v>
      </c>
      <c r="C76" s="1" t="s">
        <v>133</v>
      </c>
      <c r="D76" s="1" t="s">
        <v>18</v>
      </c>
      <c r="E76" s="1" t="s">
        <v>19</v>
      </c>
      <c r="F76" s="1"/>
      <c r="G76" s="6" t="s">
        <v>23</v>
      </c>
      <c r="H76" s="7" t="s">
        <v>114</v>
      </c>
      <c r="I76" s="8"/>
      <c r="J76" s="1"/>
    </row>
    <row r="77" spans="1:10" x14ac:dyDescent="0.2">
      <c r="A77" s="5">
        <v>45878</v>
      </c>
      <c r="B77" s="1" t="s">
        <v>129</v>
      </c>
      <c r="C77" s="1" t="s">
        <v>130</v>
      </c>
      <c r="D77" s="1" t="s">
        <v>131</v>
      </c>
      <c r="E77" s="1" t="s">
        <v>19</v>
      </c>
      <c r="F77" s="1"/>
      <c r="G77" s="6" t="s">
        <v>14</v>
      </c>
      <c r="H77" s="7" t="s">
        <v>114</v>
      </c>
      <c r="I77" s="8">
        <v>39.700000000000003</v>
      </c>
      <c r="J77" s="1"/>
    </row>
    <row r="78" spans="1:10" x14ac:dyDescent="0.2">
      <c r="A78" s="5">
        <v>45878</v>
      </c>
      <c r="B78" s="1" t="s">
        <v>52</v>
      </c>
      <c r="C78" s="1" t="s">
        <v>563</v>
      </c>
      <c r="D78" s="1" t="s">
        <v>32</v>
      </c>
      <c r="E78" s="1" t="s">
        <v>13</v>
      </c>
      <c r="F78" s="1"/>
      <c r="G78" s="6" t="s">
        <v>14</v>
      </c>
      <c r="H78" s="7">
        <v>75000</v>
      </c>
      <c r="I78" s="8">
        <v>2.2999999999999998</v>
      </c>
      <c r="J78" s="1"/>
    </row>
    <row r="79" spans="1:10" x14ac:dyDescent="0.2">
      <c r="A79" s="5">
        <v>45878</v>
      </c>
      <c r="B79" s="1" t="s">
        <v>1427</v>
      </c>
      <c r="C79" s="1" t="s">
        <v>788</v>
      </c>
      <c r="D79" s="1" t="s">
        <v>196</v>
      </c>
      <c r="E79" s="1" t="s">
        <v>94</v>
      </c>
      <c r="F79" s="1"/>
      <c r="G79" s="6" t="s">
        <v>14</v>
      </c>
      <c r="H79" s="7">
        <v>110000</v>
      </c>
      <c r="I79" s="8">
        <v>28</v>
      </c>
      <c r="J79" s="1"/>
    </row>
    <row r="80" spans="1:10" x14ac:dyDescent="0.2">
      <c r="A80" s="5">
        <v>45878</v>
      </c>
      <c r="B80" s="1" t="s">
        <v>1428</v>
      </c>
      <c r="C80" s="1" t="s">
        <v>821</v>
      </c>
      <c r="D80" s="1" t="s">
        <v>88</v>
      </c>
      <c r="E80" s="1" t="s">
        <v>792</v>
      </c>
      <c r="F80" s="1"/>
      <c r="G80" s="6" t="s">
        <v>14</v>
      </c>
      <c r="H80" s="7">
        <v>120000</v>
      </c>
      <c r="I80" s="8">
        <v>3.5</v>
      </c>
      <c r="J80" s="1"/>
    </row>
    <row r="81" spans="1:10" x14ac:dyDescent="0.2">
      <c r="A81" s="5">
        <v>45878</v>
      </c>
      <c r="B81" s="1" t="s">
        <v>1429</v>
      </c>
      <c r="C81" s="1" t="s">
        <v>321</v>
      </c>
      <c r="D81" s="1" t="s">
        <v>88</v>
      </c>
      <c r="E81" s="1" t="s">
        <v>13</v>
      </c>
      <c r="F81" s="1"/>
      <c r="G81" s="6" t="s">
        <v>14</v>
      </c>
      <c r="H81" s="7">
        <v>85000</v>
      </c>
      <c r="I81" s="8"/>
      <c r="J81" s="1"/>
    </row>
    <row r="82" spans="1:10" x14ac:dyDescent="0.2">
      <c r="A82" s="5">
        <v>45878</v>
      </c>
      <c r="B82" s="1" t="s">
        <v>1430</v>
      </c>
      <c r="C82" s="1" t="s">
        <v>301</v>
      </c>
      <c r="D82" s="1" t="s">
        <v>131</v>
      </c>
      <c r="E82" s="1" t="s">
        <v>19</v>
      </c>
      <c r="F82" s="1"/>
      <c r="G82" s="6" t="s">
        <v>14</v>
      </c>
      <c r="H82" s="7">
        <v>90000</v>
      </c>
      <c r="I82" s="8">
        <v>30</v>
      </c>
      <c r="J82" s="1"/>
    </row>
    <row r="83" spans="1:10" x14ac:dyDescent="0.2">
      <c r="A83" s="5">
        <v>45878</v>
      </c>
      <c r="B83" s="1" t="s">
        <v>1430</v>
      </c>
      <c r="C83" s="1" t="s">
        <v>206</v>
      </c>
      <c r="D83" s="1" t="s">
        <v>131</v>
      </c>
      <c r="E83" s="1" t="s">
        <v>19</v>
      </c>
      <c r="F83" s="1"/>
      <c r="G83" s="6" t="s">
        <v>14</v>
      </c>
      <c r="H83" s="7">
        <v>100000</v>
      </c>
      <c r="I83" s="8">
        <v>31</v>
      </c>
      <c r="J83" s="1"/>
    </row>
    <row r="84" spans="1:10" x14ac:dyDescent="0.2">
      <c r="A84" s="5"/>
      <c r="B84" s="1"/>
      <c r="C84" s="1"/>
      <c r="D84" s="1"/>
      <c r="E84" s="1" t="s">
        <v>61</v>
      </c>
      <c r="F84" s="1"/>
      <c r="G84" s="6"/>
      <c r="H84" s="7">
        <v>10000</v>
      </c>
      <c r="I84" s="8"/>
      <c r="J84" s="1"/>
    </row>
    <row r="85" spans="1:10" x14ac:dyDescent="0.2">
      <c r="A85" s="5"/>
      <c r="B85" s="1"/>
      <c r="C85" s="1"/>
      <c r="D85" s="1"/>
      <c r="E85" s="1" t="s">
        <v>61</v>
      </c>
      <c r="F85" s="1"/>
      <c r="G85" s="6"/>
      <c r="H85" s="7">
        <v>10000</v>
      </c>
      <c r="I85" s="8"/>
      <c r="J85" s="1"/>
    </row>
    <row r="86" spans="1:10" x14ac:dyDescent="0.2">
      <c r="A86" s="5">
        <v>45880</v>
      </c>
      <c r="B86" s="1" t="s">
        <v>928</v>
      </c>
      <c r="C86" s="1" t="s">
        <v>433</v>
      </c>
      <c r="D86" s="1" t="s">
        <v>18</v>
      </c>
      <c r="E86" s="1" t="s">
        <v>13</v>
      </c>
      <c r="F86" s="1"/>
      <c r="G86" s="6" t="s">
        <v>14</v>
      </c>
      <c r="H86" s="7">
        <v>75000</v>
      </c>
      <c r="I86" s="8">
        <v>15.6</v>
      </c>
      <c r="J86" s="1" t="s">
        <v>15</v>
      </c>
    </row>
    <row r="87" spans="1:10" x14ac:dyDescent="0.2">
      <c r="A87" s="5">
        <v>45880</v>
      </c>
      <c r="B87" s="1" t="s">
        <v>388</v>
      </c>
      <c r="C87" s="1" t="s">
        <v>389</v>
      </c>
      <c r="D87" s="1" t="s">
        <v>196</v>
      </c>
      <c r="E87" s="1" t="s">
        <v>94</v>
      </c>
      <c r="F87" s="1"/>
      <c r="G87" s="6" t="s">
        <v>14</v>
      </c>
      <c r="H87" s="7">
        <v>85000</v>
      </c>
      <c r="I87" s="8">
        <v>25.8</v>
      </c>
      <c r="J87" s="1" t="s">
        <v>15</v>
      </c>
    </row>
    <row r="88" spans="1:10" x14ac:dyDescent="0.2">
      <c r="A88" s="5">
        <v>45880</v>
      </c>
      <c r="B88" s="1" t="s">
        <v>824</v>
      </c>
      <c r="C88" s="1" t="s">
        <v>275</v>
      </c>
      <c r="D88" s="1" t="s">
        <v>88</v>
      </c>
      <c r="E88" s="1" t="s">
        <v>94</v>
      </c>
      <c r="F88" s="1"/>
      <c r="G88" s="6" t="s">
        <v>14</v>
      </c>
      <c r="H88" s="7">
        <v>60000</v>
      </c>
      <c r="I88" s="8"/>
      <c r="J88" s="1"/>
    </row>
    <row r="89" spans="1:10" x14ac:dyDescent="0.2">
      <c r="A89" s="5">
        <v>45880</v>
      </c>
      <c r="B89" s="1" t="s">
        <v>824</v>
      </c>
      <c r="C89" s="1" t="s">
        <v>825</v>
      </c>
      <c r="D89" s="1" t="s">
        <v>32</v>
      </c>
      <c r="E89" s="1" t="s">
        <v>13</v>
      </c>
      <c r="F89" s="1"/>
      <c r="G89" s="6" t="s">
        <v>14</v>
      </c>
      <c r="H89" s="7">
        <v>65000</v>
      </c>
      <c r="I89" s="8"/>
      <c r="J89" s="1"/>
    </row>
    <row r="90" spans="1:10" x14ac:dyDescent="0.2">
      <c r="A90" s="5">
        <v>45880</v>
      </c>
      <c r="B90" s="1" t="s">
        <v>1431</v>
      </c>
      <c r="C90" s="1" t="s">
        <v>910</v>
      </c>
      <c r="D90" s="1" t="s">
        <v>26</v>
      </c>
      <c r="E90" s="1" t="s">
        <v>78</v>
      </c>
      <c r="F90" s="1"/>
      <c r="G90" s="6" t="s">
        <v>14</v>
      </c>
      <c r="H90" s="7">
        <v>85000</v>
      </c>
      <c r="I90" s="8"/>
      <c r="J90" s="1"/>
    </row>
    <row r="91" spans="1:10" x14ac:dyDescent="0.2">
      <c r="A91" s="5">
        <v>45880</v>
      </c>
      <c r="B91" s="1" t="s">
        <v>1431</v>
      </c>
      <c r="C91" s="1" t="s">
        <v>715</v>
      </c>
      <c r="D91" s="1" t="s">
        <v>26</v>
      </c>
      <c r="E91" s="1" t="s">
        <v>78</v>
      </c>
      <c r="F91" s="1"/>
      <c r="G91" s="6" t="s">
        <v>14</v>
      </c>
      <c r="H91" s="7">
        <v>85000</v>
      </c>
      <c r="I91" s="8"/>
      <c r="J91" s="1"/>
    </row>
    <row r="92" spans="1:10" x14ac:dyDescent="0.2">
      <c r="A92" s="5">
        <v>45880</v>
      </c>
      <c r="B92" s="1" t="s">
        <v>1432</v>
      </c>
      <c r="C92" s="1" t="s">
        <v>1433</v>
      </c>
      <c r="D92" s="1" t="s">
        <v>64</v>
      </c>
      <c r="E92" s="1" t="s">
        <v>19</v>
      </c>
      <c r="F92" s="1"/>
      <c r="G92" s="6" t="s">
        <v>23</v>
      </c>
      <c r="H92" s="7">
        <v>70000</v>
      </c>
      <c r="I92" s="8"/>
      <c r="J92" s="1"/>
    </row>
    <row r="93" spans="1:10" x14ac:dyDescent="0.2">
      <c r="A93" s="5">
        <v>45880</v>
      </c>
      <c r="B93" s="1" t="s">
        <v>1432</v>
      </c>
      <c r="C93" s="1" t="s">
        <v>839</v>
      </c>
      <c r="D93" s="1" t="s">
        <v>64</v>
      </c>
      <c r="E93" s="1" t="s">
        <v>19</v>
      </c>
      <c r="F93" s="1"/>
      <c r="G93" s="6" t="s">
        <v>23</v>
      </c>
      <c r="H93" s="7">
        <v>70000</v>
      </c>
      <c r="I93" s="8"/>
      <c r="J93" s="1"/>
    </row>
    <row r="94" spans="1:10" x14ac:dyDescent="0.2">
      <c r="A94" s="5">
        <v>45881</v>
      </c>
      <c r="B94" s="1" t="s">
        <v>1434</v>
      </c>
      <c r="C94" s="1" t="s">
        <v>590</v>
      </c>
      <c r="D94" s="1" t="s">
        <v>26</v>
      </c>
      <c r="E94" s="1" t="s">
        <v>78</v>
      </c>
      <c r="F94" s="1"/>
      <c r="G94" s="6" t="s">
        <v>14</v>
      </c>
      <c r="H94" s="7">
        <v>75000</v>
      </c>
      <c r="I94" s="8">
        <v>4.5</v>
      </c>
      <c r="J94" s="1"/>
    </row>
    <row r="95" spans="1:10" x14ac:dyDescent="0.2">
      <c r="A95" s="5">
        <v>45881</v>
      </c>
      <c r="B95" s="1" t="s">
        <v>703</v>
      </c>
      <c r="C95" s="1" t="s">
        <v>904</v>
      </c>
      <c r="D95" s="1" t="s">
        <v>196</v>
      </c>
      <c r="E95" s="1" t="s">
        <v>94</v>
      </c>
      <c r="F95" s="1"/>
      <c r="G95" s="6" t="s">
        <v>14</v>
      </c>
      <c r="H95" s="7">
        <v>130000</v>
      </c>
      <c r="I95" s="8">
        <v>26.7</v>
      </c>
      <c r="J95" s="1"/>
    </row>
    <row r="96" spans="1:10" x14ac:dyDescent="0.2">
      <c r="A96" s="5">
        <v>45881</v>
      </c>
      <c r="B96" s="1" t="s">
        <v>701</v>
      </c>
      <c r="C96" s="1" t="s">
        <v>702</v>
      </c>
      <c r="D96" s="1" t="s">
        <v>64</v>
      </c>
      <c r="E96" s="1" t="s">
        <v>13</v>
      </c>
      <c r="F96" s="1"/>
      <c r="G96" s="6" t="s">
        <v>14</v>
      </c>
      <c r="H96" s="7">
        <v>85000</v>
      </c>
      <c r="I96" s="8">
        <v>12.7</v>
      </c>
      <c r="J96" s="1"/>
    </row>
    <row r="97" spans="1:10" x14ac:dyDescent="0.2">
      <c r="A97" s="5">
        <v>45881</v>
      </c>
      <c r="B97" s="1" t="s">
        <v>344</v>
      </c>
      <c r="C97" s="1" t="s">
        <v>25</v>
      </c>
      <c r="D97" s="1" t="s">
        <v>26</v>
      </c>
      <c r="E97" s="1" t="s">
        <v>19</v>
      </c>
      <c r="F97" s="1"/>
      <c r="G97" s="6" t="s">
        <v>14</v>
      </c>
      <c r="H97" s="7">
        <v>70000</v>
      </c>
      <c r="I97" s="8">
        <v>7.5</v>
      </c>
      <c r="J97" s="1"/>
    </row>
    <row r="98" spans="1:10" x14ac:dyDescent="0.2">
      <c r="A98" s="5">
        <v>45881</v>
      </c>
      <c r="B98" s="1" t="s">
        <v>344</v>
      </c>
      <c r="C98" s="1" t="s">
        <v>31</v>
      </c>
      <c r="D98" s="1" t="s">
        <v>64</v>
      </c>
      <c r="E98" s="1" t="s">
        <v>19</v>
      </c>
      <c r="F98" s="1"/>
      <c r="G98" s="6" t="s">
        <v>23</v>
      </c>
      <c r="H98" s="7">
        <v>60000</v>
      </c>
      <c r="I98" s="8">
        <v>13.1</v>
      </c>
      <c r="J98" s="1"/>
    </row>
    <row r="99" spans="1:10" x14ac:dyDescent="0.2">
      <c r="A99" s="5">
        <v>45882</v>
      </c>
      <c r="B99" s="1" t="s">
        <v>768</v>
      </c>
      <c r="C99" s="1" t="s">
        <v>46</v>
      </c>
      <c r="D99" s="1" t="s">
        <v>26</v>
      </c>
      <c r="E99" s="1" t="s">
        <v>78</v>
      </c>
      <c r="F99" s="1"/>
      <c r="G99" s="6" t="s">
        <v>14</v>
      </c>
      <c r="H99" s="7">
        <v>80000</v>
      </c>
      <c r="I99" s="8"/>
      <c r="J99" s="1"/>
    </row>
    <row r="100" spans="1:10" x14ac:dyDescent="0.2">
      <c r="A100" s="5">
        <v>45882</v>
      </c>
      <c r="B100" s="1" t="s">
        <v>1431</v>
      </c>
      <c r="C100" s="1" t="s">
        <v>910</v>
      </c>
      <c r="D100" s="1" t="s">
        <v>26</v>
      </c>
      <c r="E100" s="1" t="s">
        <v>792</v>
      </c>
      <c r="F100" s="1"/>
      <c r="G100" s="6" t="s">
        <v>14</v>
      </c>
      <c r="H100" s="7">
        <v>120000</v>
      </c>
      <c r="I100" s="8"/>
      <c r="J100" s="1"/>
    </row>
    <row r="101" spans="1:10" x14ac:dyDescent="0.2">
      <c r="A101" s="5">
        <v>45882</v>
      </c>
      <c r="B101" s="1"/>
      <c r="C101" s="1"/>
      <c r="D101" s="1"/>
      <c r="E101" s="1" t="s">
        <v>61</v>
      </c>
      <c r="F101" s="1"/>
      <c r="G101" s="6" t="s">
        <v>23</v>
      </c>
      <c r="H101" s="7">
        <v>10000</v>
      </c>
      <c r="I101" s="8"/>
      <c r="J101" s="1"/>
    </row>
    <row r="102" spans="1:10" x14ac:dyDescent="0.2">
      <c r="A102" s="5">
        <v>45883</v>
      </c>
      <c r="B102" s="1" t="s">
        <v>891</v>
      </c>
      <c r="C102" s="1" t="s">
        <v>398</v>
      </c>
      <c r="D102" s="1" t="s">
        <v>64</v>
      </c>
      <c r="E102" s="1" t="s">
        <v>19</v>
      </c>
      <c r="F102" s="1"/>
      <c r="G102" s="6" t="s">
        <v>23</v>
      </c>
      <c r="H102" s="7">
        <v>45000</v>
      </c>
      <c r="I102" s="8">
        <v>6.7</v>
      </c>
      <c r="J102" s="1"/>
    </row>
    <row r="103" spans="1:10" x14ac:dyDescent="0.2">
      <c r="A103" s="5">
        <v>45883</v>
      </c>
      <c r="B103" s="1" t="s">
        <v>891</v>
      </c>
      <c r="C103" s="1" t="s">
        <v>526</v>
      </c>
      <c r="D103" s="1" t="s">
        <v>64</v>
      </c>
      <c r="E103" s="1" t="s">
        <v>19</v>
      </c>
      <c r="F103" s="1"/>
      <c r="G103" s="6" t="s">
        <v>23</v>
      </c>
      <c r="H103" s="7">
        <v>50000</v>
      </c>
      <c r="I103" s="8">
        <v>9.4</v>
      </c>
      <c r="J103" s="1"/>
    </row>
    <row r="104" spans="1:10" x14ac:dyDescent="0.2">
      <c r="A104" s="5">
        <v>45883</v>
      </c>
      <c r="B104" s="1" t="s">
        <v>891</v>
      </c>
      <c r="C104" s="1" t="s">
        <v>1365</v>
      </c>
      <c r="D104" s="1" t="s">
        <v>64</v>
      </c>
      <c r="E104" s="1" t="s">
        <v>19</v>
      </c>
      <c r="F104" s="1"/>
      <c r="G104" s="6" t="s">
        <v>23</v>
      </c>
      <c r="H104" s="7">
        <v>47000</v>
      </c>
      <c r="I104" s="8">
        <v>8</v>
      </c>
      <c r="J104" s="1"/>
    </row>
    <row r="105" spans="1:10" x14ac:dyDescent="0.2">
      <c r="A105" s="5">
        <v>45883</v>
      </c>
      <c r="B105" s="1" t="s">
        <v>781</v>
      </c>
      <c r="C105" s="1" t="s">
        <v>868</v>
      </c>
      <c r="D105" s="1" t="s">
        <v>340</v>
      </c>
      <c r="E105" s="1" t="s">
        <v>19</v>
      </c>
      <c r="F105" s="1"/>
      <c r="G105" s="6" t="s">
        <v>14</v>
      </c>
      <c r="H105" s="7">
        <v>35000</v>
      </c>
      <c r="I105" s="8">
        <v>1.5</v>
      </c>
      <c r="J105" s="1"/>
    </row>
    <row r="106" spans="1:10" x14ac:dyDescent="0.2">
      <c r="A106" s="5">
        <v>45883</v>
      </c>
      <c r="B106" s="1" t="s">
        <v>978</v>
      </c>
      <c r="C106" s="1" t="s">
        <v>979</v>
      </c>
      <c r="D106" s="1" t="s">
        <v>64</v>
      </c>
      <c r="E106" s="1" t="s">
        <v>13</v>
      </c>
      <c r="F106" s="1"/>
      <c r="G106" s="6" t="s">
        <v>14</v>
      </c>
      <c r="H106" s="7">
        <v>70000</v>
      </c>
      <c r="I106" s="8">
        <v>11.7</v>
      </c>
      <c r="J106" s="1"/>
    </row>
    <row r="107" spans="1:10" x14ac:dyDescent="0.2">
      <c r="A107" s="5">
        <v>45884</v>
      </c>
      <c r="B107" s="1" t="s">
        <v>809</v>
      </c>
      <c r="C107" s="15" t="s">
        <v>21</v>
      </c>
      <c r="D107" s="15" t="s">
        <v>18</v>
      </c>
      <c r="E107" s="15" t="s">
        <v>13</v>
      </c>
      <c r="F107" s="1"/>
      <c r="G107" s="6" t="s">
        <v>14</v>
      </c>
      <c r="H107" s="7">
        <v>70000</v>
      </c>
      <c r="I107" s="8">
        <v>17.5</v>
      </c>
      <c r="J107" s="1"/>
    </row>
    <row r="108" spans="1:10" x14ac:dyDescent="0.2">
      <c r="A108" s="5">
        <v>45884</v>
      </c>
      <c r="B108" s="1"/>
      <c r="C108" s="1" t="s">
        <v>832</v>
      </c>
      <c r="D108" s="1" t="s">
        <v>122</v>
      </c>
      <c r="E108" s="1" t="s">
        <v>19</v>
      </c>
      <c r="F108" s="1"/>
      <c r="G108" s="6" t="s">
        <v>14</v>
      </c>
      <c r="H108" s="7">
        <v>80000</v>
      </c>
      <c r="I108" s="8">
        <v>18.2</v>
      </c>
      <c r="J108" s="1"/>
    </row>
    <row r="109" spans="1:10" x14ac:dyDescent="0.2">
      <c r="A109" s="5">
        <v>45884</v>
      </c>
      <c r="B109" s="1" t="s">
        <v>576</v>
      </c>
      <c r="C109" s="1" t="s">
        <v>398</v>
      </c>
      <c r="D109" s="1" t="s">
        <v>1229</v>
      </c>
      <c r="E109" s="1" t="s">
        <v>19</v>
      </c>
      <c r="F109" s="1"/>
      <c r="G109" s="6" t="s">
        <v>23</v>
      </c>
      <c r="H109" s="7">
        <v>25000</v>
      </c>
      <c r="I109" s="8">
        <v>3.7</v>
      </c>
      <c r="J109" s="1"/>
    </row>
    <row r="110" spans="1:10" x14ac:dyDescent="0.2">
      <c r="A110" s="5">
        <v>45884</v>
      </c>
      <c r="B110" s="1" t="s">
        <v>1435</v>
      </c>
      <c r="C110" s="1" t="s">
        <v>398</v>
      </c>
      <c r="D110" s="1" t="s">
        <v>26</v>
      </c>
      <c r="E110" s="1" t="s">
        <v>19</v>
      </c>
      <c r="F110" s="1"/>
      <c r="G110" s="6" t="s">
        <v>14</v>
      </c>
      <c r="H110" s="7">
        <v>80000</v>
      </c>
      <c r="I110" s="8">
        <v>6.5</v>
      </c>
      <c r="J110" s="1"/>
    </row>
    <row r="111" spans="1:10" x14ac:dyDescent="0.2">
      <c r="A111" s="5">
        <v>45884</v>
      </c>
      <c r="B111" s="1" t="s">
        <v>1436</v>
      </c>
      <c r="C111" s="1" t="s">
        <v>433</v>
      </c>
      <c r="D111" s="1" t="s">
        <v>119</v>
      </c>
      <c r="E111" s="1" t="s">
        <v>19</v>
      </c>
      <c r="F111" s="1"/>
      <c r="G111" s="6" t="s">
        <v>23</v>
      </c>
      <c r="H111" s="7">
        <v>55000</v>
      </c>
      <c r="I111" s="8">
        <v>13</v>
      </c>
      <c r="J111" s="1"/>
    </row>
    <row r="112" spans="1:10" x14ac:dyDescent="0.2">
      <c r="A112" s="5">
        <v>45884</v>
      </c>
      <c r="B112" s="1" t="s">
        <v>134</v>
      </c>
      <c r="C112" s="1" t="s">
        <v>264</v>
      </c>
      <c r="D112" s="1" t="s">
        <v>88</v>
      </c>
      <c r="E112" s="1" t="s">
        <v>19</v>
      </c>
      <c r="F112" s="1"/>
      <c r="G112" s="6" t="s">
        <v>14</v>
      </c>
      <c r="H112" s="7" t="s">
        <v>114</v>
      </c>
      <c r="I112" s="8">
        <v>3.4</v>
      </c>
      <c r="J112" s="1"/>
    </row>
    <row r="113" spans="1:10" x14ac:dyDescent="0.2">
      <c r="A113" s="5">
        <v>45884</v>
      </c>
      <c r="B113" s="1" t="s">
        <v>1437</v>
      </c>
      <c r="C113" s="1" t="s">
        <v>398</v>
      </c>
      <c r="D113" s="1" t="s">
        <v>112</v>
      </c>
      <c r="E113" s="1" t="s">
        <v>19</v>
      </c>
      <c r="F113" s="1"/>
      <c r="G113" s="6" t="s">
        <v>14</v>
      </c>
      <c r="H113" s="7" t="s">
        <v>114</v>
      </c>
      <c r="I113" s="8"/>
      <c r="J113" s="1"/>
    </row>
    <row r="114" spans="1:10" x14ac:dyDescent="0.2">
      <c r="A114" s="5">
        <v>45884</v>
      </c>
      <c r="B114" s="1"/>
      <c r="C114" s="1"/>
      <c r="D114" s="1"/>
      <c r="E114" s="1" t="s">
        <v>61</v>
      </c>
      <c r="F114" s="1"/>
      <c r="G114" s="6"/>
      <c r="H114" s="7">
        <v>10000</v>
      </c>
      <c r="I114" s="8"/>
      <c r="J114" s="1"/>
    </row>
    <row r="115" spans="1:10" x14ac:dyDescent="0.2">
      <c r="A115" s="5">
        <v>45885</v>
      </c>
      <c r="B115" s="1" t="s">
        <v>230</v>
      </c>
      <c r="C115" s="1" t="s">
        <v>231</v>
      </c>
      <c r="D115" s="1" t="s">
        <v>64</v>
      </c>
      <c r="E115" s="1" t="s">
        <v>19</v>
      </c>
      <c r="F115" s="1"/>
      <c r="G115" s="6" t="s">
        <v>23</v>
      </c>
      <c r="H115" s="7">
        <v>50000</v>
      </c>
      <c r="I115" s="8"/>
      <c r="J115" s="1"/>
    </row>
    <row r="116" spans="1:10" x14ac:dyDescent="0.2">
      <c r="A116" s="5">
        <v>45885</v>
      </c>
      <c r="B116" s="1" t="s">
        <v>1438</v>
      </c>
      <c r="C116" s="1" t="s">
        <v>36</v>
      </c>
      <c r="D116" s="1" t="s">
        <v>18</v>
      </c>
      <c r="E116" s="1" t="s">
        <v>19</v>
      </c>
      <c r="F116" s="1"/>
      <c r="G116" s="6" t="s">
        <v>14</v>
      </c>
      <c r="H116" s="7" t="s">
        <v>114</v>
      </c>
      <c r="I116" s="8"/>
      <c r="J116" s="1"/>
    </row>
    <row r="117" spans="1:10" x14ac:dyDescent="0.2">
      <c r="A117" s="5">
        <v>45885</v>
      </c>
      <c r="B117" s="1" t="s">
        <v>1063</v>
      </c>
      <c r="C117" s="1" t="s">
        <v>535</v>
      </c>
      <c r="D117" s="1" t="s">
        <v>119</v>
      </c>
      <c r="E117" s="1" t="s">
        <v>19</v>
      </c>
      <c r="F117" s="1"/>
      <c r="G117" s="6" t="s">
        <v>23</v>
      </c>
      <c r="H117" s="7">
        <v>55000</v>
      </c>
      <c r="I117" s="8">
        <v>14</v>
      </c>
      <c r="J117" s="1"/>
    </row>
    <row r="118" spans="1:10" x14ac:dyDescent="0.2">
      <c r="A118" s="5">
        <v>45885</v>
      </c>
      <c r="B118" s="1"/>
      <c r="C118" s="1"/>
      <c r="D118" s="1"/>
      <c r="E118" s="1" t="s">
        <v>61</v>
      </c>
      <c r="F118" s="1"/>
      <c r="G118" s="6"/>
      <c r="H118" s="7">
        <v>10000</v>
      </c>
      <c r="I118" s="8"/>
      <c r="J118" s="1"/>
    </row>
    <row r="119" spans="1:10" x14ac:dyDescent="0.2">
      <c r="A119" s="5">
        <v>45885</v>
      </c>
      <c r="B119" s="1" t="s">
        <v>1439</v>
      </c>
      <c r="C119" s="1" t="s">
        <v>1440</v>
      </c>
      <c r="D119" s="1" t="s">
        <v>32</v>
      </c>
      <c r="E119" s="1" t="s">
        <v>19</v>
      </c>
      <c r="F119" s="1"/>
      <c r="G119" s="6" t="s">
        <v>14</v>
      </c>
      <c r="H119" s="7">
        <v>70000</v>
      </c>
      <c r="I119" s="8">
        <v>3.3</v>
      </c>
      <c r="J119" s="1" t="s">
        <v>15</v>
      </c>
    </row>
    <row r="120" spans="1:10" x14ac:dyDescent="0.2">
      <c r="A120" s="5">
        <v>45885</v>
      </c>
      <c r="B120" s="1" t="s">
        <v>861</v>
      </c>
      <c r="C120" s="1" t="s">
        <v>916</v>
      </c>
      <c r="D120" s="1" t="s">
        <v>1229</v>
      </c>
      <c r="E120" s="1" t="s">
        <v>19</v>
      </c>
      <c r="F120" s="1"/>
      <c r="G120" s="6" t="s">
        <v>23</v>
      </c>
      <c r="H120" s="7">
        <v>30000</v>
      </c>
      <c r="I120" s="8">
        <v>5</v>
      </c>
      <c r="J120" s="1" t="s">
        <v>15</v>
      </c>
    </row>
    <row r="121" spans="1:10" x14ac:dyDescent="0.2">
      <c r="A121" s="5">
        <v>45885</v>
      </c>
      <c r="B121" s="1" t="s">
        <v>1441</v>
      </c>
      <c r="C121" s="1" t="s">
        <v>1417</v>
      </c>
      <c r="D121" s="1" t="s">
        <v>26</v>
      </c>
      <c r="E121" s="1" t="s">
        <v>19</v>
      </c>
      <c r="F121" s="1"/>
      <c r="G121" s="6" t="s">
        <v>14</v>
      </c>
      <c r="H121" s="7">
        <v>85000</v>
      </c>
      <c r="I121" s="8">
        <v>5.2</v>
      </c>
      <c r="J121" s="1" t="s">
        <v>15</v>
      </c>
    </row>
    <row r="122" spans="1:10" x14ac:dyDescent="0.2">
      <c r="A122" s="5">
        <v>45885</v>
      </c>
      <c r="B122" s="1" t="s">
        <v>1040</v>
      </c>
      <c r="C122" s="1" t="s">
        <v>1041</v>
      </c>
      <c r="D122" s="1" t="s">
        <v>119</v>
      </c>
      <c r="E122" s="1" t="s">
        <v>19</v>
      </c>
      <c r="F122" s="1"/>
      <c r="G122" s="6" t="s">
        <v>23</v>
      </c>
      <c r="H122" s="7">
        <v>55000</v>
      </c>
      <c r="I122" s="8">
        <v>14</v>
      </c>
      <c r="J122" s="1" t="s">
        <v>15</v>
      </c>
    </row>
    <row r="123" spans="1:10" x14ac:dyDescent="0.2">
      <c r="A123" s="5">
        <v>45885</v>
      </c>
      <c r="B123" s="1" t="s">
        <v>374</v>
      </c>
      <c r="C123" s="1" t="s">
        <v>375</v>
      </c>
      <c r="D123" s="1" t="s">
        <v>131</v>
      </c>
      <c r="E123" s="1" t="s">
        <v>19</v>
      </c>
      <c r="F123" s="1"/>
      <c r="G123" s="6" t="s">
        <v>14</v>
      </c>
      <c r="H123" s="7">
        <v>70000</v>
      </c>
      <c r="I123" s="8">
        <v>32</v>
      </c>
      <c r="J123" s="1" t="s">
        <v>15</v>
      </c>
    </row>
    <row r="124" spans="1:10" x14ac:dyDescent="0.2">
      <c r="A124" s="5">
        <v>45888</v>
      </c>
      <c r="B124" s="1" t="s">
        <v>1442</v>
      </c>
      <c r="C124" s="1" t="s">
        <v>1056</v>
      </c>
      <c r="D124" s="1" t="s">
        <v>88</v>
      </c>
      <c r="E124" s="1" t="s">
        <v>13</v>
      </c>
      <c r="F124" s="1"/>
      <c r="G124" s="6" t="s">
        <v>14</v>
      </c>
      <c r="H124" s="7">
        <v>75000</v>
      </c>
      <c r="I124" s="8">
        <v>1.7</v>
      </c>
      <c r="J124" s="1" t="s">
        <v>15</v>
      </c>
    </row>
    <row r="125" spans="1:10" x14ac:dyDescent="0.2">
      <c r="A125" s="5">
        <v>45888</v>
      </c>
      <c r="B125" s="1" t="s">
        <v>934</v>
      </c>
      <c r="C125" s="1" t="s">
        <v>301</v>
      </c>
      <c r="D125" s="1" t="s">
        <v>88</v>
      </c>
      <c r="E125" s="1" t="s">
        <v>94</v>
      </c>
      <c r="F125" s="1"/>
      <c r="G125" s="6" t="s">
        <v>14</v>
      </c>
      <c r="H125" s="7">
        <v>65000</v>
      </c>
      <c r="I125" s="8"/>
      <c r="J125" s="1"/>
    </row>
    <row r="126" spans="1:10" x14ac:dyDescent="0.2">
      <c r="A126" s="5">
        <v>45888</v>
      </c>
      <c r="B126" s="1" t="s">
        <v>643</v>
      </c>
      <c r="C126" s="1" t="s">
        <v>644</v>
      </c>
      <c r="D126" s="1" t="s">
        <v>32</v>
      </c>
      <c r="E126" s="1" t="s">
        <v>19</v>
      </c>
      <c r="F126" s="1"/>
      <c r="G126" s="6" t="s">
        <v>14</v>
      </c>
      <c r="H126" s="7">
        <v>65000</v>
      </c>
      <c r="I126" s="8"/>
      <c r="J126" s="1"/>
    </row>
    <row r="127" spans="1:10" x14ac:dyDescent="0.2">
      <c r="A127" s="5">
        <v>45888</v>
      </c>
      <c r="B127" s="1"/>
      <c r="C127" s="1"/>
      <c r="D127" s="1"/>
      <c r="E127" s="1" t="s">
        <v>61</v>
      </c>
      <c r="F127" s="1"/>
      <c r="G127" s="6"/>
      <c r="H127" s="7">
        <v>10000</v>
      </c>
      <c r="I127" s="8"/>
      <c r="J127" s="1"/>
    </row>
    <row r="128" spans="1:10" x14ac:dyDescent="0.2">
      <c r="A128" s="5">
        <v>45888</v>
      </c>
      <c r="B128" s="1" t="s">
        <v>1375</v>
      </c>
      <c r="C128" s="1" t="s">
        <v>1376</v>
      </c>
      <c r="D128" s="1" t="s">
        <v>307</v>
      </c>
      <c r="E128" s="1" t="s">
        <v>94</v>
      </c>
      <c r="F128" s="1"/>
      <c r="G128" s="6" t="s">
        <v>14</v>
      </c>
      <c r="H128" s="7">
        <v>90000</v>
      </c>
      <c r="I128" s="8"/>
      <c r="J128" s="1"/>
    </row>
    <row r="129" spans="1:10" x14ac:dyDescent="0.2">
      <c r="A129" s="5">
        <v>45889</v>
      </c>
      <c r="B129" s="1"/>
      <c r="C129" s="1"/>
      <c r="D129" s="1"/>
      <c r="E129" s="1" t="s">
        <v>61</v>
      </c>
      <c r="F129" s="1"/>
      <c r="G129" s="6"/>
      <c r="H129" s="7">
        <v>10000</v>
      </c>
      <c r="I129" s="8"/>
      <c r="J129" s="1" t="s">
        <v>160</v>
      </c>
    </row>
    <row r="130" spans="1:10" x14ac:dyDescent="0.2">
      <c r="A130" s="5">
        <v>45889</v>
      </c>
      <c r="B130" s="1"/>
      <c r="C130" s="1"/>
      <c r="D130" s="1"/>
      <c r="E130" s="1" t="s">
        <v>61</v>
      </c>
      <c r="F130" s="1"/>
      <c r="G130" s="6"/>
      <c r="H130" s="7">
        <v>10000</v>
      </c>
      <c r="I130" s="8"/>
      <c r="J130" s="1" t="s">
        <v>160</v>
      </c>
    </row>
    <row r="131" spans="1:10" x14ac:dyDescent="0.2">
      <c r="A131" s="5">
        <v>45889</v>
      </c>
      <c r="B131" s="1"/>
      <c r="C131" s="1"/>
      <c r="D131" s="1"/>
      <c r="E131" s="1" t="s">
        <v>61</v>
      </c>
      <c r="F131" s="1"/>
      <c r="G131" s="6"/>
      <c r="H131" s="7">
        <v>10000</v>
      </c>
      <c r="I131" s="8"/>
      <c r="J131" s="1" t="s">
        <v>160</v>
      </c>
    </row>
    <row r="132" spans="1:10" x14ac:dyDescent="0.2">
      <c r="A132" s="5">
        <v>45889</v>
      </c>
      <c r="B132" s="1"/>
      <c r="C132" s="1"/>
      <c r="D132" s="1"/>
      <c r="E132" s="1" t="s">
        <v>61</v>
      </c>
      <c r="F132" s="1"/>
      <c r="G132" s="6"/>
      <c r="H132" s="7">
        <v>10000</v>
      </c>
      <c r="I132" s="8"/>
      <c r="J132" s="1" t="s">
        <v>160</v>
      </c>
    </row>
    <row r="133" spans="1:10" x14ac:dyDescent="0.2">
      <c r="A133" s="5">
        <v>45889</v>
      </c>
      <c r="B133" s="1" t="s">
        <v>959</v>
      </c>
      <c r="C133" s="1" t="s">
        <v>960</v>
      </c>
      <c r="D133" s="1" t="s">
        <v>165</v>
      </c>
      <c r="E133" s="1" t="s">
        <v>13</v>
      </c>
      <c r="F133" s="1"/>
      <c r="G133" s="6" t="s">
        <v>14</v>
      </c>
      <c r="H133" s="7">
        <v>75000</v>
      </c>
      <c r="I133" s="8">
        <v>4.5</v>
      </c>
      <c r="J133" s="1" t="s">
        <v>15</v>
      </c>
    </row>
    <row r="134" spans="1:10" x14ac:dyDescent="0.2">
      <c r="A134" s="5">
        <v>45889</v>
      </c>
      <c r="B134" s="1" t="s">
        <v>1443</v>
      </c>
      <c r="C134" s="1" t="s">
        <v>1444</v>
      </c>
      <c r="D134" s="1" t="s">
        <v>119</v>
      </c>
      <c r="E134" s="1" t="s">
        <v>19</v>
      </c>
      <c r="F134" s="1"/>
      <c r="G134" s="6" t="s">
        <v>23</v>
      </c>
      <c r="H134" s="7">
        <v>55000</v>
      </c>
      <c r="I134" s="8">
        <v>12</v>
      </c>
      <c r="J134" s="1" t="s">
        <v>15</v>
      </c>
    </row>
    <row r="135" spans="1:10" x14ac:dyDescent="0.2">
      <c r="A135" s="5">
        <v>45889</v>
      </c>
      <c r="B135" s="1" t="s">
        <v>1443</v>
      </c>
      <c r="C135" s="1" t="s">
        <v>1445</v>
      </c>
      <c r="D135" s="1" t="s">
        <v>119</v>
      </c>
      <c r="E135" s="1" t="s">
        <v>19</v>
      </c>
      <c r="F135" s="1"/>
      <c r="G135" s="6" t="s">
        <v>23</v>
      </c>
      <c r="H135" s="7">
        <v>60000</v>
      </c>
      <c r="I135" s="8">
        <v>15.5</v>
      </c>
      <c r="J135" s="1" t="s">
        <v>15</v>
      </c>
    </row>
    <row r="136" spans="1:10" x14ac:dyDescent="0.2">
      <c r="A136" s="5">
        <v>45889</v>
      </c>
      <c r="B136" s="1" t="s">
        <v>72</v>
      </c>
      <c r="C136" s="1" t="s">
        <v>73</v>
      </c>
      <c r="D136" s="1" t="s">
        <v>58</v>
      </c>
      <c r="E136" s="1" t="s">
        <v>59</v>
      </c>
      <c r="F136" s="1"/>
      <c r="G136" s="6"/>
      <c r="H136" s="7">
        <v>90000</v>
      </c>
      <c r="I136" s="8"/>
      <c r="J136" s="1"/>
    </row>
    <row r="137" spans="1:10" x14ac:dyDescent="0.2">
      <c r="A137" s="5">
        <v>45889</v>
      </c>
      <c r="B137" s="1" t="s">
        <v>1446</v>
      </c>
      <c r="C137" s="1" t="s">
        <v>1117</v>
      </c>
      <c r="D137" s="1" t="s">
        <v>88</v>
      </c>
      <c r="E137" s="1"/>
      <c r="F137" s="1"/>
      <c r="G137" s="6"/>
      <c r="H137" s="7">
        <v>80000</v>
      </c>
      <c r="I137" s="8"/>
      <c r="J137" s="1"/>
    </row>
    <row r="138" spans="1:10" x14ac:dyDescent="0.2">
      <c r="A138" s="1" t="s">
        <v>1447</v>
      </c>
      <c r="B138" s="1" t="s">
        <v>1448</v>
      </c>
      <c r="C138" s="1" t="s">
        <v>1221</v>
      </c>
      <c r="D138" s="1" t="s">
        <v>101</v>
      </c>
      <c r="E138" s="1" t="s">
        <v>19</v>
      </c>
      <c r="F138" s="1"/>
      <c r="G138" s="6" t="s">
        <v>14</v>
      </c>
      <c r="H138" s="7">
        <v>65000</v>
      </c>
      <c r="I138" s="8">
        <v>6</v>
      </c>
      <c r="J138" s="1"/>
    </row>
    <row r="139" spans="1:10" x14ac:dyDescent="0.2">
      <c r="A139" s="1" t="s">
        <v>1447</v>
      </c>
      <c r="B139" s="1" t="s">
        <v>256</v>
      </c>
      <c r="C139" s="1" t="s">
        <v>257</v>
      </c>
      <c r="D139" s="1" t="s">
        <v>32</v>
      </c>
      <c r="E139" s="1" t="s">
        <v>19</v>
      </c>
      <c r="F139" s="1"/>
      <c r="G139" s="6" t="s">
        <v>14</v>
      </c>
      <c r="H139" s="7" t="s">
        <v>114</v>
      </c>
      <c r="I139" s="8"/>
      <c r="J139" s="1"/>
    </row>
    <row r="140" spans="1:10" x14ac:dyDescent="0.2">
      <c r="A140" s="1" t="s">
        <v>1447</v>
      </c>
      <c r="B140" s="1" t="s">
        <v>84</v>
      </c>
      <c r="C140" s="1" t="s">
        <v>1449</v>
      </c>
      <c r="D140" s="1" t="s">
        <v>64</v>
      </c>
      <c r="E140" s="1" t="s">
        <v>19</v>
      </c>
      <c r="F140" s="1"/>
      <c r="G140" s="6" t="s">
        <v>23</v>
      </c>
      <c r="H140" s="7">
        <v>55000</v>
      </c>
      <c r="I140" s="8">
        <v>13.3</v>
      </c>
      <c r="J140" s="1"/>
    </row>
    <row r="141" spans="1:10" x14ac:dyDescent="0.2">
      <c r="A141" s="1" t="s">
        <v>1447</v>
      </c>
      <c r="B141" s="1" t="s">
        <v>1450</v>
      </c>
      <c r="C141" s="1" t="s">
        <v>917</v>
      </c>
      <c r="D141" s="1" t="s">
        <v>18</v>
      </c>
      <c r="E141" s="1" t="s">
        <v>13</v>
      </c>
      <c r="F141" s="1"/>
      <c r="G141" s="6" t="s">
        <v>14</v>
      </c>
      <c r="H141" s="7">
        <v>85000</v>
      </c>
      <c r="I141" s="8">
        <v>10</v>
      </c>
      <c r="J141" s="1"/>
    </row>
    <row r="142" spans="1:10" x14ac:dyDescent="0.2">
      <c r="A142" s="1" t="s">
        <v>1447</v>
      </c>
      <c r="B142" s="1" t="s">
        <v>1451</v>
      </c>
      <c r="C142" s="1" t="s">
        <v>1452</v>
      </c>
      <c r="D142" s="1" t="s">
        <v>494</v>
      </c>
      <c r="E142" s="1" t="s">
        <v>828</v>
      </c>
      <c r="F142" s="1"/>
      <c r="G142" s="6" t="s">
        <v>23</v>
      </c>
      <c r="H142" s="7">
        <v>55000</v>
      </c>
      <c r="I142" s="8">
        <v>2.7</v>
      </c>
      <c r="J142" s="1"/>
    </row>
    <row r="143" spans="1:10" x14ac:dyDescent="0.2">
      <c r="A143" s="5">
        <v>45891</v>
      </c>
      <c r="B143" s="1" t="s">
        <v>468</v>
      </c>
      <c r="C143" s="1" t="s">
        <v>469</v>
      </c>
      <c r="D143" s="1" t="s">
        <v>26</v>
      </c>
      <c r="E143" s="1" t="s">
        <v>13</v>
      </c>
      <c r="F143" s="1"/>
      <c r="G143" s="6" t="s">
        <v>14</v>
      </c>
      <c r="H143" s="7">
        <v>80000</v>
      </c>
      <c r="I143" s="8">
        <v>7.3</v>
      </c>
      <c r="J143" s="1"/>
    </row>
    <row r="144" spans="1:10" x14ac:dyDescent="0.2">
      <c r="A144" s="5">
        <v>45891</v>
      </c>
      <c r="B144" s="1" t="s">
        <v>468</v>
      </c>
      <c r="C144" s="1" t="s">
        <v>401</v>
      </c>
      <c r="D144" s="1" t="s">
        <v>26</v>
      </c>
      <c r="E144" s="1" t="s">
        <v>13</v>
      </c>
      <c r="F144" s="1"/>
      <c r="G144" s="6" t="s">
        <v>14</v>
      </c>
      <c r="H144" s="7">
        <v>80000</v>
      </c>
      <c r="I144" s="8">
        <v>7.6</v>
      </c>
      <c r="J144" s="1"/>
    </row>
    <row r="145" spans="1:10" x14ac:dyDescent="0.2">
      <c r="A145" s="5">
        <v>45891</v>
      </c>
      <c r="B145" s="1" t="s">
        <v>1182</v>
      </c>
      <c r="C145" s="1" t="s">
        <v>842</v>
      </c>
      <c r="D145" s="1" t="s">
        <v>119</v>
      </c>
      <c r="E145" s="1" t="s">
        <v>19</v>
      </c>
      <c r="F145" s="1"/>
      <c r="G145" s="6" t="s">
        <v>23</v>
      </c>
      <c r="H145" s="7">
        <v>55000</v>
      </c>
      <c r="I145" s="8">
        <v>10.199999999999999</v>
      </c>
      <c r="J145" s="1"/>
    </row>
    <row r="146" spans="1:10" x14ac:dyDescent="0.2">
      <c r="A146" s="5">
        <v>45891</v>
      </c>
      <c r="B146" s="1" t="s">
        <v>1453</v>
      </c>
      <c r="C146" s="1" t="s">
        <v>1417</v>
      </c>
      <c r="D146" s="1" t="s">
        <v>26</v>
      </c>
      <c r="E146" s="1" t="s">
        <v>19</v>
      </c>
      <c r="F146" s="1"/>
      <c r="G146" s="6" t="s">
        <v>14</v>
      </c>
      <c r="H146" s="7">
        <v>85000</v>
      </c>
      <c r="I146" s="8">
        <v>5.3</v>
      </c>
      <c r="J146" s="1"/>
    </row>
    <row r="147" spans="1:10" x14ac:dyDescent="0.2">
      <c r="A147" s="5">
        <v>45891</v>
      </c>
      <c r="B147" s="1" t="s">
        <v>1454</v>
      </c>
      <c r="C147" s="1" t="s">
        <v>1455</v>
      </c>
      <c r="D147" s="1" t="s">
        <v>32</v>
      </c>
      <c r="E147" s="1" t="s">
        <v>13</v>
      </c>
      <c r="F147" s="1"/>
      <c r="G147" s="6" t="s">
        <v>14</v>
      </c>
      <c r="H147" s="7">
        <v>70000</v>
      </c>
      <c r="I147" s="8"/>
      <c r="J147" s="1"/>
    </row>
    <row r="148" spans="1:10" x14ac:dyDescent="0.2">
      <c r="A148" s="5">
        <v>45891</v>
      </c>
      <c r="B148" s="1"/>
      <c r="C148" s="1"/>
      <c r="D148" s="1"/>
      <c r="E148" s="1" t="s">
        <v>61</v>
      </c>
      <c r="F148" s="1"/>
      <c r="G148" s="6" t="s">
        <v>23</v>
      </c>
      <c r="H148" s="7">
        <v>20000</v>
      </c>
      <c r="I148" s="8"/>
      <c r="J148" s="1"/>
    </row>
    <row r="149" spans="1:10" x14ac:dyDescent="0.2">
      <c r="A149" s="5">
        <v>45891</v>
      </c>
      <c r="B149" s="1" t="s">
        <v>837</v>
      </c>
      <c r="C149" s="1" t="s">
        <v>282</v>
      </c>
      <c r="D149" s="1" t="s">
        <v>307</v>
      </c>
      <c r="E149" s="1" t="s">
        <v>94</v>
      </c>
      <c r="F149" s="1"/>
      <c r="G149" s="6" t="s">
        <v>14</v>
      </c>
      <c r="H149" s="7">
        <v>90000</v>
      </c>
      <c r="I149" s="8"/>
      <c r="J149" s="1"/>
    </row>
    <row r="150" spans="1:10" x14ac:dyDescent="0.2">
      <c r="A150" s="5">
        <v>45891</v>
      </c>
      <c r="B150" s="1" t="s">
        <v>397</v>
      </c>
      <c r="C150" s="1" t="s">
        <v>398</v>
      </c>
      <c r="D150" s="1" t="s">
        <v>112</v>
      </c>
      <c r="E150" s="1" t="s">
        <v>113</v>
      </c>
      <c r="F150" s="1"/>
      <c r="G150" s="6" t="s">
        <v>14</v>
      </c>
      <c r="H150" s="7" t="s">
        <v>114</v>
      </c>
      <c r="I150" s="8"/>
      <c r="J150" s="1"/>
    </row>
    <row r="151" spans="1:10" x14ac:dyDescent="0.2">
      <c r="A151" s="5">
        <v>45891</v>
      </c>
      <c r="B151" s="1" t="s">
        <v>1456</v>
      </c>
      <c r="C151" s="1" t="s">
        <v>1457</v>
      </c>
      <c r="D151" s="1" t="s">
        <v>165</v>
      </c>
      <c r="E151" s="1" t="s">
        <v>13</v>
      </c>
      <c r="F151" s="1"/>
      <c r="G151" s="6" t="s">
        <v>14</v>
      </c>
      <c r="H151" s="7">
        <v>85000</v>
      </c>
      <c r="I151" s="1">
        <v>6.4</v>
      </c>
      <c r="J151" s="1"/>
    </row>
    <row r="152" spans="1:10" x14ac:dyDescent="0.2">
      <c r="A152" s="5">
        <v>45892</v>
      </c>
      <c r="B152" s="1" t="s">
        <v>513</v>
      </c>
      <c r="C152" s="1" t="s">
        <v>514</v>
      </c>
      <c r="D152" s="1" t="s">
        <v>45</v>
      </c>
      <c r="E152" s="1" t="s">
        <v>19</v>
      </c>
      <c r="F152" s="1"/>
      <c r="G152" s="6" t="s">
        <v>23</v>
      </c>
      <c r="H152" s="7">
        <v>55000</v>
      </c>
      <c r="I152" s="8">
        <v>12.9</v>
      </c>
      <c r="J152" s="1"/>
    </row>
    <row r="153" spans="1:10" x14ac:dyDescent="0.2">
      <c r="A153" s="5">
        <v>45892</v>
      </c>
      <c r="B153" s="1" t="s">
        <v>1077</v>
      </c>
      <c r="C153" s="1" t="s">
        <v>128</v>
      </c>
      <c r="D153" s="1" t="s">
        <v>1229</v>
      </c>
      <c r="E153" s="1" t="s">
        <v>19</v>
      </c>
      <c r="F153" s="1"/>
      <c r="G153" s="6" t="s">
        <v>23</v>
      </c>
      <c r="H153" s="7">
        <v>30000</v>
      </c>
      <c r="I153" s="8">
        <v>2.5</v>
      </c>
      <c r="J153" s="1"/>
    </row>
    <row r="154" spans="1:10" x14ac:dyDescent="0.2">
      <c r="A154" s="5">
        <v>45892</v>
      </c>
      <c r="B154" s="1" t="s">
        <v>35</v>
      </c>
      <c r="C154" s="1" t="s">
        <v>36</v>
      </c>
      <c r="D154" s="1" t="s">
        <v>18</v>
      </c>
      <c r="E154" s="1" t="s">
        <v>13</v>
      </c>
      <c r="F154" s="1"/>
      <c r="G154" s="6" t="s">
        <v>14</v>
      </c>
      <c r="H154" s="7">
        <v>200000</v>
      </c>
      <c r="I154" s="8"/>
      <c r="J154" s="1"/>
    </row>
    <row r="155" spans="1:10" x14ac:dyDescent="0.2">
      <c r="A155" s="5">
        <v>45892</v>
      </c>
      <c r="B155" s="1" t="s">
        <v>1458</v>
      </c>
      <c r="C155" s="1" t="s">
        <v>902</v>
      </c>
      <c r="D155" s="1" t="s">
        <v>88</v>
      </c>
      <c r="E155" s="1" t="s">
        <v>13</v>
      </c>
      <c r="F155" s="1"/>
      <c r="G155" s="6" t="s">
        <v>14</v>
      </c>
      <c r="H155" s="7">
        <v>85000</v>
      </c>
      <c r="I155" s="8">
        <v>3.1</v>
      </c>
      <c r="J155" s="1"/>
    </row>
    <row r="156" spans="1:10" x14ac:dyDescent="0.2">
      <c r="A156" s="5">
        <v>45892</v>
      </c>
      <c r="B156" s="1" t="s">
        <v>1459</v>
      </c>
      <c r="C156" s="1" t="s">
        <v>890</v>
      </c>
      <c r="D156" s="1" t="s">
        <v>32</v>
      </c>
      <c r="E156" s="1" t="s">
        <v>13</v>
      </c>
      <c r="F156" s="1"/>
      <c r="G156" s="6" t="s">
        <v>14</v>
      </c>
      <c r="H156" s="7">
        <v>70000</v>
      </c>
      <c r="I156" s="8">
        <v>3.6</v>
      </c>
      <c r="J156" s="1"/>
    </row>
    <row r="157" spans="1:10" x14ac:dyDescent="0.2">
      <c r="A157" s="5">
        <v>45892</v>
      </c>
      <c r="B157" s="1" t="s">
        <v>400</v>
      </c>
      <c r="C157" s="1" t="s">
        <v>401</v>
      </c>
      <c r="D157" s="1" t="s">
        <v>119</v>
      </c>
      <c r="E157" s="1" t="s">
        <v>19</v>
      </c>
      <c r="F157" s="1"/>
      <c r="G157" s="6" t="s">
        <v>23</v>
      </c>
      <c r="H157" s="7">
        <v>50000</v>
      </c>
      <c r="I157" s="8">
        <v>16.600000000000001</v>
      </c>
      <c r="J157" s="1"/>
    </row>
    <row r="158" spans="1:10" x14ac:dyDescent="0.2">
      <c r="A158" s="5">
        <v>45892</v>
      </c>
      <c r="B158" s="1" t="s">
        <v>186</v>
      </c>
      <c r="C158" s="1" t="s">
        <v>190</v>
      </c>
      <c r="D158" s="1" t="s">
        <v>32</v>
      </c>
      <c r="E158" s="1" t="s">
        <v>19</v>
      </c>
      <c r="F158" s="1"/>
      <c r="G158" s="6" t="s">
        <v>14</v>
      </c>
      <c r="H158" s="7">
        <v>45000</v>
      </c>
      <c r="I158" s="8">
        <v>4</v>
      </c>
      <c r="J158" s="1"/>
    </row>
    <row r="159" spans="1:10" x14ac:dyDescent="0.2">
      <c r="A159" s="5">
        <v>45892</v>
      </c>
      <c r="B159" s="1" t="s">
        <v>186</v>
      </c>
      <c r="C159" s="1" t="s">
        <v>187</v>
      </c>
      <c r="D159" s="1" t="s">
        <v>32</v>
      </c>
      <c r="E159" s="1" t="s">
        <v>19</v>
      </c>
      <c r="F159" s="1"/>
      <c r="G159" s="6" t="s">
        <v>14</v>
      </c>
      <c r="H159" s="7">
        <v>45000</v>
      </c>
      <c r="I159" s="8">
        <v>3</v>
      </c>
      <c r="J159" s="1"/>
    </row>
    <row r="160" spans="1:10" x14ac:dyDescent="0.2">
      <c r="A160" s="5">
        <v>45892</v>
      </c>
      <c r="B160" s="1" t="s">
        <v>1269</v>
      </c>
      <c r="C160" s="1" t="s">
        <v>1270</v>
      </c>
      <c r="D160" s="1" t="s">
        <v>32</v>
      </c>
      <c r="E160" s="1" t="s">
        <v>78</v>
      </c>
      <c r="F160" s="1"/>
      <c r="G160" s="6" t="s">
        <v>14</v>
      </c>
      <c r="H160" s="7">
        <v>75000</v>
      </c>
      <c r="I160" s="1">
        <v>1.2</v>
      </c>
      <c r="J160" s="1"/>
    </row>
    <row r="161" spans="1:10" x14ac:dyDescent="0.2">
      <c r="A161" s="5">
        <v>45892</v>
      </c>
      <c r="B161" s="1" t="s">
        <v>1460</v>
      </c>
      <c r="C161" s="1" t="s">
        <v>46</v>
      </c>
      <c r="D161" s="1" t="s">
        <v>1229</v>
      </c>
      <c r="E161" s="1" t="s">
        <v>19</v>
      </c>
      <c r="F161" s="1"/>
      <c r="G161" s="6" t="s">
        <v>23</v>
      </c>
      <c r="H161" s="7">
        <v>25000</v>
      </c>
      <c r="I161" s="8">
        <v>1.4</v>
      </c>
      <c r="J161" s="1"/>
    </row>
    <row r="162" spans="1:10" x14ac:dyDescent="0.2">
      <c r="A162" s="5">
        <v>45892</v>
      </c>
      <c r="B162" s="1"/>
      <c r="C162" s="1"/>
      <c r="D162" s="1"/>
      <c r="E162" s="1" t="s">
        <v>61</v>
      </c>
      <c r="F162" s="1"/>
      <c r="G162" s="6" t="s">
        <v>23</v>
      </c>
      <c r="H162" s="7">
        <v>10000</v>
      </c>
      <c r="I162" s="8"/>
      <c r="J162" s="1"/>
    </row>
    <row r="163" spans="1:10" x14ac:dyDescent="0.2">
      <c r="A163" s="5">
        <v>45894</v>
      </c>
      <c r="B163" s="1" t="s">
        <v>728</v>
      </c>
      <c r="C163" s="1" t="s">
        <v>313</v>
      </c>
      <c r="D163" s="1" t="s">
        <v>196</v>
      </c>
      <c r="E163" s="1" t="s">
        <v>94</v>
      </c>
      <c r="F163" s="1"/>
      <c r="G163" s="6" t="s">
        <v>14</v>
      </c>
      <c r="H163" s="7">
        <v>65000</v>
      </c>
      <c r="I163" s="8">
        <v>17</v>
      </c>
      <c r="J163" s="1"/>
    </row>
    <row r="164" spans="1:10" x14ac:dyDescent="0.2">
      <c r="A164" s="5">
        <v>45894</v>
      </c>
      <c r="B164" s="1" t="s">
        <v>194</v>
      </c>
      <c r="C164" s="1" t="s">
        <v>195</v>
      </c>
      <c r="D164" s="1" t="s">
        <v>196</v>
      </c>
      <c r="E164" s="1" t="s">
        <v>94</v>
      </c>
      <c r="F164" s="1"/>
      <c r="G164" s="6" t="s">
        <v>14</v>
      </c>
      <c r="H164" s="7">
        <v>90000</v>
      </c>
      <c r="I164" s="8">
        <v>34.4</v>
      </c>
      <c r="J164" s="1"/>
    </row>
    <row r="165" spans="1:10" x14ac:dyDescent="0.2">
      <c r="A165" s="5">
        <v>45894</v>
      </c>
      <c r="B165" s="1" t="s">
        <v>1461</v>
      </c>
      <c r="C165" s="1" t="s">
        <v>1462</v>
      </c>
      <c r="D165" s="1" t="s">
        <v>340</v>
      </c>
      <c r="E165" s="1" t="s">
        <v>19</v>
      </c>
      <c r="F165" s="1"/>
      <c r="G165" s="6" t="s">
        <v>23</v>
      </c>
      <c r="H165" s="7">
        <v>30000</v>
      </c>
      <c r="I165" s="8"/>
      <c r="J165" s="1"/>
    </row>
    <row r="166" spans="1:10" x14ac:dyDescent="0.2">
      <c r="A166" s="5">
        <v>45894</v>
      </c>
      <c r="B166" s="1" t="s">
        <v>761</v>
      </c>
      <c r="C166" s="1" t="s">
        <v>667</v>
      </c>
      <c r="D166" s="1" t="s">
        <v>26</v>
      </c>
      <c r="E166" s="1" t="s">
        <v>13</v>
      </c>
      <c r="F166" s="1"/>
      <c r="G166" s="6" t="s">
        <v>14</v>
      </c>
      <c r="H166" s="7">
        <v>75000</v>
      </c>
      <c r="I166" s="8">
        <v>7</v>
      </c>
      <c r="J166" s="1"/>
    </row>
    <row r="167" spans="1:10" x14ac:dyDescent="0.2">
      <c r="A167" s="5">
        <v>45895</v>
      </c>
      <c r="B167" s="1" t="s">
        <v>67</v>
      </c>
      <c r="C167" s="1" t="s">
        <v>183</v>
      </c>
      <c r="D167" s="1" t="s">
        <v>26</v>
      </c>
      <c r="E167" s="1" t="s">
        <v>19</v>
      </c>
      <c r="F167" s="1"/>
      <c r="G167" s="6" t="s">
        <v>14</v>
      </c>
      <c r="H167" s="7">
        <v>65000</v>
      </c>
      <c r="I167" s="8"/>
      <c r="J167" s="1"/>
    </row>
    <row r="168" spans="1:10" x14ac:dyDescent="0.2">
      <c r="A168" s="5">
        <v>45895</v>
      </c>
      <c r="B168" s="1" t="s">
        <v>1463</v>
      </c>
      <c r="C168" s="1" t="s">
        <v>910</v>
      </c>
      <c r="D168" s="1" t="s">
        <v>88</v>
      </c>
      <c r="E168" s="1" t="s">
        <v>13</v>
      </c>
      <c r="F168" s="1"/>
      <c r="G168" s="6" t="s">
        <v>14</v>
      </c>
      <c r="H168" s="7">
        <v>75000</v>
      </c>
      <c r="I168" s="8">
        <v>3.6</v>
      </c>
      <c r="J168" s="1"/>
    </row>
    <row r="169" spans="1:10" x14ac:dyDescent="0.2">
      <c r="A169" s="5">
        <v>45895</v>
      </c>
      <c r="B169" s="1" t="s">
        <v>823</v>
      </c>
      <c r="C169" s="1" t="s">
        <v>201</v>
      </c>
      <c r="D169" s="1" t="s">
        <v>26</v>
      </c>
      <c r="E169" s="1" t="s">
        <v>13</v>
      </c>
      <c r="F169" s="1"/>
      <c r="G169" s="6" t="s">
        <v>14</v>
      </c>
      <c r="H169" s="7">
        <v>85000</v>
      </c>
      <c r="I169" s="8">
        <v>7.1</v>
      </c>
      <c r="J169" s="1"/>
    </row>
    <row r="170" spans="1:10" x14ac:dyDescent="0.2">
      <c r="A170" s="5">
        <v>45895</v>
      </c>
      <c r="B170" s="1" t="s">
        <v>1464</v>
      </c>
      <c r="C170" s="1" t="s">
        <v>243</v>
      </c>
      <c r="D170" s="1" t="s">
        <v>1229</v>
      </c>
      <c r="E170" s="1" t="s">
        <v>19</v>
      </c>
      <c r="F170" s="1"/>
      <c r="G170" s="6" t="s">
        <v>23</v>
      </c>
      <c r="H170" s="7">
        <v>20000</v>
      </c>
      <c r="I170" s="8"/>
      <c r="J170" s="1"/>
    </row>
    <row r="171" spans="1:10" x14ac:dyDescent="0.2">
      <c r="A171" s="5">
        <v>45895</v>
      </c>
      <c r="B171" s="1" t="s">
        <v>1465</v>
      </c>
      <c r="C171" s="1" t="s">
        <v>170</v>
      </c>
      <c r="D171" s="1" t="s">
        <v>1229</v>
      </c>
      <c r="E171" s="1" t="s">
        <v>19</v>
      </c>
      <c r="F171" s="1"/>
      <c r="G171" s="6" t="s">
        <v>23</v>
      </c>
      <c r="H171" s="7">
        <v>30000</v>
      </c>
      <c r="I171" s="8">
        <v>3.5</v>
      </c>
      <c r="J171" s="1"/>
    </row>
    <row r="172" spans="1:10" x14ac:dyDescent="0.2">
      <c r="A172" s="5">
        <v>45895</v>
      </c>
      <c r="B172" s="1" t="s">
        <v>1465</v>
      </c>
      <c r="C172" s="1" t="s">
        <v>398</v>
      </c>
      <c r="D172" s="1" t="s">
        <v>1229</v>
      </c>
      <c r="E172" s="1" t="s">
        <v>19</v>
      </c>
      <c r="F172" s="1"/>
      <c r="G172" s="6" t="s">
        <v>23</v>
      </c>
      <c r="H172" s="7">
        <v>30000</v>
      </c>
      <c r="I172" s="8">
        <v>3</v>
      </c>
      <c r="J172" s="1"/>
    </row>
    <row r="173" spans="1:10" x14ac:dyDescent="0.2">
      <c r="A173" s="5">
        <v>45895</v>
      </c>
      <c r="B173" s="1" t="s">
        <v>1466</v>
      </c>
      <c r="C173" s="1" t="s">
        <v>347</v>
      </c>
      <c r="D173" s="1" t="s">
        <v>64</v>
      </c>
      <c r="E173" s="1" t="s">
        <v>13</v>
      </c>
      <c r="F173" s="1"/>
      <c r="G173" s="6" t="s">
        <v>14</v>
      </c>
      <c r="H173" s="7">
        <v>85000</v>
      </c>
      <c r="I173" s="8">
        <v>15.8</v>
      </c>
      <c r="J173" s="1"/>
    </row>
    <row r="174" spans="1:10" x14ac:dyDescent="0.2">
      <c r="A174" s="5">
        <v>45895</v>
      </c>
      <c r="B174" s="1" t="s">
        <v>1467</v>
      </c>
      <c r="C174" s="1" t="s">
        <v>1172</v>
      </c>
      <c r="D174" s="1" t="s">
        <v>119</v>
      </c>
      <c r="E174" s="1" t="s">
        <v>19</v>
      </c>
      <c r="F174" s="1"/>
      <c r="G174" s="6" t="s">
        <v>23</v>
      </c>
      <c r="H174" s="7">
        <v>60000</v>
      </c>
      <c r="I174" s="8">
        <v>13.7</v>
      </c>
      <c r="J174" s="1"/>
    </row>
    <row r="175" spans="1:10" x14ac:dyDescent="0.2">
      <c r="A175" s="5">
        <v>45895</v>
      </c>
      <c r="B175" s="1" t="s">
        <v>694</v>
      </c>
      <c r="C175" s="1" t="s">
        <v>695</v>
      </c>
      <c r="D175" s="1" t="s">
        <v>131</v>
      </c>
      <c r="E175" s="1" t="s">
        <v>19</v>
      </c>
      <c r="F175" s="1"/>
      <c r="G175" s="6" t="s">
        <v>14</v>
      </c>
      <c r="H175" s="7">
        <v>80000</v>
      </c>
      <c r="I175" s="8">
        <v>36</v>
      </c>
      <c r="J175" s="1"/>
    </row>
    <row r="176" spans="1:10" x14ac:dyDescent="0.2">
      <c r="A176" s="5">
        <v>45895</v>
      </c>
      <c r="B176" s="1" t="s">
        <v>794</v>
      </c>
      <c r="C176" s="1" t="s">
        <v>1468</v>
      </c>
      <c r="D176" s="1" t="s">
        <v>32</v>
      </c>
      <c r="E176" s="1" t="s">
        <v>13</v>
      </c>
      <c r="F176" s="1"/>
      <c r="G176" s="6"/>
      <c r="H176" s="7">
        <v>75000</v>
      </c>
      <c r="I176" s="8">
        <v>2.7</v>
      </c>
      <c r="J176" s="1"/>
    </row>
    <row r="177" spans="1:10" x14ac:dyDescent="0.2">
      <c r="A177" s="5">
        <v>45895</v>
      </c>
      <c r="B177" s="1"/>
      <c r="C177" s="1"/>
      <c r="D177" s="1"/>
      <c r="E177" s="1" t="s">
        <v>61</v>
      </c>
      <c r="F177" s="1"/>
      <c r="G177" s="6"/>
      <c r="H177" s="7">
        <v>15000</v>
      </c>
      <c r="I177" s="8">
        <v>0</v>
      </c>
      <c r="J177" s="1"/>
    </row>
    <row r="178" spans="1:10" x14ac:dyDescent="0.2">
      <c r="A178" s="5">
        <v>45895</v>
      </c>
      <c r="B178" s="10"/>
      <c r="C178" s="1"/>
      <c r="D178" s="1"/>
      <c r="E178" s="1" t="s">
        <v>61</v>
      </c>
      <c r="F178" s="1"/>
      <c r="G178" s="6"/>
      <c r="H178" s="7">
        <v>15000</v>
      </c>
      <c r="I178" s="8">
        <v>0</v>
      </c>
      <c r="J178" s="1"/>
    </row>
    <row r="179" spans="1:10" x14ac:dyDescent="0.2">
      <c r="A179" s="5">
        <v>45895</v>
      </c>
      <c r="B179" s="1"/>
      <c r="C179" s="1"/>
      <c r="D179" s="1"/>
      <c r="E179" s="1" t="s">
        <v>61</v>
      </c>
      <c r="F179" s="1"/>
      <c r="G179" s="6"/>
      <c r="H179" s="7">
        <v>15000</v>
      </c>
      <c r="I179" s="8">
        <v>0</v>
      </c>
      <c r="J179" s="1"/>
    </row>
    <row r="180" spans="1:10" x14ac:dyDescent="0.2">
      <c r="A180" s="5">
        <v>45895</v>
      </c>
      <c r="B180" s="1" t="s">
        <v>1469</v>
      </c>
      <c r="C180" s="1" t="s">
        <v>1470</v>
      </c>
      <c r="D180" s="1" t="s">
        <v>340</v>
      </c>
      <c r="E180" s="1" t="s">
        <v>19</v>
      </c>
      <c r="F180" s="1"/>
      <c r="G180" s="6"/>
      <c r="H180" s="7">
        <v>30000</v>
      </c>
      <c r="I180" s="8">
        <v>1.8</v>
      </c>
      <c r="J180" s="1"/>
    </row>
    <row r="181" spans="1:10" x14ac:dyDescent="0.2">
      <c r="A181" s="5">
        <v>45895</v>
      </c>
      <c r="B181" s="1" t="s">
        <v>1469</v>
      </c>
      <c r="C181" s="1" t="s">
        <v>255</v>
      </c>
      <c r="D181" s="1" t="s">
        <v>119</v>
      </c>
      <c r="E181" s="1" t="s">
        <v>19</v>
      </c>
      <c r="F181" s="1"/>
      <c r="G181" s="6"/>
      <c r="H181" s="7">
        <v>45000</v>
      </c>
      <c r="I181" s="8">
        <v>8</v>
      </c>
      <c r="J181" s="1"/>
    </row>
    <row r="182" spans="1:10" x14ac:dyDescent="0.2">
      <c r="A182" s="5">
        <v>45896</v>
      </c>
      <c r="B182" s="1" t="s">
        <v>62</v>
      </c>
      <c r="C182" s="1" t="s">
        <v>398</v>
      </c>
      <c r="D182" s="1" t="s">
        <v>64</v>
      </c>
      <c r="E182" s="1" t="s">
        <v>19</v>
      </c>
      <c r="F182" s="1"/>
      <c r="G182" s="6" t="s">
        <v>14</v>
      </c>
      <c r="H182" s="7">
        <v>70000</v>
      </c>
      <c r="I182" s="8">
        <v>6.1</v>
      </c>
      <c r="J182" s="1"/>
    </row>
    <row r="183" spans="1:10" x14ac:dyDescent="0.2">
      <c r="A183" s="5">
        <v>45896</v>
      </c>
      <c r="B183" s="1" t="s">
        <v>693</v>
      </c>
      <c r="C183" s="1" t="s">
        <v>433</v>
      </c>
      <c r="D183" s="1" t="s">
        <v>196</v>
      </c>
      <c r="E183" s="1" t="s">
        <v>94</v>
      </c>
      <c r="F183" s="1"/>
      <c r="G183" s="6" t="s">
        <v>14</v>
      </c>
      <c r="H183" s="7">
        <v>90000</v>
      </c>
      <c r="I183" s="8">
        <v>20.6</v>
      </c>
      <c r="J183" s="1"/>
    </row>
    <row r="184" spans="1:10" x14ac:dyDescent="0.2">
      <c r="A184" s="5">
        <v>45896</v>
      </c>
      <c r="B184" s="1"/>
      <c r="C184" s="1"/>
      <c r="D184" s="1"/>
      <c r="E184" s="1" t="s">
        <v>61</v>
      </c>
      <c r="F184" s="1"/>
      <c r="G184" s="6"/>
      <c r="H184" s="7">
        <v>15000</v>
      </c>
      <c r="I184" s="8"/>
      <c r="J184" s="1"/>
    </row>
    <row r="185" spans="1:10" x14ac:dyDescent="0.2">
      <c r="A185" s="5">
        <v>45896</v>
      </c>
      <c r="B185" s="1"/>
      <c r="C185" s="1"/>
      <c r="D185" s="1"/>
      <c r="E185" s="1" t="s">
        <v>61</v>
      </c>
      <c r="F185" s="1"/>
      <c r="G185" s="6"/>
      <c r="H185" s="7">
        <v>15000</v>
      </c>
      <c r="I185" s="8"/>
      <c r="J185" s="1"/>
    </row>
    <row r="186" spans="1:10" x14ac:dyDescent="0.2">
      <c r="A186" s="5">
        <v>45896</v>
      </c>
      <c r="B186" s="1" t="s">
        <v>995</v>
      </c>
      <c r="C186" s="1" t="s">
        <v>1471</v>
      </c>
      <c r="D186" s="1" t="s">
        <v>88</v>
      </c>
      <c r="E186" s="1" t="s">
        <v>19</v>
      </c>
      <c r="F186" s="1"/>
      <c r="G186" s="6" t="s">
        <v>14</v>
      </c>
      <c r="H186" s="7">
        <v>50000</v>
      </c>
      <c r="I186" s="8"/>
      <c r="J186" s="1"/>
    </row>
    <row r="187" spans="1:10" x14ac:dyDescent="0.2">
      <c r="A187" s="5">
        <v>45896</v>
      </c>
      <c r="B187" s="1" t="s">
        <v>995</v>
      </c>
      <c r="C187" s="1" t="s">
        <v>1119</v>
      </c>
      <c r="D187" s="1" t="s">
        <v>88</v>
      </c>
      <c r="E187" s="1" t="s">
        <v>19</v>
      </c>
      <c r="F187" s="1"/>
      <c r="G187" s="6" t="s">
        <v>14</v>
      </c>
      <c r="H187" s="7">
        <v>50000</v>
      </c>
      <c r="I187" s="8"/>
      <c r="J187" s="1"/>
    </row>
    <row r="188" spans="1:10" x14ac:dyDescent="0.2">
      <c r="A188" s="5">
        <v>45896</v>
      </c>
      <c r="B188" s="1" t="s">
        <v>995</v>
      </c>
      <c r="C188" s="1" t="s">
        <v>1117</v>
      </c>
      <c r="D188" s="1" t="s">
        <v>88</v>
      </c>
      <c r="E188" s="1" t="s">
        <v>19</v>
      </c>
      <c r="F188" s="1"/>
      <c r="G188" s="6" t="s">
        <v>14</v>
      </c>
      <c r="H188" s="7">
        <v>55000</v>
      </c>
      <c r="I188" s="8"/>
      <c r="J188" s="1"/>
    </row>
    <row r="189" spans="1:10" x14ac:dyDescent="0.2">
      <c r="A189" s="5">
        <v>45897</v>
      </c>
      <c r="B189" s="1" t="s">
        <v>134</v>
      </c>
      <c r="C189" s="1" t="s">
        <v>135</v>
      </c>
      <c r="D189" s="1" t="s">
        <v>88</v>
      </c>
      <c r="E189" s="1" t="s">
        <v>13</v>
      </c>
      <c r="F189" s="1"/>
      <c r="G189" s="6" t="s">
        <v>14</v>
      </c>
      <c r="H189" s="7">
        <v>85000</v>
      </c>
      <c r="I189" s="8">
        <v>3.8</v>
      </c>
      <c r="J189" s="1"/>
    </row>
    <row r="190" spans="1:10" x14ac:dyDescent="0.2">
      <c r="A190" s="5">
        <v>45897</v>
      </c>
      <c r="B190" s="1" t="s">
        <v>680</v>
      </c>
      <c r="C190" s="1" t="s">
        <v>681</v>
      </c>
      <c r="D190" s="1" t="s">
        <v>26</v>
      </c>
      <c r="E190" s="1" t="s">
        <v>13</v>
      </c>
      <c r="F190" s="1"/>
      <c r="G190" s="6" t="s">
        <v>14</v>
      </c>
      <c r="H190" s="7">
        <v>90000</v>
      </c>
      <c r="I190" s="8">
        <v>7</v>
      </c>
      <c r="J190" s="1"/>
    </row>
    <row r="191" spans="1:10" x14ac:dyDescent="0.2">
      <c r="A191" s="5">
        <v>45897</v>
      </c>
      <c r="B191" s="1" t="s">
        <v>941</v>
      </c>
      <c r="C191" s="1" t="s">
        <v>93</v>
      </c>
      <c r="D191" s="1" t="s">
        <v>88</v>
      </c>
      <c r="E191" s="1" t="s">
        <v>13</v>
      </c>
      <c r="F191" s="1"/>
      <c r="G191" s="6" t="s">
        <v>14</v>
      </c>
      <c r="H191" s="7">
        <v>70000</v>
      </c>
      <c r="I191" s="8">
        <v>5.6</v>
      </c>
      <c r="J191" s="1"/>
    </row>
    <row r="192" spans="1:10" x14ac:dyDescent="0.2">
      <c r="A192" s="5">
        <v>45897</v>
      </c>
      <c r="B192" s="1" t="s">
        <v>1472</v>
      </c>
      <c r="C192" s="1" t="s">
        <v>180</v>
      </c>
      <c r="D192" s="1" t="s">
        <v>12</v>
      </c>
      <c r="E192" s="1" t="s">
        <v>13</v>
      </c>
      <c r="F192" s="1"/>
      <c r="G192" s="6" t="s">
        <v>14</v>
      </c>
      <c r="H192" s="7">
        <v>80000</v>
      </c>
      <c r="I192" s="8">
        <v>7.2</v>
      </c>
      <c r="J192" s="1"/>
    </row>
    <row r="193" spans="1:10" x14ac:dyDescent="0.2">
      <c r="A193" s="5">
        <v>45898</v>
      </c>
      <c r="B193" s="1" t="s">
        <v>1273</v>
      </c>
      <c r="C193" s="1" t="s">
        <v>275</v>
      </c>
      <c r="D193" s="1" t="s">
        <v>32</v>
      </c>
      <c r="E193" s="1" t="s">
        <v>13</v>
      </c>
      <c r="F193" s="1"/>
      <c r="G193" s="6" t="s">
        <v>14</v>
      </c>
      <c r="H193" s="7">
        <v>80000</v>
      </c>
      <c r="I193" s="8">
        <v>3.6</v>
      </c>
      <c r="J193" s="1"/>
    </row>
    <row r="194" spans="1:10" x14ac:dyDescent="0.2">
      <c r="A194" s="5">
        <v>45898</v>
      </c>
      <c r="B194" s="1" t="s">
        <v>1208</v>
      </c>
      <c r="C194" s="1" t="s">
        <v>268</v>
      </c>
      <c r="D194" s="1" t="s">
        <v>165</v>
      </c>
      <c r="E194" s="1" t="s">
        <v>13</v>
      </c>
      <c r="F194" s="1"/>
      <c r="G194" s="6" t="s">
        <v>14</v>
      </c>
      <c r="H194" s="7">
        <v>80000</v>
      </c>
      <c r="I194" s="8">
        <v>3.7</v>
      </c>
      <c r="J194" s="1"/>
    </row>
    <row r="195" spans="1:10" x14ac:dyDescent="0.2">
      <c r="A195" s="5">
        <v>45898</v>
      </c>
      <c r="B195" s="1" t="s">
        <v>1026</v>
      </c>
      <c r="C195" s="1" t="s">
        <v>631</v>
      </c>
      <c r="D195" s="1" t="s">
        <v>165</v>
      </c>
      <c r="E195" s="1" t="s">
        <v>13</v>
      </c>
      <c r="F195" s="1"/>
      <c r="G195" s="6" t="s">
        <v>14</v>
      </c>
      <c r="H195" s="7">
        <v>80000</v>
      </c>
      <c r="I195" s="8">
        <v>7</v>
      </c>
      <c r="J195" s="1"/>
    </row>
    <row r="196" spans="1:10" x14ac:dyDescent="0.2">
      <c r="A196" s="5">
        <v>45898</v>
      </c>
      <c r="B196" s="1" t="s">
        <v>1473</v>
      </c>
      <c r="C196" s="1" t="s">
        <v>46</v>
      </c>
      <c r="D196" s="1" t="s">
        <v>64</v>
      </c>
      <c r="E196" s="1" t="s">
        <v>19</v>
      </c>
      <c r="F196" s="1"/>
      <c r="G196" s="6" t="s">
        <v>23</v>
      </c>
      <c r="H196" s="7">
        <v>70000</v>
      </c>
      <c r="I196" s="8">
        <v>11.8</v>
      </c>
      <c r="J196" s="1"/>
    </row>
    <row r="197" spans="1:10" x14ac:dyDescent="0.2">
      <c r="A197" s="5">
        <v>45898</v>
      </c>
      <c r="B197" s="1" t="s">
        <v>1473</v>
      </c>
      <c r="C197" s="1" t="s">
        <v>309</v>
      </c>
      <c r="D197" s="1" t="s">
        <v>64</v>
      </c>
      <c r="E197" s="1" t="s">
        <v>19</v>
      </c>
      <c r="F197" s="1"/>
      <c r="G197" s="6" t="s">
        <v>23</v>
      </c>
      <c r="H197" s="7">
        <v>60000</v>
      </c>
      <c r="I197" s="8">
        <v>14.2</v>
      </c>
      <c r="J197" s="1"/>
    </row>
    <row r="198" spans="1:10" x14ac:dyDescent="0.2">
      <c r="A198" s="5">
        <v>45898</v>
      </c>
      <c r="B198" s="1" t="s">
        <v>683</v>
      </c>
      <c r="C198" s="1" t="s">
        <v>572</v>
      </c>
      <c r="D198" s="1" t="s">
        <v>119</v>
      </c>
      <c r="E198" s="1" t="s">
        <v>19</v>
      </c>
      <c r="F198" s="1"/>
      <c r="G198" s="6" t="s">
        <v>23</v>
      </c>
      <c r="H198" s="7">
        <v>60000</v>
      </c>
      <c r="I198" s="8">
        <v>13.1</v>
      </c>
      <c r="J198" s="1"/>
    </row>
    <row r="199" spans="1:10" x14ac:dyDescent="0.2">
      <c r="A199" s="5">
        <v>45898</v>
      </c>
      <c r="B199" s="1" t="s">
        <v>1474</v>
      </c>
      <c r="C199" s="1" t="s">
        <v>1475</v>
      </c>
      <c r="D199" s="1" t="s">
        <v>64</v>
      </c>
      <c r="E199" s="1" t="s">
        <v>19</v>
      </c>
      <c r="F199" s="17"/>
      <c r="G199" s="6" t="s">
        <v>23</v>
      </c>
      <c r="H199" s="7">
        <v>65000</v>
      </c>
      <c r="I199" s="8">
        <v>21.6</v>
      </c>
      <c r="J199" s="1"/>
    </row>
    <row r="200" spans="1:10" x14ac:dyDescent="0.2">
      <c r="A200" s="5">
        <v>45898</v>
      </c>
      <c r="B200" s="1" t="s">
        <v>1476</v>
      </c>
      <c r="C200" s="1" t="s">
        <v>631</v>
      </c>
      <c r="D200" s="1" t="s">
        <v>64</v>
      </c>
      <c r="E200" s="1" t="s">
        <v>19</v>
      </c>
      <c r="F200" s="1"/>
      <c r="G200" s="6" t="s">
        <v>23</v>
      </c>
      <c r="H200" s="7">
        <v>50000</v>
      </c>
      <c r="I200" s="8">
        <v>5.6</v>
      </c>
      <c r="J200" s="1"/>
    </row>
    <row r="201" spans="1:10" x14ac:dyDescent="0.2">
      <c r="A201" s="5">
        <v>45898</v>
      </c>
      <c r="B201" s="1" t="s">
        <v>111</v>
      </c>
      <c r="C201" s="1" t="s">
        <v>63</v>
      </c>
      <c r="D201" s="1" t="s">
        <v>112</v>
      </c>
      <c r="E201" s="1"/>
      <c r="F201" s="1"/>
      <c r="G201" s="6"/>
      <c r="H201" s="7">
        <v>90000</v>
      </c>
      <c r="I201" s="8"/>
      <c r="J201" s="1"/>
    </row>
    <row r="202" spans="1:10" x14ac:dyDescent="0.2">
      <c r="A202" s="5">
        <v>45898</v>
      </c>
      <c r="B202" s="1" t="s">
        <v>1477</v>
      </c>
      <c r="C202" s="1" t="s">
        <v>1106</v>
      </c>
      <c r="D202" s="1" t="s">
        <v>371</v>
      </c>
      <c r="E202" s="1" t="s">
        <v>19</v>
      </c>
      <c r="F202" s="1"/>
      <c r="G202" s="6" t="s">
        <v>23</v>
      </c>
      <c r="H202" s="7">
        <v>60000</v>
      </c>
      <c r="I202" s="8"/>
      <c r="J202" s="1"/>
    </row>
    <row r="203" spans="1:10" x14ac:dyDescent="0.2">
      <c r="A203" s="5">
        <v>45898</v>
      </c>
      <c r="B203" s="1" t="s">
        <v>1392</v>
      </c>
      <c r="C203" s="1" t="s">
        <v>1393</v>
      </c>
      <c r="D203" s="1" t="s">
        <v>32</v>
      </c>
      <c r="E203" s="1" t="s">
        <v>19</v>
      </c>
      <c r="F203" s="1"/>
      <c r="G203" s="6" t="s">
        <v>14</v>
      </c>
      <c r="H203" s="7">
        <v>65000</v>
      </c>
      <c r="I203" s="8">
        <v>6.1</v>
      </c>
      <c r="J203" s="1"/>
    </row>
    <row r="204" spans="1:10" x14ac:dyDescent="0.2">
      <c r="A204" s="5">
        <v>45898</v>
      </c>
      <c r="B204" s="1"/>
      <c r="C204" s="1"/>
      <c r="D204" s="1" t="s">
        <v>64</v>
      </c>
      <c r="E204" s="1" t="s">
        <v>61</v>
      </c>
      <c r="F204" s="1"/>
      <c r="G204" s="6" t="s">
        <v>23</v>
      </c>
      <c r="H204" s="7">
        <v>10000</v>
      </c>
      <c r="I204" s="8"/>
      <c r="J204" s="1"/>
    </row>
    <row r="205" spans="1:10" x14ac:dyDescent="0.2">
      <c r="A205" s="5">
        <v>45899</v>
      </c>
      <c r="B205" s="1"/>
      <c r="C205" s="1"/>
      <c r="D205" s="1"/>
      <c r="E205" s="1" t="s">
        <v>61</v>
      </c>
      <c r="F205" s="1"/>
      <c r="G205" s="6" t="s">
        <v>23</v>
      </c>
      <c r="H205" s="7">
        <v>10000</v>
      </c>
      <c r="I205" s="8"/>
      <c r="J205" s="1"/>
    </row>
    <row r="206" spans="1:10" x14ac:dyDescent="0.2">
      <c r="A206" s="5">
        <v>45899</v>
      </c>
      <c r="B206" s="1" t="s">
        <v>234</v>
      </c>
      <c r="C206" s="1" t="s">
        <v>554</v>
      </c>
      <c r="D206" s="1" t="s">
        <v>18</v>
      </c>
      <c r="E206" s="1" t="s">
        <v>13</v>
      </c>
      <c r="F206" s="1"/>
      <c r="G206" s="6" t="s">
        <v>14</v>
      </c>
      <c r="H206" s="7">
        <v>75000</v>
      </c>
      <c r="I206" s="8">
        <v>10.3</v>
      </c>
      <c r="J206" s="1"/>
    </row>
    <row r="207" spans="1:10" x14ac:dyDescent="0.2">
      <c r="A207" s="5">
        <v>45899</v>
      </c>
      <c r="B207" s="1" t="s">
        <v>1478</v>
      </c>
      <c r="C207" s="1" t="s">
        <v>1135</v>
      </c>
      <c r="D207" s="1" t="s">
        <v>18</v>
      </c>
      <c r="E207" s="1" t="s">
        <v>19</v>
      </c>
      <c r="F207" s="1"/>
      <c r="G207" s="6" t="s">
        <v>14</v>
      </c>
      <c r="H207" s="7">
        <v>65000</v>
      </c>
      <c r="I207" s="8">
        <v>3.9</v>
      </c>
      <c r="J207" s="1"/>
    </row>
    <row r="208" spans="1:10" x14ac:dyDescent="0.2">
      <c r="A208" s="5">
        <v>45899</v>
      </c>
      <c r="B208" s="1" t="s">
        <v>603</v>
      </c>
      <c r="C208" s="1" t="s">
        <v>604</v>
      </c>
      <c r="D208" s="1" t="s">
        <v>18</v>
      </c>
      <c r="E208" s="1" t="s">
        <v>19</v>
      </c>
      <c r="F208" s="1"/>
      <c r="G208" s="6" t="s">
        <v>14</v>
      </c>
      <c r="H208" s="7">
        <v>55000</v>
      </c>
      <c r="I208" s="8">
        <v>11.9</v>
      </c>
      <c r="J208" s="1"/>
    </row>
    <row r="209" spans="1:10" x14ac:dyDescent="0.2">
      <c r="A209" s="5">
        <v>45899</v>
      </c>
      <c r="B209" s="1" t="s">
        <v>1165</v>
      </c>
      <c r="C209" s="1" t="s">
        <v>1479</v>
      </c>
      <c r="D209" s="1" t="s">
        <v>131</v>
      </c>
      <c r="E209" s="1" t="s">
        <v>19</v>
      </c>
      <c r="F209" s="1"/>
      <c r="G209" s="6" t="s">
        <v>14</v>
      </c>
      <c r="H209" s="7">
        <v>90000</v>
      </c>
      <c r="I209" s="8">
        <v>38</v>
      </c>
      <c r="J209" s="1"/>
    </row>
    <row r="210" spans="1:10" x14ac:dyDescent="0.2">
      <c r="A210" s="5">
        <v>45899</v>
      </c>
      <c r="B210" s="1" t="s">
        <v>1480</v>
      </c>
      <c r="C210" s="1" t="s">
        <v>450</v>
      </c>
      <c r="D210" s="1" t="s">
        <v>64</v>
      </c>
      <c r="E210" s="1" t="s">
        <v>19</v>
      </c>
      <c r="F210" s="1"/>
      <c r="G210" s="6" t="s">
        <v>23</v>
      </c>
      <c r="H210" s="7">
        <v>40000</v>
      </c>
      <c r="I210" s="8">
        <v>6.2</v>
      </c>
      <c r="J210" s="1"/>
    </row>
    <row r="211" spans="1:10" x14ac:dyDescent="0.2">
      <c r="A211" s="5">
        <v>45899</v>
      </c>
      <c r="B211" s="1" t="s">
        <v>1481</v>
      </c>
      <c r="C211" s="1" t="s">
        <v>819</v>
      </c>
      <c r="D211" s="1" t="s">
        <v>88</v>
      </c>
      <c r="E211" s="1" t="s">
        <v>94</v>
      </c>
      <c r="F211" s="1"/>
      <c r="G211" s="6" t="s">
        <v>14</v>
      </c>
      <c r="H211" s="7">
        <v>75000</v>
      </c>
      <c r="I211" s="8">
        <v>7.4</v>
      </c>
      <c r="J211" s="1"/>
    </row>
    <row r="212" spans="1:10" x14ac:dyDescent="0.2">
      <c r="A212" s="5">
        <v>45899</v>
      </c>
      <c r="B212" s="1" t="s">
        <v>610</v>
      </c>
      <c r="C212" s="1" t="s">
        <v>189</v>
      </c>
      <c r="D212" s="1" t="s">
        <v>32</v>
      </c>
      <c r="E212" s="1" t="s">
        <v>19</v>
      </c>
      <c r="F212" s="1"/>
      <c r="G212" s="6" t="s">
        <v>14</v>
      </c>
      <c r="H212" s="7">
        <v>50000</v>
      </c>
      <c r="I212" s="8"/>
      <c r="J212" s="1"/>
    </row>
    <row r="213" spans="1:10" x14ac:dyDescent="0.2">
      <c r="A213" s="5">
        <v>45899</v>
      </c>
      <c r="B213" s="1" t="s">
        <v>610</v>
      </c>
      <c r="C213" s="1" t="s">
        <v>188</v>
      </c>
      <c r="D213" s="1" t="s">
        <v>32</v>
      </c>
      <c r="E213" s="1" t="s">
        <v>19</v>
      </c>
      <c r="F213" s="1"/>
      <c r="G213" s="6" t="s">
        <v>14</v>
      </c>
      <c r="H213" s="7">
        <v>60000</v>
      </c>
      <c r="I213" s="8"/>
      <c r="J213" s="1"/>
    </row>
    <row r="214" spans="1:10" x14ac:dyDescent="0.2">
      <c r="A214" s="5">
        <v>45899</v>
      </c>
      <c r="B214" s="1" t="s">
        <v>515</v>
      </c>
      <c r="C214" s="1" t="s">
        <v>1482</v>
      </c>
      <c r="D214" s="1" t="s">
        <v>834</v>
      </c>
      <c r="E214" s="1" t="s">
        <v>13</v>
      </c>
      <c r="F214" s="1"/>
      <c r="G214" s="6" t="s">
        <v>14</v>
      </c>
      <c r="H214" s="7">
        <v>72000</v>
      </c>
      <c r="I214" s="8"/>
      <c r="J214" s="1"/>
    </row>
    <row r="215" spans="1:10" x14ac:dyDescent="0.2">
      <c r="A215" s="5">
        <v>45899</v>
      </c>
      <c r="B215" s="1" t="s">
        <v>1483</v>
      </c>
      <c r="C215" s="1" t="s">
        <v>1484</v>
      </c>
      <c r="D215" s="1" t="s">
        <v>131</v>
      </c>
      <c r="E215" s="1" t="s">
        <v>19</v>
      </c>
      <c r="F215" s="1"/>
      <c r="G215" s="6" t="s">
        <v>14</v>
      </c>
      <c r="H215" s="7">
        <v>90000</v>
      </c>
      <c r="I215" s="8"/>
      <c r="J215" s="1"/>
    </row>
    <row r="216" spans="1:10" x14ac:dyDescent="0.2">
      <c r="A216" s="5">
        <v>45899</v>
      </c>
      <c r="B216" s="1" t="s">
        <v>504</v>
      </c>
      <c r="C216" s="1" t="s">
        <v>1485</v>
      </c>
      <c r="D216" s="1" t="s">
        <v>64</v>
      </c>
      <c r="E216" s="1" t="s">
        <v>19</v>
      </c>
      <c r="F216" s="1"/>
      <c r="G216" s="6" t="s">
        <v>23</v>
      </c>
      <c r="H216" s="7">
        <v>45000</v>
      </c>
      <c r="I216" s="8"/>
      <c r="J216" s="1"/>
    </row>
    <row r="217" spans="1:10" x14ac:dyDescent="0.2">
      <c r="A217" s="5">
        <v>45899</v>
      </c>
      <c r="B217" s="1" t="s">
        <v>504</v>
      </c>
      <c r="C217" s="1" t="s">
        <v>996</v>
      </c>
      <c r="D217" s="1" t="s">
        <v>64</v>
      </c>
      <c r="E217" s="1" t="s">
        <v>19</v>
      </c>
      <c r="F217" s="1"/>
      <c r="G217" s="6" t="s">
        <v>23</v>
      </c>
      <c r="H217" s="7">
        <v>45000</v>
      </c>
      <c r="I217" s="8"/>
      <c r="J217" s="1"/>
    </row>
    <row r="218" spans="1:10" x14ac:dyDescent="0.2">
      <c r="A218" s="5">
        <v>45899</v>
      </c>
      <c r="B218" s="1"/>
      <c r="C218" s="1"/>
      <c r="D218" s="1"/>
      <c r="E218" s="1" t="s">
        <v>61</v>
      </c>
      <c r="F218" s="1"/>
      <c r="G218" s="6"/>
      <c r="H218" s="7">
        <v>10000</v>
      </c>
      <c r="I218" s="8"/>
      <c r="J218" s="1"/>
    </row>
    <row r="219" spans="1:10" x14ac:dyDescent="0.2">
      <c r="A219" s="5">
        <v>45899</v>
      </c>
      <c r="B219" s="1" t="s">
        <v>191</v>
      </c>
      <c r="C219" s="1" t="s">
        <v>621</v>
      </c>
      <c r="D219" s="1" t="s">
        <v>42</v>
      </c>
      <c r="E219" s="1" t="s">
        <v>61</v>
      </c>
      <c r="F219" s="1"/>
      <c r="G219" s="6" t="s">
        <v>23</v>
      </c>
      <c r="H219" s="7">
        <v>10000</v>
      </c>
      <c r="I219" s="8"/>
      <c r="J219" s="1"/>
    </row>
    <row r="220" spans="1:10" x14ac:dyDescent="0.2">
      <c r="A220" s="5">
        <v>45899</v>
      </c>
      <c r="B220" s="1" t="s">
        <v>191</v>
      </c>
      <c r="C220" s="1" t="s">
        <v>192</v>
      </c>
      <c r="D220" s="1" t="s">
        <v>42</v>
      </c>
      <c r="E220" s="1" t="s">
        <v>61</v>
      </c>
      <c r="F220" s="1"/>
      <c r="G220" s="6" t="s">
        <v>23</v>
      </c>
      <c r="H220" s="7">
        <v>10000</v>
      </c>
      <c r="I220" s="8"/>
      <c r="J220" s="1"/>
    </row>
    <row r="221" spans="1:10" x14ac:dyDescent="0.2">
      <c r="A221" s="5">
        <v>45899</v>
      </c>
      <c r="B221" s="1" t="s">
        <v>191</v>
      </c>
      <c r="C221" s="1" t="s">
        <v>41</v>
      </c>
      <c r="D221" s="1" t="s">
        <v>42</v>
      </c>
      <c r="E221" s="1" t="s">
        <v>61</v>
      </c>
      <c r="F221" s="1"/>
      <c r="G221" s="6" t="s">
        <v>23</v>
      </c>
      <c r="H221" s="7">
        <v>10000</v>
      </c>
      <c r="I221" s="8"/>
      <c r="J221" s="1"/>
    </row>
    <row r="222" spans="1:10" x14ac:dyDescent="0.2">
      <c r="A222" s="5">
        <v>45899</v>
      </c>
      <c r="B222" s="1" t="s">
        <v>191</v>
      </c>
      <c r="C222" s="1" t="s">
        <v>522</v>
      </c>
      <c r="D222" s="1" t="s">
        <v>42</v>
      </c>
      <c r="E222" s="1" t="s">
        <v>61</v>
      </c>
      <c r="F222" s="1"/>
      <c r="G222" s="6" t="s">
        <v>23</v>
      </c>
      <c r="H222" s="7">
        <v>10000</v>
      </c>
      <c r="I222" s="8"/>
      <c r="J222" s="1"/>
    </row>
    <row r="223" spans="1:10" x14ac:dyDescent="0.2">
      <c r="A223" s="5"/>
      <c r="B223" s="1"/>
      <c r="C223" s="1"/>
      <c r="D223" s="1"/>
      <c r="E223" s="1"/>
      <c r="F223" s="1"/>
      <c r="G223" s="6"/>
      <c r="H223" s="7"/>
      <c r="I223" s="8"/>
      <c r="J223" s="1"/>
    </row>
    <row r="224" spans="1:10" x14ac:dyDescent="0.2">
      <c r="A224" s="5"/>
      <c r="B224" s="1"/>
      <c r="C224" s="1"/>
      <c r="D224" s="1"/>
      <c r="E224" s="1"/>
      <c r="F224" s="1"/>
      <c r="G224" s="6"/>
      <c r="H224" s="7"/>
      <c r="I224" s="8"/>
      <c r="J224" s="1"/>
    </row>
    <row r="225" spans="1:10" x14ac:dyDescent="0.2">
      <c r="A225" s="5"/>
      <c r="B225" s="1"/>
      <c r="C225" s="1"/>
      <c r="D225" s="1"/>
      <c r="E225" s="1"/>
      <c r="F225" s="1"/>
      <c r="G225" s="6"/>
      <c r="H225" s="7"/>
      <c r="I225" s="8"/>
      <c r="J225" s="1"/>
    </row>
    <row r="226" spans="1:10" x14ac:dyDescent="0.2">
      <c r="A226" s="5"/>
      <c r="B226" s="1"/>
      <c r="C226" s="1"/>
      <c r="D226" s="1"/>
      <c r="E226" s="1"/>
      <c r="F226" s="1"/>
      <c r="G226" s="6"/>
      <c r="H226" s="7"/>
      <c r="I226" s="8"/>
      <c r="J226" s="1"/>
    </row>
    <row r="227" spans="1:10" x14ac:dyDescent="0.2">
      <c r="A227" s="5"/>
      <c r="B227" s="1"/>
      <c r="C227" s="1"/>
      <c r="D227" s="1"/>
      <c r="E227" s="1"/>
      <c r="F227" s="1"/>
      <c r="G227" s="6"/>
      <c r="H227" s="7"/>
      <c r="I227" s="8"/>
      <c r="J227" s="1"/>
    </row>
    <row r="228" spans="1:10" x14ac:dyDescent="0.2">
      <c r="A228" s="5"/>
      <c r="B228" s="1"/>
      <c r="C228" s="1"/>
      <c r="D228" s="1"/>
      <c r="E228" s="1"/>
      <c r="F228" s="1"/>
      <c r="G228" s="6"/>
      <c r="H228" s="7"/>
      <c r="I228" s="8"/>
      <c r="J228" s="1"/>
    </row>
    <row r="229" spans="1:10" x14ac:dyDescent="0.2">
      <c r="A229" s="5"/>
      <c r="B229" s="1"/>
      <c r="C229" s="1"/>
      <c r="D229" s="1"/>
      <c r="E229" s="1"/>
      <c r="F229" s="1"/>
      <c r="G229" s="6"/>
      <c r="H229" s="7"/>
      <c r="I229" s="8"/>
      <c r="J229" s="1"/>
    </row>
    <row r="230" spans="1:10" x14ac:dyDescent="0.2">
      <c r="A230" s="5"/>
      <c r="B230" s="1"/>
      <c r="C230" s="1"/>
      <c r="D230" s="1"/>
      <c r="E230" s="1"/>
      <c r="F230" s="1"/>
      <c r="G230" s="6"/>
      <c r="H230" s="7"/>
      <c r="I230" s="8"/>
      <c r="J230" s="1"/>
    </row>
    <row r="231" spans="1:10" x14ac:dyDescent="0.2">
      <c r="A231" s="5"/>
      <c r="B231" s="1"/>
      <c r="C231" s="1"/>
      <c r="D231" s="1"/>
      <c r="E231" s="1"/>
      <c r="F231" s="1"/>
      <c r="G231" s="6"/>
      <c r="H231" s="7"/>
      <c r="I231" s="8"/>
      <c r="J231" s="1"/>
    </row>
    <row r="232" spans="1:10" x14ac:dyDescent="0.2">
      <c r="A232" s="5"/>
      <c r="B232" s="17"/>
      <c r="C232" s="17"/>
      <c r="D232" s="1"/>
      <c r="E232" s="1"/>
      <c r="F232" s="17"/>
      <c r="G232" s="6"/>
      <c r="H232" s="7"/>
      <c r="I232" s="17"/>
      <c r="J232" s="17"/>
    </row>
    <row r="233" spans="1:10" x14ac:dyDescent="0.2">
      <c r="A233" s="5"/>
      <c r="B233" s="1"/>
      <c r="C233" s="1"/>
      <c r="D233" s="1"/>
      <c r="E233" s="1"/>
      <c r="F233" s="1"/>
      <c r="G233" s="6"/>
      <c r="H233" s="7"/>
      <c r="I233" s="8"/>
      <c r="J233" s="17"/>
    </row>
    <row r="234" spans="1:10" x14ac:dyDescent="0.2">
      <c r="A234" s="5"/>
      <c r="B234" s="1"/>
      <c r="C234" s="1"/>
      <c r="D234" s="1"/>
      <c r="E234" s="1"/>
      <c r="F234" s="1"/>
      <c r="G234" s="6"/>
      <c r="H234" s="7"/>
      <c r="I234" s="8"/>
      <c r="J234" s="17"/>
    </row>
    <row r="235" spans="1:10" x14ac:dyDescent="0.2">
      <c r="A235" s="5"/>
      <c r="B235" s="1"/>
      <c r="C235" s="1"/>
      <c r="D235" s="1"/>
      <c r="E235" s="1"/>
      <c r="F235" s="1"/>
      <c r="G235" s="6"/>
      <c r="H235" s="7"/>
      <c r="I235" s="8"/>
      <c r="J235" s="17"/>
    </row>
    <row r="236" spans="1:10" x14ac:dyDescent="0.2">
      <c r="A236" s="5"/>
      <c r="B236" s="1"/>
      <c r="C236" s="1"/>
      <c r="D236" s="1"/>
      <c r="E236" s="1"/>
      <c r="F236" s="1"/>
      <c r="G236" s="6"/>
      <c r="H236" s="7"/>
      <c r="I236" s="8"/>
      <c r="J236" s="17"/>
    </row>
    <row r="237" spans="1:10" x14ac:dyDescent="0.2">
      <c r="A237" s="5"/>
      <c r="B237" s="1"/>
      <c r="C237" s="1"/>
      <c r="D237" s="1"/>
      <c r="E237" s="1"/>
      <c r="F237" s="1"/>
      <c r="G237" s="6"/>
      <c r="H237" s="7"/>
      <c r="I237" s="8"/>
      <c r="J237" s="17"/>
    </row>
    <row r="238" spans="1:10" x14ac:dyDescent="0.2">
      <c r="A238" s="5"/>
      <c r="B238" s="1"/>
      <c r="C238" s="1"/>
      <c r="D238" s="1"/>
      <c r="E238" s="1"/>
      <c r="F238" s="1"/>
      <c r="G238" s="6"/>
      <c r="H238" s="7"/>
      <c r="I238" s="8"/>
      <c r="J238" s="17"/>
    </row>
  </sheetData>
  <autoFilter ref="A1:J222" xr:uid="{00000000-0009-0000-0000-000007000000}"/>
  <dataValidations count="6">
    <dataValidation type="list" allowBlank="1" showErrorMessage="1" sqref="D177:D178 D215" xr:uid="{00000000-0002-0000-07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38" xr:uid="{00000000-0002-0000-0700-000001000000}">
      <formula1>"LARGO,CORTO"</formula1>
    </dataValidation>
    <dataValidation type="list" allowBlank="1" showErrorMessage="1" sqref="E2:E238" xr:uid="{00000000-0002-0000-07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D107" xr:uid="{00000000-0002-0000-0700-000003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22" xr:uid="{00000000-0002-0000-0700-000004000000}">
      <formula1>"MOÑO,MOÑOS,CORBATÍN,PAÑOLETA,NO"</formula1>
    </dataValidation>
    <dataValidation type="list" allowBlank="1" showErrorMessage="1" sqref="D2:D106 D108:D176 D179:D214 D216:D238" xr:uid="{00000000-0002-0000-0700-000005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235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12" customWidth="1"/>
    <col min="2" max="2" width="29.1640625" customWidth="1"/>
    <col min="3" max="3" width="19" customWidth="1"/>
    <col min="4" max="4" width="19.33203125" customWidth="1"/>
    <col min="5" max="5" width="26.83203125" customWidth="1"/>
    <col min="6" max="6" width="14" customWidth="1"/>
    <col min="7" max="7" width="15" customWidth="1"/>
    <col min="8" max="8" width="14" customWidth="1"/>
    <col min="9" max="9" width="10.5" customWidth="1"/>
  </cols>
  <sheetData>
    <row r="1" spans="1:26" x14ac:dyDescent="0.2">
      <c r="A1" s="2" t="s">
        <v>664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26" x14ac:dyDescent="0.2">
      <c r="A2" s="20">
        <v>45901</v>
      </c>
      <c r="B2" s="21" t="s">
        <v>1486</v>
      </c>
      <c r="C2" s="21" t="s">
        <v>811</v>
      </c>
      <c r="D2" s="21" t="s">
        <v>26</v>
      </c>
      <c r="E2" s="21" t="s">
        <v>13</v>
      </c>
      <c r="F2" s="21"/>
      <c r="G2" s="22" t="s">
        <v>14</v>
      </c>
      <c r="H2" s="23">
        <v>95000</v>
      </c>
      <c r="I2" s="24">
        <v>6.8</v>
      </c>
      <c r="J2" s="21" t="s">
        <v>15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">
      <c r="A3" s="20">
        <v>45901</v>
      </c>
      <c r="B3" s="21" t="s">
        <v>1487</v>
      </c>
      <c r="C3" s="21" t="s">
        <v>1488</v>
      </c>
      <c r="D3" s="21" t="s">
        <v>340</v>
      </c>
      <c r="E3" s="21" t="s">
        <v>19</v>
      </c>
      <c r="F3" s="21"/>
      <c r="G3" s="22" t="s">
        <v>23</v>
      </c>
      <c r="H3" s="23">
        <v>30000</v>
      </c>
      <c r="I3" s="24">
        <v>2.7</v>
      </c>
      <c r="J3" s="21" t="s">
        <v>15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">
      <c r="A4" s="5">
        <v>45901</v>
      </c>
      <c r="B4" s="1" t="s">
        <v>381</v>
      </c>
      <c r="C4" s="1" t="s">
        <v>382</v>
      </c>
      <c r="D4" s="1" t="s">
        <v>165</v>
      </c>
      <c r="E4" s="1" t="s">
        <v>13</v>
      </c>
      <c r="F4" s="1"/>
      <c r="G4" s="6" t="s">
        <v>14</v>
      </c>
      <c r="H4" s="7">
        <v>80000</v>
      </c>
      <c r="I4" s="8">
        <v>9.4</v>
      </c>
      <c r="J4" s="1" t="s">
        <v>15</v>
      </c>
    </row>
    <row r="5" spans="1:26" x14ac:dyDescent="0.2">
      <c r="A5" s="5">
        <v>45901</v>
      </c>
      <c r="B5" s="1" t="s">
        <v>1489</v>
      </c>
      <c r="C5" s="1" t="s">
        <v>46</v>
      </c>
      <c r="D5" s="1" t="s">
        <v>12</v>
      </c>
      <c r="E5" s="1" t="s">
        <v>13</v>
      </c>
      <c r="F5" s="1"/>
      <c r="G5" s="6" t="s">
        <v>14</v>
      </c>
      <c r="H5" s="7">
        <v>80000</v>
      </c>
      <c r="I5" s="8">
        <v>7.6</v>
      </c>
      <c r="J5" s="1" t="s">
        <v>15</v>
      </c>
    </row>
    <row r="6" spans="1:26" x14ac:dyDescent="0.2">
      <c r="A6" s="5">
        <v>45901</v>
      </c>
      <c r="B6" s="1" t="s">
        <v>791</v>
      </c>
      <c r="C6" s="1" t="s">
        <v>278</v>
      </c>
      <c r="D6" s="1" t="s">
        <v>18</v>
      </c>
      <c r="E6" s="1" t="s">
        <v>13</v>
      </c>
      <c r="F6" s="1"/>
      <c r="G6" s="6" t="s">
        <v>14</v>
      </c>
      <c r="H6" s="7">
        <v>65000</v>
      </c>
      <c r="I6" s="8">
        <v>18.3</v>
      </c>
      <c r="J6" s="1" t="s">
        <v>15</v>
      </c>
    </row>
    <row r="7" spans="1:26" x14ac:dyDescent="0.2">
      <c r="A7" s="5">
        <v>45901</v>
      </c>
      <c r="B7" s="1" t="s">
        <v>795</v>
      </c>
      <c r="C7" s="1" t="s">
        <v>796</v>
      </c>
      <c r="D7" s="1" t="s">
        <v>18</v>
      </c>
      <c r="E7" s="1" t="s">
        <v>13</v>
      </c>
      <c r="F7" s="1"/>
      <c r="G7" s="6" t="s">
        <v>14</v>
      </c>
      <c r="H7" s="7">
        <v>150000</v>
      </c>
      <c r="I7" s="8">
        <v>12.8</v>
      </c>
      <c r="J7" s="1" t="s">
        <v>15</v>
      </c>
    </row>
    <row r="8" spans="1:26" x14ac:dyDescent="0.2">
      <c r="A8" s="5">
        <v>45901</v>
      </c>
      <c r="B8" s="1" t="s">
        <v>1490</v>
      </c>
      <c r="C8" s="1" t="s">
        <v>962</v>
      </c>
      <c r="D8" s="1" t="s">
        <v>26</v>
      </c>
      <c r="E8" s="1" t="s">
        <v>13</v>
      </c>
      <c r="F8" s="1"/>
      <c r="G8" s="6" t="s">
        <v>14</v>
      </c>
      <c r="H8" s="7">
        <v>95000</v>
      </c>
      <c r="I8" s="8">
        <v>5.8</v>
      </c>
      <c r="J8" s="1" t="s">
        <v>15</v>
      </c>
    </row>
    <row r="9" spans="1:26" x14ac:dyDescent="0.2">
      <c r="A9" s="5">
        <v>45902</v>
      </c>
      <c r="B9" s="1" t="s">
        <v>659</v>
      </c>
      <c r="C9" s="1" t="s">
        <v>389</v>
      </c>
      <c r="D9" s="1" t="s">
        <v>779</v>
      </c>
      <c r="E9" s="1" t="s">
        <v>94</v>
      </c>
      <c r="F9" s="1" t="s">
        <v>209</v>
      </c>
      <c r="G9" s="6" t="s">
        <v>14</v>
      </c>
      <c r="H9" s="7">
        <f>80000+120000</f>
        <v>200000</v>
      </c>
      <c r="I9" s="8">
        <v>25.3</v>
      </c>
      <c r="J9" s="1"/>
    </row>
    <row r="10" spans="1:26" x14ac:dyDescent="0.2">
      <c r="A10" s="5">
        <v>45902</v>
      </c>
      <c r="B10" s="1" t="s">
        <v>1491</v>
      </c>
      <c r="C10" s="1" t="s">
        <v>1492</v>
      </c>
      <c r="D10" s="1" t="s">
        <v>1229</v>
      </c>
      <c r="E10" s="1" t="s">
        <v>19</v>
      </c>
      <c r="F10" s="1"/>
      <c r="G10" s="6" t="s">
        <v>23</v>
      </c>
      <c r="H10" s="7">
        <v>30000</v>
      </c>
      <c r="I10" s="8">
        <v>3.6</v>
      </c>
      <c r="J10" s="1"/>
    </row>
    <row r="11" spans="1:26" x14ac:dyDescent="0.2">
      <c r="A11" s="5">
        <v>45902</v>
      </c>
      <c r="B11" s="1" t="s">
        <v>1154</v>
      </c>
      <c r="C11" s="1" t="s">
        <v>382</v>
      </c>
      <c r="D11" s="1" t="s">
        <v>32</v>
      </c>
      <c r="E11" s="1" t="s">
        <v>19</v>
      </c>
      <c r="F11" s="1"/>
      <c r="G11" s="6" t="s">
        <v>14</v>
      </c>
      <c r="H11" s="7">
        <v>75000</v>
      </c>
      <c r="I11" s="8">
        <v>3.1</v>
      </c>
      <c r="J11" s="1"/>
    </row>
    <row r="12" spans="1:26" x14ac:dyDescent="0.2">
      <c r="A12" s="5">
        <v>45902</v>
      </c>
      <c r="B12" s="1" t="s">
        <v>1154</v>
      </c>
      <c r="C12" s="1" t="s">
        <v>257</v>
      </c>
      <c r="D12" s="1" t="s">
        <v>58</v>
      </c>
      <c r="E12" s="1" t="s">
        <v>59</v>
      </c>
      <c r="F12" s="1"/>
      <c r="G12" s="6" t="s">
        <v>14</v>
      </c>
      <c r="H12" s="7">
        <v>80000</v>
      </c>
      <c r="I12" s="8">
        <v>2.2999999999999998</v>
      </c>
      <c r="J12" s="1"/>
    </row>
    <row r="13" spans="1:26" x14ac:dyDescent="0.2">
      <c r="A13" s="5">
        <v>45902</v>
      </c>
      <c r="B13" s="1" t="s">
        <v>1154</v>
      </c>
      <c r="C13" s="1" t="s">
        <v>880</v>
      </c>
      <c r="D13" s="1" t="s">
        <v>58</v>
      </c>
      <c r="E13" s="1" t="s">
        <v>59</v>
      </c>
      <c r="F13" s="1"/>
      <c r="G13" s="6" t="s">
        <v>14</v>
      </c>
      <c r="H13" s="7">
        <v>80000</v>
      </c>
      <c r="I13" s="8"/>
      <c r="J13" s="1"/>
    </row>
    <row r="14" spans="1:26" x14ac:dyDescent="0.2">
      <c r="A14" s="5">
        <v>45903</v>
      </c>
      <c r="B14" s="1" t="s">
        <v>114</v>
      </c>
      <c r="C14" s="1" t="s">
        <v>114</v>
      </c>
      <c r="D14" s="1"/>
      <c r="E14" s="1" t="s">
        <v>61</v>
      </c>
      <c r="F14" s="1"/>
      <c r="G14" s="6" t="s">
        <v>23</v>
      </c>
      <c r="H14" s="7">
        <v>10000</v>
      </c>
      <c r="I14" s="8"/>
      <c r="J14" s="1"/>
    </row>
    <row r="15" spans="1:26" x14ac:dyDescent="0.2">
      <c r="A15" s="5">
        <v>45903</v>
      </c>
      <c r="B15" s="1" t="s">
        <v>1493</v>
      </c>
      <c r="C15" s="1" t="s">
        <v>1029</v>
      </c>
      <c r="D15" s="1" t="s">
        <v>12</v>
      </c>
      <c r="E15" s="1" t="s">
        <v>13</v>
      </c>
      <c r="F15" s="1"/>
      <c r="G15" s="6" t="s">
        <v>14</v>
      </c>
      <c r="H15" s="7">
        <v>85000</v>
      </c>
      <c r="I15" s="8">
        <v>7.8</v>
      </c>
      <c r="J15" s="1"/>
    </row>
    <row r="16" spans="1:26" x14ac:dyDescent="0.2">
      <c r="A16" s="5">
        <v>45903</v>
      </c>
      <c r="B16" s="1" t="s">
        <v>1493</v>
      </c>
      <c r="C16" s="1" t="s">
        <v>1030</v>
      </c>
      <c r="D16" s="1" t="s">
        <v>12</v>
      </c>
      <c r="E16" s="1" t="s">
        <v>13</v>
      </c>
      <c r="F16" s="1"/>
      <c r="G16" s="6" t="s">
        <v>14</v>
      </c>
      <c r="H16" s="7">
        <v>85000</v>
      </c>
      <c r="I16" s="8">
        <v>10.8</v>
      </c>
      <c r="J16" s="1"/>
    </row>
    <row r="17" spans="1:26" x14ac:dyDescent="0.2">
      <c r="A17" s="5">
        <v>45903</v>
      </c>
      <c r="B17" s="1" t="s">
        <v>436</v>
      </c>
      <c r="C17" s="1" t="s">
        <v>437</v>
      </c>
      <c r="D17" s="1" t="s">
        <v>88</v>
      </c>
      <c r="E17" s="1" t="s">
        <v>19</v>
      </c>
      <c r="F17" s="1"/>
      <c r="G17" s="6" t="s">
        <v>14</v>
      </c>
      <c r="H17" s="7">
        <v>60000</v>
      </c>
      <c r="I17" s="8"/>
      <c r="J17" s="1"/>
    </row>
    <row r="18" spans="1:26" x14ac:dyDescent="0.2">
      <c r="A18" s="5">
        <v>45903</v>
      </c>
      <c r="B18" s="1" t="s">
        <v>1494</v>
      </c>
      <c r="C18" s="1" t="s">
        <v>1338</v>
      </c>
      <c r="D18" s="1" t="s">
        <v>131</v>
      </c>
      <c r="E18" s="1" t="s">
        <v>19</v>
      </c>
      <c r="F18" s="1"/>
      <c r="G18" s="6" t="s">
        <v>14</v>
      </c>
      <c r="H18" s="7">
        <v>95000</v>
      </c>
      <c r="I18" s="8"/>
      <c r="J18" s="1"/>
    </row>
    <row r="19" spans="1:26" x14ac:dyDescent="0.2">
      <c r="A19" s="5">
        <v>45903</v>
      </c>
      <c r="B19" s="1" t="s">
        <v>918</v>
      </c>
      <c r="C19" s="1" t="s">
        <v>919</v>
      </c>
      <c r="D19" s="1" t="s">
        <v>64</v>
      </c>
      <c r="E19" s="1" t="s">
        <v>19</v>
      </c>
      <c r="F19" s="1"/>
      <c r="G19" s="6" t="s">
        <v>23</v>
      </c>
      <c r="H19" s="7">
        <v>70000</v>
      </c>
      <c r="I19" s="8"/>
      <c r="J19" s="1"/>
    </row>
    <row r="20" spans="1:26" x14ac:dyDescent="0.2">
      <c r="A20" s="20">
        <v>45903</v>
      </c>
      <c r="B20" s="21" t="s">
        <v>816</v>
      </c>
      <c r="C20" s="21" t="s">
        <v>1495</v>
      </c>
      <c r="D20" s="21" t="s">
        <v>64</v>
      </c>
      <c r="E20" s="21" t="s">
        <v>13</v>
      </c>
      <c r="F20" s="21"/>
      <c r="G20" s="22" t="s">
        <v>14</v>
      </c>
      <c r="H20" s="23">
        <v>85000</v>
      </c>
      <c r="I20" s="24">
        <v>7.2</v>
      </c>
      <c r="J20" s="21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2">
      <c r="A21" s="5">
        <v>45903</v>
      </c>
      <c r="B21" s="1" t="s">
        <v>1496</v>
      </c>
      <c r="C21" s="1" t="s">
        <v>893</v>
      </c>
      <c r="D21" s="1" t="s">
        <v>340</v>
      </c>
      <c r="E21" s="1" t="s">
        <v>19</v>
      </c>
      <c r="F21" s="1"/>
      <c r="G21" s="6" t="s">
        <v>23</v>
      </c>
      <c r="H21" s="7">
        <v>20000</v>
      </c>
      <c r="I21" s="8">
        <v>2.6</v>
      </c>
      <c r="J21" s="1"/>
    </row>
    <row r="22" spans="1:26" x14ac:dyDescent="0.2">
      <c r="A22" s="5">
        <v>45903</v>
      </c>
      <c r="B22" s="1" t="s">
        <v>739</v>
      </c>
      <c r="C22" s="1" t="s">
        <v>740</v>
      </c>
      <c r="D22" s="1" t="s">
        <v>26</v>
      </c>
      <c r="E22" s="1" t="s">
        <v>19</v>
      </c>
      <c r="F22" s="1"/>
      <c r="G22" s="6" t="s">
        <v>14</v>
      </c>
      <c r="H22" s="7">
        <v>75000</v>
      </c>
      <c r="I22" s="8"/>
      <c r="J22" s="1"/>
    </row>
    <row r="23" spans="1:26" x14ac:dyDescent="0.2">
      <c r="A23" s="5">
        <v>45904</v>
      </c>
      <c r="B23" s="1" t="s">
        <v>252</v>
      </c>
      <c r="C23" s="1" t="s">
        <v>253</v>
      </c>
      <c r="D23" s="1" t="s">
        <v>26</v>
      </c>
      <c r="E23" s="1" t="s">
        <v>19</v>
      </c>
      <c r="F23" s="1"/>
      <c r="G23" s="6" t="s">
        <v>14</v>
      </c>
      <c r="H23" s="7">
        <v>75000</v>
      </c>
      <c r="I23" s="8">
        <v>4.5999999999999996</v>
      </c>
      <c r="J23" s="1"/>
    </row>
    <row r="24" spans="1:26" x14ac:dyDescent="0.2">
      <c r="A24" s="5">
        <v>45904</v>
      </c>
      <c r="B24" s="1" t="s">
        <v>344</v>
      </c>
      <c r="C24" s="1" t="s">
        <v>31</v>
      </c>
      <c r="D24" s="1" t="s">
        <v>64</v>
      </c>
      <c r="E24" s="1" t="s">
        <v>19</v>
      </c>
      <c r="F24" s="1"/>
      <c r="G24" s="6" t="s">
        <v>23</v>
      </c>
      <c r="H24" s="7">
        <v>60000</v>
      </c>
      <c r="I24" s="8">
        <v>12.2</v>
      </c>
      <c r="J24" s="1"/>
    </row>
    <row r="25" spans="1:26" x14ac:dyDescent="0.2">
      <c r="A25" s="5">
        <v>45904</v>
      </c>
      <c r="B25" s="1" t="s">
        <v>344</v>
      </c>
      <c r="C25" s="1" t="s">
        <v>25</v>
      </c>
      <c r="D25" s="1" t="s">
        <v>26</v>
      </c>
      <c r="E25" s="1" t="s">
        <v>13</v>
      </c>
      <c r="F25" s="1"/>
      <c r="G25" s="6" t="s">
        <v>14</v>
      </c>
      <c r="H25" s="7">
        <v>87000</v>
      </c>
      <c r="I25" s="8">
        <v>7.5</v>
      </c>
      <c r="J25" s="1"/>
    </row>
    <row r="26" spans="1:26" x14ac:dyDescent="0.2">
      <c r="A26" s="5">
        <v>45904</v>
      </c>
      <c r="B26" s="1" t="s">
        <v>161</v>
      </c>
      <c r="C26" s="1" t="s">
        <v>162</v>
      </c>
      <c r="D26" s="1" t="s">
        <v>32</v>
      </c>
      <c r="E26" s="1" t="s">
        <v>19</v>
      </c>
      <c r="F26" s="1"/>
      <c r="G26" s="6" t="s">
        <v>14</v>
      </c>
      <c r="H26" s="7">
        <v>70000</v>
      </c>
      <c r="I26" s="8">
        <v>1.6</v>
      </c>
      <c r="J26" s="1"/>
    </row>
    <row r="27" spans="1:26" x14ac:dyDescent="0.2">
      <c r="A27" s="5">
        <v>45905</v>
      </c>
      <c r="B27" s="1" t="s">
        <v>204</v>
      </c>
      <c r="C27" s="1" t="s">
        <v>180</v>
      </c>
      <c r="D27" s="1" t="s">
        <v>88</v>
      </c>
      <c r="E27" s="1" t="s">
        <v>13</v>
      </c>
      <c r="F27" s="1"/>
      <c r="G27" s="6" t="s">
        <v>14</v>
      </c>
      <c r="H27" s="7">
        <v>80000</v>
      </c>
      <c r="I27" s="8">
        <v>5.9</v>
      </c>
      <c r="J27" s="1"/>
    </row>
    <row r="28" spans="1:26" x14ac:dyDescent="0.2">
      <c r="A28" s="5">
        <v>45905</v>
      </c>
      <c r="B28" s="1" t="s">
        <v>1497</v>
      </c>
      <c r="C28" s="1" t="s">
        <v>1498</v>
      </c>
      <c r="D28" s="1" t="s">
        <v>26</v>
      </c>
      <c r="E28" s="1" t="s">
        <v>19</v>
      </c>
      <c r="F28" s="1"/>
      <c r="G28" s="6" t="s">
        <v>14</v>
      </c>
      <c r="H28" s="7">
        <v>70000</v>
      </c>
      <c r="I28" s="8">
        <v>5.8</v>
      </c>
      <c r="J28" s="1"/>
    </row>
    <row r="29" spans="1:26" x14ac:dyDescent="0.2">
      <c r="A29" s="5">
        <v>45905</v>
      </c>
      <c r="B29" s="1" t="s">
        <v>1499</v>
      </c>
      <c r="C29" s="1" t="s">
        <v>469</v>
      </c>
      <c r="D29" s="1" t="s">
        <v>32</v>
      </c>
      <c r="E29" s="1" t="s">
        <v>13</v>
      </c>
      <c r="F29" s="1"/>
      <c r="G29" s="6" t="s">
        <v>14</v>
      </c>
      <c r="H29" s="7">
        <v>85000</v>
      </c>
      <c r="I29" s="8">
        <v>4.2</v>
      </c>
      <c r="J29" s="1"/>
    </row>
    <row r="30" spans="1:26" x14ac:dyDescent="0.2">
      <c r="A30" s="5">
        <v>45905</v>
      </c>
      <c r="B30" s="1" t="s">
        <v>1405</v>
      </c>
      <c r="C30" s="1" t="s">
        <v>634</v>
      </c>
      <c r="D30" s="1" t="s">
        <v>64</v>
      </c>
      <c r="E30" s="1" t="s">
        <v>19</v>
      </c>
      <c r="F30" s="1"/>
      <c r="G30" s="6" t="s">
        <v>14</v>
      </c>
      <c r="H30" s="7">
        <v>70000</v>
      </c>
      <c r="I30" s="8">
        <v>22.8</v>
      </c>
      <c r="J30" s="1"/>
    </row>
    <row r="31" spans="1:26" x14ac:dyDescent="0.2">
      <c r="A31" s="5">
        <v>45905</v>
      </c>
      <c r="B31" s="1" t="s">
        <v>1500</v>
      </c>
      <c r="C31" s="1" t="s">
        <v>1501</v>
      </c>
      <c r="D31" s="1" t="s">
        <v>32</v>
      </c>
      <c r="E31" s="1" t="s">
        <v>13</v>
      </c>
      <c r="F31" s="1"/>
      <c r="G31" s="6" t="s">
        <v>14</v>
      </c>
      <c r="H31" s="7">
        <v>75000</v>
      </c>
      <c r="I31" s="8">
        <v>2.2000000000000002</v>
      </c>
      <c r="J31" s="1"/>
    </row>
    <row r="32" spans="1:26" x14ac:dyDescent="0.2">
      <c r="A32" s="5">
        <v>45905</v>
      </c>
      <c r="B32" s="1" t="s">
        <v>1200</v>
      </c>
      <c r="C32" s="1" t="s">
        <v>1201</v>
      </c>
      <c r="D32" s="1" t="s">
        <v>1202</v>
      </c>
      <c r="E32" s="1" t="s">
        <v>19</v>
      </c>
      <c r="F32" s="1"/>
      <c r="G32" s="6" t="s">
        <v>14</v>
      </c>
      <c r="H32" s="7">
        <v>95000</v>
      </c>
      <c r="I32" s="8">
        <v>42</v>
      </c>
      <c r="J32" s="1"/>
    </row>
    <row r="33" spans="1:10" x14ac:dyDescent="0.2">
      <c r="A33" s="5">
        <v>45905</v>
      </c>
      <c r="B33" s="1" t="s">
        <v>1200</v>
      </c>
      <c r="C33" s="1" t="s">
        <v>249</v>
      </c>
      <c r="D33" s="1" t="s">
        <v>1202</v>
      </c>
      <c r="E33" s="1" t="s">
        <v>19</v>
      </c>
      <c r="F33" s="1"/>
      <c r="G33" s="6" t="s">
        <v>14</v>
      </c>
      <c r="H33" s="7">
        <v>95000</v>
      </c>
      <c r="I33" s="8">
        <v>34</v>
      </c>
      <c r="J33" s="1"/>
    </row>
    <row r="34" spans="1:10" x14ac:dyDescent="0.2">
      <c r="A34" s="5">
        <v>45905</v>
      </c>
      <c r="B34" s="1" t="s">
        <v>1200</v>
      </c>
      <c r="C34" s="1" t="s">
        <v>1240</v>
      </c>
      <c r="D34" s="1" t="s">
        <v>88</v>
      </c>
      <c r="E34" s="1" t="s">
        <v>94</v>
      </c>
      <c r="F34" s="1"/>
      <c r="G34" s="6" t="s">
        <v>14</v>
      </c>
      <c r="H34" s="7">
        <v>65000</v>
      </c>
      <c r="I34" s="8">
        <v>2.6</v>
      </c>
      <c r="J34" s="1"/>
    </row>
    <row r="35" spans="1:10" x14ac:dyDescent="0.2">
      <c r="A35" s="5">
        <v>45905</v>
      </c>
      <c r="B35" s="1" t="s">
        <v>1200</v>
      </c>
      <c r="C35" s="1" t="s">
        <v>392</v>
      </c>
      <c r="D35" s="1" t="s">
        <v>88</v>
      </c>
      <c r="E35" s="1" t="s">
        <v>94</v>
      </c>
      <c r="F35" s="1"/>
      <c r="G35" s="6" t="s">
        <v>14</v>
      </c>
      <c r="H35" s="7">
        <v>65000</v>
      </c>
      <c r="I35" s="8">
        <v>5.6</v>
      </c>
      <c r="J35" s="1"/>
    </row>
    <row r="36" spans="1:10" x14ac:dyDescent="0.2">
      <c r="A36" s="5">
        <v>45905</v>
      </c>
      <c r="B36" s="1" t="s">
        <v>111</v>
      </c>
      <c r="C36" s="1" t="s">
        <v>63</v>
      </c>
      <c r="D36" s="1" t="s">
        <v>112</v>
      </c>
      <c r="E36" s="1" t="s">
        <v>113</v>
      </c>
      <c r="F36" s="1"/>
      <c r="G36" s="6" t="s">
        <v>14</v>
      </c>
      <c r="H36" s="7" t="s">
        <v>114</v>
      </c>
      <c r="I36" s="8"/>
      <c r="J36" s="1"/>
    </row>
    <row r="37" spans="1:10" x14ac:dyDescent="0.2">
      <c r="A37" s="5">
        <v>45905</v>
      </c>
      <c r="B37" s="1" t="s">
        <v>504</v>
      </c>
      <c r="C37" s="1" t="s">
        <v>124</v>
      </c>
      <c r="D37" s="1" t="s">
        <v>64</v>
      </c>
      <c r="E37" s="1" t="s">
        <v>19</v>
      </c>
      <c r="F37" s="1"/>
      <c r="G37" s="6" t="s">
        <v>23</v>
      </c>
      <c r="H37" s="7">
        <v>60000</v>
      </c>
      <c r="I37" s="8"/>
      <c r="J37" s="1"/>
    </row>
    <row r="38" spans="1:10" x14ac:dyDescent="0.2">
      <c r="A38" s="5">
        <v>45905</v>
      </c>
      <c r="B38" s="1"/>
      <c r="C38" s="1"/>
      <c r="D38" s="1"/>
      <c r="E38" s="1" t="s">
        <v>61</v>
      </c>
      <c r="F38" s="1"/>
      <c r="G38" s="6"/>
      <c r="H38" s="7">
        <v>10000</v>
      </c>
      <c r="I38" s="8"/>
      <c r="J38" s="1"/>
    </row>
    <row r="39" spans="1:10" x14ac:dyDescent="0.2">
      <c r="A39" s="5"/>
      <c r="B39" s="1"/>
      <c r="C39" s="1"/>
      <c r="D39" s="1"/>
      <c r="E39" s="1" t="s">
        <v>61</v>
      </c>
      <c r="F39" s="1"/>
      <c r="G39" s="6"/>
      <c r="H39" s="7">
        <v>10000</v>
      </c>
      <c r="I39" s="8"/>
      <c r="J39" s="1"/>
    </row>
    <row r="40" spans="1:10" x14ac:dyDescent="0.2">
      <c r="A40" s="5">
        <v>45906</v>
      </c>
      <c r="B40" s="1" t="s">
        <v>299</v>
      </c>
      <c r="C40" s="1" t="s">
        <v>1016</v>
      </c>
      <c r="D40" s="1" t="s">
        <v>18</v>
      </c>
      <c r="E40" s="1" t="s">
        <v>13</v>
      </c>
      <c r="F40" s="1"/>
      <c r="G40" s="6" t="s">
        <v>14</v>
      </c>
      <c r="H40" s="7">
        <v>70000</v>
      </c>
      <c r="I40" s="8">
        <v>14</v>
      </c>
      <c r="J40" s="1" t="s">
        <v>15</v>
      </c>
    </row>
    <row r="41" spans="1:10" x14ac:dyDescent="0.2">
      <c r="A41" s="5">
        <v>45906</v>
      </c>
      <c r="B41" s="1" t="s">
        <v>1502</v>
      </c>
      <c r="C41" s="1" t="s">
        <v>708</v>
      </c>
      <c r="D41" s="1" t="s">
        <v>1229</v>
      </c>
      <c r="E41" s="1" t="s">
        <v>19</v>
      </c>
      <c r="F41" s="1" t="s">
        <v>209</v>
      </c>
      <c r="G41" s="6" t="s">
        <v>23</v>
      </c>
      <c r="H41" s="7">
        <v>150000</v>
      </c>
      <c r="I41" s="8">
        <v>1.7</v>
      </c>
      <c r="J41" s="1" t="s">
        <v>15</v>
      </c>
    </row>
    <row r="42" spans="1:10" x14ac:dyDescent="0.2">
      <c r="A42" s="5">
        <v>45906</v>
      </c>
      <c r="B42" s="1" t="s">
        <v>132</v>
      </c>
      <c r="C42" s="1" t="s">
        <v>133</v>
      </c>
      <c r="D42" s="1" t="s">
        <v>18</v>
      </c>
      <c r="E42" s="1" t="s">
        <v>19</v>
      </c>
      <c r="F42" s="1"/>
      <c r="G42" s="6" t="s">
        <v>14</v>
      </c>
      <c r="H42" s="7" t="s">
        <v>114</v>
      </c>
      <c r="I42" s="8"/>
      <c r="J42" s="1"/>
    </row>
    <row r="43" spans="1:10" x14ac:dyDescent="0.2">
      <c r="A43" s="5">
        <v>45906</v>
      </c>
      <c r="B43" s="1" t="s">
        <v>1503</v>
      </c>
      <c r="C43" s="1" t="s">
        <v>180</v>
      </c>
      <c r="D43" s="1" t="s">
        <v>64</v>
      </c>
      <c r="E43" s="1" t="s">
        <v>1010</v>
      </c>
      <c r="F43" s="1"/>
      <c r="G43" s="6" t="s">
        <v>14</v>
      </c>
      <c r="H43" s="7">
        <v>100000</v>
      </c>
      <c r="I43" s="8"/>
      <c r="J43" s="1"/>
    </row>
    <row r="44" spans="1:10" x14ac:dyDescent="0.2">
      <c r="A44" s="5">
        <v>45906</v>
      </c>
      <c r="B44" s="1" t="s">
        <v>420</v>
      </c>
      <c r="C44" s="1"/>
      <c r="D44" s="1" t="s">
        <v>18</v>
      </c>
      <c r="E44" s="1" t="s">
        <v>13</v>
      </c>
      <c r="F44" s="1"/>
      <c r="G44" s="6" t="s">
        <v>14</v>
      </c>
      <c r="H44" s="7">
        <v>90000</v>
      </c>
      <c r="I44" s="8">
        <v>14.5</v>
      </c>
      <c r="J44" s="1"/>
    </row>
    <row r="45" spans="1:10" x14ac:dyDescent="0.2">
      <c r="A45" s="5">
        <v>45906</v>
      </c>
      <c r="B45" s="1" t="s">
        <v>1124</v>
      </c>
      <c r="C45" s="1" t="s">
        <v>842</v>
      </c>
      <c r="D45" s="1" t="s">
        <v>119</v>
      </c>
      <c r="E45" s="1" t="s">
        <v>19</v>
      </c>
      <c r="F45" s="1"/>
      <c r="G45" s="6" t="s">
        <v>23</v>
      </c>
      <c r="H45" s="7">
        <v>50000</v>
      </c>
      <c r="I45" s="8">
        <v>9.8000000000000007</v>
      </c>
      <c r="J45" s="1" t="s">
        <v>15</v>
      </c>
    </row>
    <row r="46" spans="1:10" x14ac:dyDescent="0.2">
      <c r="A46" s="5">
        <v>45906</v>
      </c>
      <c r="B46" s="1" t="s">
        <v>1295</v>
      </c>
      <c r="C46" s="1" t="s">
        <v>1296</v>
      </c>
      <c r="D46" s="1" t="s">
        <v>18</v>
      </c>
      <c r="E46" s="1" t="s">
        <v>19</v>
      </c>
      <c r="F46" s="1"/>
      <c r="G46" s="6" t="s">
        <v>14</v>
      </c>
      <c r="H46" s="7">
        <v>65000</v>
      </c>
      <c r="I46" s="8"/>
      <c r="J46" s="1"/>
    </row>
    <row r="47" spans="1:10" x14ac:dyDescent="0.2">
      <c r="A47" s="5">
        <v>45908</v>
      </c>
      <c r="B47" s="1" t="s">
        <v>1504</v>
      </c>
      <c r="C47" s="1" t="s">
        <v>987</v>
      </c>
      <c r="D47" s="1" t="s">
        <v>45</v>
      </c>
      <c r="E47" s="1" t="s">
        <v>61</v>
      </c>
      <c r="F47" s="1"/>
      <c r="G47" s="6"/>
      <c r="H47" s="7">
        <v>10000</v>
      </c>
      <c r="I47" s="8"/>
      <c r="J47" s="1"/>
    </row>
    <row r="48" spans="1:10" x14ac:dyDescent="0.2">
      <c r="A48" s="5">
        <v>45908</v>
      </c>
      <c r="B48" s="1" t="s">
        <v>355</v>
      </c>
      <c r="C48" s="1" t="s">
        <v>685</v>
      </c>
      <c r="D48" s="1" t="s">
        <v>32</v>
      </c>
      <c r="E48" s="1" t="s">
        <v>13</v>
      </c>
      <c r="F48" s="1"/>
      <c r="G48" s="6" t="s">
        <v>14</v>
      </c>
      <c r="H48" s="7">
        <v>60000</v>
      </c>
      <c r="I48" s="8"/>
      <c r="J48" s="1"/>
    </row>
    <row r="49" spans="1:10" x14ac:dyDescent="0.2">
      <c r="A49" s="5">
        <v>45908</v>
      </c>
      <c r="B49" s="1" t="s">
        <v>355</v>
      </c>
      <c r="C49" s="1" t="s">
        <v>287</v>
      </c>
      <c r="D49" s="1" t="s">
        <v>32</v>
      </c>
      <c r="E49" s="1" t="s">
        <v>13</v>
      </c>
      <c r="F49" s="1"/>
      <c r="G49" s="6" t="s">
        <v>14</v>
      </c>
      <c r="H49" s="7">
        <v>60000</v>
      </c>
      <c r="I49" s="8"/>
      <c r="J49" s="1"/>
    </row>
    <row r="50" spans="1:10" x14ac:dyDescent="0.2">
      <c r="A50" s="5">
        <v>45908</v>
      </c>
      <c r="B50" s="1" t="s">
        <v>355</v>
      </c>
      <c r="C50" s="1" t="s">
        <v>915</v>
      </c>
      <c r="D50" s="1" t="s">
        <v>32</v>
      </c>
      <c r="E50" s="1" t="s">
        <v>13</v>
      </c>
      <c r="F50" s="1"/>
      <c r="G50" s="6" t="s">
        <v>14</v>
      </c>
      <c r="H50" s="7">
        <v>60000</v>
      </c>
      <c r="I50" s="8"/>
      <c r="J50" s="1"/>
    </row>
    <row r="51" spans="1:10" x14ac:dyDescent="0.2">
      <c r="A51" s="5">
        <v>45908</v>
      </c>
      <c r="B51" s="1" t="s">
        <v>355</v>
      </c>
      <c r="C51" s="1" t="s">
        <v>617</v>
      </c>
      <c r="D51" s="1" t="s">
        <v>32</v>
      </c>
      <c r="E51" s="1" t="s">
        <v>13</v>
      </c>
      <c r="F51" s="1"/>
      <c r="G51" s="6" t="s">
        <v>14</v>
      </c>
      <c r="H51" s="7">
        <v>60000</v>
      </c>
      <c r="I51" s="8"/>
      <c r="J51" s="1"/>
    </row>
    <row r="52" spans="1:10" x14ac:dyDescent="0.2">
      <c r="A52" s="5">
        <v>45908</v>
      </c>
      <c r="B52" s="1" t="s">
        <v>355</v>
      </c>
      <c r="C52" s="1" t="s">
        <v>685</v>
      </c>
      <c r="D52" s="1" t="s">
        <v>32</v>
      </c>
      <c r="E52" s="1" t="s">
        <v>13</v>
      </c>
      <c r="F52" s="1"/>
      <c r="G52" s="6" t="s">
        <v>14</v>
      </c>
      <c r="H52" s="7">
        <v>60000</v>
      </c>
      <c r="I52" s="8"/>
      <c r="J52" s="1"/>
    </row>
    <row r="53" spans="1:10" x14ac:dyDescent="0.2">
      <c r="A53" s="5">
        <v>45908</v>
      </c>
      <c r="B53" s="1" t="s">
        <v>1505</v>
      </c>
      <c r="C53" s="1" t="s">
        <v>1172</v>
      </c>
      <c r="D53" s="1" t="s">
        <v>22</v>
      </c>
      <c r="E53" s="1" t="s">
        <v>13</v>
      </c>
      <c r="F53" s="1"/>
      <c r="G53" s="6" t="s">
        <v>23</v>
      </c>
      <c r="H53" s="7">
        <v>50000</v>
      </c>
      <c r="I53" s="8"/>
      <c r="J53" s="1"/>
    </row>
    <row r="54" spans="1:10" x14ac:dyDescent="0.2">
      <c r="A54" s="5">
        <v>45908</v>
      </c>
      <c r="B54" s="1" t="s">
        <v>1506</v>
      </c>
      <c r="C54" s="1" t="s">
        <v>1403</v>
      </c>
      <c r="D54" s="1" t="s">
        <v>1229</v>
      </c>
      <c r="E54" s="1" t="s">
        <v>19</v>
      </c>
      <c r="F54" s="1"/>
      <c r="G54" s="6" t="s">
        <v>23</v>
      </c>
      <c r="H54" s="7">
        <v>30000</v>
      </c>
      <c r="I54" s="8"/>
      <c r="J54" s="1"/>
    </row>
    <row r="55" spans="1:10" x14ac:dyDescent="0.2">
      <c r="A55" s="5">
        <v>45908</v>
      </c>
      <c r="B55" s="1" t="s">
        <v>1507</v>
      </c>
      <c r="C55" s="1" t="s">
        <v>811</v>
      </c>
      <c r="D55" s="1" t="s">
        <v>58</v>
      </c>
      <c r="E55" s="1" t="s">
        <v>59</v>
      </c>
      <c r="F55" s="1"/>
      <c r="G55" s="6" t="s">
        <v>14</v>
      </c>
      <c r="H55" s="7">
        <v>100000</v>
      </c>
      <c r="I55" s="8"/>
      <c r="J55" s="1"/>
    </row>
    <row r="56" spans="1:10" x14ac:dyDescent="0.2">
      <c r="A56" s="5">
        <v>45908</v>
      </c>
      <c r="B56" s="1" t="s">
        <v>1508</v>
      </c>
      <c r="C56" s="1" t="s">
        <v>1509</v>
      </c>
      <c r="D56" s="1" t="s">
        <v>26</v>
      </c>
      <c r="E56" s="1" t="s">
        <v>19</v>
      </c>
      <c r="F56" s="1"/>
      <c r="G56" s="6" t="s">
        <v>14</v>
      </c>
      <c r="H56" s="7">
        <v>85000</v>
      </c>
      <c r="I56" s="8"/>
      <c r="J56" s="1"/>
    </row>
    <row r="57" spans="1:10" x14ac:dyDescent="0.2">
      <c r="A57" s="5">
        <v>45908</v>
      </c>
      <c r="B57" s="1" t="s">
        <v>1510</v>
      </c>
      <c r="C57" s="1" t="s">
        <v>247</v>
      </c>
      <c r="D57" s="1" t="s">
        <v>12</v>
      </c>
      <c r="E57" s="1" t="s">
        <v>13</v>
      </c>
      <c r="F57" s="1"/>
      <c r="G57" s="6" t="s">
        <v>14</v>
      </c>
      <c r="H57" s="7">
        <v>85000</v>
      </c>
      <c r="I57" s="8"/>
      <c r="J57" s="1"/>
    </row>
    <row r="58" spans="1:10" x14ac:dyDescent="0.2">
      <c r="A58" s="5">
        <v>45908</v>
      </c>
      <c r="B58" s="1" t="s">
        <v>1423</v>
      </c>
      <c r="C58" s="1" t="s">
        <v>110</v>
      </c>
      <c r="D58" s="1" t="s">
        <v>101</v>
      </c>
      <c r="E58" s="1" t="s">
        <v>13</v>
      </c>
      <c r="F58" s="1"/>
      <c r="G58" s="6" t="s">
        <v>14</v>
      </c>
      <c r="H58" s="7">
        <v>75000</v>
      </c>
      <c r="I58" s="8"/>
      <c r="J58" s="1"/>
    </row>
    <row r="59" spans="1:10" x14ac:dyDescent="0.2">
      <c r="A59" s="5">
        <v>45910</v>
      </c>
      <c r="B59" s="1" t="s">
        <v>643</v>
      </c>
      <c r="C59" s="1" t="s">
        <v>644</v>
      </c>
      <c r="D59" s="1" t="s">
        <v>32</v>
      </c>
      <c r="E59" s="1" t="s">
        <v>19</v>
      </c>
      <c r="F59" s="1"/>
      <c r="G59" s="6" t="s">
        <v>14</v>
      </c>
      <c r="H59" s="7">
        <v>65000</v>
      </c>
      <c r="I59" s="8"/>
      <c r="J59" s="1"/>
    </row>
    <row r="60" spans="1:10" x14ac:dyDescent="0.2">
      <c r="A60" s="5">
        <v>45910</v>
      </c>
      <c r="B60" s="1" t="s">
        <v>1126</v>
      </c>
      <c r="C60" s="1" t="s">
        <v>422</v>
      </c>
      <c r="D60" s="1" t="s">
        <v>18</v>
      </c>
      <c r="E60" s="1" t="s">
        <v>19</v>
      </c>
      <c r="F60" s="1"/>
      <c r="G60" s="6" t="s">
        <v>14</v>
      </c>
      <c r="H60" s="7">
        <v>75000</v>
      </c>
      <c r="I60" s="8">
        <v>11.6</v>
      </c>
      <c r="J60" s="1"/>
    </row>
    <row r="61" spans="1:10" x14ac:dyDescent="0.2">
      <c r="A61" s="5">
        <v>45910</v>
      </c>
      <c r="B61" s="1" t="s">
        <v>69</v>
      </c>
      <c r="C61" s="1" t="s">
        <v>301</v>
      </c>
      <c r="D61" s="1" t="s">
        <v>26</v>
      </c>
      <c r="E61" s="1" t="s">
        <v>19</v>
      </c>
      <c r="F61" s="1"/>
      <c r="G61" s="6" t="s">
        <v>14</v>
      </c>
      <c r="H61" s="7">
        <v>70000</v>
      </c>
      <c r="I61" s="8">
        <v>5.2</v>
      </c>
      <c r="J61" s="1"/>
    </row>
    <row r="62" spans="1:10" x14ac:dyDescent="0.2">
      <c r="A62" s="5">
        <v>45910</v>
      </c>
      <c r="B62" s="1" t="s">
        <v>86</v>
      </c>
      <c r="C62" s="1" t="s">
        <v>63</v>
      </c>
      <c r="D62" s="1" t="s">
        <v>165</v>
      </c>
      <c r="E62" s="1" t="s">
        <v>13</v>
      </c>
      <c r="F62" s="1"/>
      <c r="G62" s="6" t="s">
        <v>14</v>
      </c>
      <c r="H62" s="7">
        <v>85000</v>
      </c>
      <c r="I62" s="8">
        <v>6.3</v>
      </c>
      <c r="J62" s="1"/>
    </row>
    <row r="63" spans="1:10" x14ac:dyDescent="0.2">
      <c r="A63" s="5">
        <v>45910</v>
      </c>
      <c r="B63" s="1" t="s">
        <v>86</v>
      </c>
      <c r="C63" s="1" t="s">
        <v>821</v>
      </c>
      <c r="D63" s="1" t="s">
        <v>64</v>
      </c>
      <c r="E63" s="1" t="s">
        <v>13</v>
      </c>
      <c r="F63" s="1"/>
      <c r="G63" s="6" t="s">
        <v>14</v>
      </c>
      <c r="H63" s="7">
        <v>70000</v>
      </c>
      <c r="I63" s="8">
        <v>14.3</v>
      </c>
      <c r="J63" s="1"/>
    </row>
    <row r="64" spans="1:10" x14ac:dyDescent="0.2">
      <c r="A64" s="5">
        <v>45911</v>
      </c>
      <c r="B64" s="1" t="s">
        <v>942</v>
      </c>
      <c r="C64" s="1" t="s">
        <v>80</v>
      </c>
      <c r="D64" s="1" t="s">
        <v>1229</v>
      </c>
      <c r="E64" s="1" t="s">
        <v>19</v>
      </c>
      <c r="F64" s="1"/>
      <c r="G64" s="6" t="s">
        <v>23</v>
      </c>
      <c r="H64" s="7">
        <v>30000</v>
      </c>
      <c r="I64" s="1">
        <v>1.6</v>
      </c>
      <c r="J64" s="1"/>
    </row>
    <row r="65" spans="1:10" x14ac:dyDescent="0.2">
      <c r="A65" s="5">
        <v>45911</v>
      </c>
      <c r="B65" s="1" t="s">
        <v>1511</v>
      </c>
      <c r="C65" s="1" t="s">
        <v>301</v>
      </c>
      <c r="D65" s="1" t="s">
        <v>32</v>
      </c>
      <c r="E65" s="1" t="s">
        <v>19</v>
      </c>
      <c r="F65" s="1"/>
      <c r="G65" s="6" t="s">
        <v>14</v>
      </c>
      <c r="H65" s="7">
        <v>80000</v>
      </c>
      <c r="I65" s="1">
        <v>4.8</v>
      </c>
      <c r="J65" s="1"/>
    </row>
    <row r="66" spans="1:10" x14ac:dyDescent="0.2">
      <c r="A66" s="5">
        <v>45911</v>
      </c>
      <c r="B66" s="1" t="s">
        <v>1511</v>
      </c>
      <c r="C66" s="1" t="s">
        <v>440</v>
      </c>
      <c r="D66" s="1" t="s">
        <v>32</v>
      </c>
      <c r="E66" s="1" t="s">
        <v>13</v>
      </c>
      <c r="F66" s="1"/>
      <c r="G66" s="6" t="s">
        <v>14</v>
      </c>
      <c r="H66" s="7">
        <v>80000</v>
      </c>
      <c r="I66" s="8">
        <v>2.9</v>
      </c>
      <c r="J66" s="1"/>
    </row>
    <row r="67" spans="1:10" x14ac:dyDescent="0.2">
      <c r="A67" s="5">
        <v>45911</v>
      </c>
      <c r="B67" s="1" t="s">
        <v>985</v>
      </c>
      <c r="C67" s="1" t="s">
        <v>1512</v>
      </c>
      <c r="D67" s="1" t="s">
        <v>18</v>
      </c>
      <c r="E67" s="1" t="s">
        <v>13</v>
      </c>
      <c r="F67" s="1"/>
      <c r="G67" s="6" t="s">
        <v>14</v>
      </c>
      <c r="H67" s="7">
        <v>80000</v>
      </c>
      <c r="I67" s="8">
        <v>18.2</v>
      </c>
      <c r="J67" s="1"/>
    </row>
    <row r="68" spans="1:10" x14ac:dyDescent="0.2">
      <c r="A68" s="5">
        <v>45911</v>
      </c>
      <c r="B68" s="1" t="s">
        <v>1513</v>
      </c>
      <c r="C68" s="1" t="s">
        <v>611</v>
      </c>
      <c r="D68" s="1" t="s">
        <v>64</v>
      </c>
      <c r="E68" s="1" t="s">
        <v>13</v>
      </c>
      <c r="F68" s="1"/>
      <c r="G68" s="6"/>
      <c r="H68" s="7">
        <v>75000</v>
      </c>
      <c r="I68" s="8">
        <v>8.6</v>
      </c>
      <c r="J68" s="1"/>
    </row>
    <row r="69" spans="1:10" x14ac:dyDescent="0.2">
      <c r="A69" s="5">
        <v>45911</v>
      </c>
      <c r="B69" s="1" t="s">
        <v>858</v>
      </c>
      <c r="C69" s="1" t="s">
        <v>859</v>
      </c>
      <c r="D69" s="1" t="s">
        <v>32</v>
      </c>
      <c r="E69" s="1" t="s">
        <v>19</v>
      </c>
      <c r="F69" s="1"/>
      <c r="G69" s="6" t="s">
        <v>14</v>
      </c>
      <c r="H69" s="7">
        <v>70000</v>
      </c>
      <c r="I69" s="8">
        <v>5.7</v>
      </c>
      <c r="J69" s="1"/>
    </row>
    <row r="70" spans="1:10" x14ac:dyDescent="0.2">
      <c r="A70" s="5">
        <v>45911</v>
      </c>
      <c r="B70" s="1" t="s">
        <v>1514</v>
      </c>
      <c r="C70" s="1" t="s">
        <v>604</v>
      </c>
      <c r="D70" s="1" t="s">
        <v>18</v>
      </c>
      <c r="E70" s="1" t="s">
        <v>19</v>
      </c>
      <c r="F70" s="1"/>
      <c r="G70" s="6" t="s">
        <v>14</v>
      </c>
      <c r="H70" s="7">
        <v>60000</v>
      </c>
      <c r="I70" s="8">
        <v>12</v>
      </c>
      <c r="J70" s="1"/>
    </row>
    <row r="71" spans="1:10" x14ac:dyDescent="0.2">
      <c r="A71" s="5">
        <v>45911</v>
      </c>
      <c r="B71" s="1" t="s">
        <v>941</v>
      </c>
      <c r="C71" s="1" t="s">
        <v>93</v>
      </c>
      <c r="D71" s="1" t="s">
        <v>88</v>
      </c>
      <c r="E71" s="1" t="s">
        <v>792</v>
      </c>
      <c r="F71" s="1"/>
      <c r="G71" s="6"/>
      <c r="H71" s="7">
        <v>60000</v>
      </c>
      <c r="I71" s="8">
        <v>5.4</v>
      </c>
      <c r="J71" s="1"/>
    </row>
    <row r="72" spans="1:10" x14ac:dyDescent="0.2">
      <c r="A72" s="5">
        <v>45911</v>
      </c>
      <c r="B72" s="1" t="s">
        <v>584</v>
      </c>
      <c r="C72" s="1" t="s">
        <v>585</v>
      </c>
      <c r="D72" s="1" t="s">
        <v>22</v>
      </c>
      <c r="E72" s="1" t="s">
        <v>19</v>
      </c>
      <c r="F72" s="1"/>
      <c r="G72" s="6" t="s">
        <v>23</v>
      </c>
      <c r="H72" s="7">
        <v>55000</v>
      </c>
      <c r="I72" s="8">
        <v>10.3</v>
      </c>
      <c r="J72" s="1"/>
    </row>
    <row r="73" spans="1:10" x14ac:dyDescent="0.2">
      <c r="A73" s="5">
        <v>45911</v>
      </c>
      <c r="B73" s="1" t="s">
        <v>823</v>
      </c>
      <c r="C73" s="1" t="s">
        <v>201</v>
      </c>
      <c r="D73" s="1" t="s">
        <v>26</v>
      </c>
      <c r="E73" s="1" t="s">
        <v>19</v>
      </c>
      <c r="F73" s="1"/>
      <c r="G73" s="6" t="s">
        <v>14</v>
      </c>
      <c r="H73" s="7">
        <v>65000</v>
      </c>
      <c r="I73" s="8">
        <v>7.3</v>
      </c>
      <c r="J73" s="1"/>
    </row>
    <row r="74" spans="1:10" x14ac:dyDescent="0.2">
      <c r="A74" s="5">
        <v>45911</v>
      </c>
      <c r="B74" s="1"/>
      <c r="C74" s="1"/>
      <c r="D74" s="1"/>
      <c r="E74" s="1" t="s">
        <v>61</v>
      </c>
      <c r="F74" s="1"/>
      <c r="G74" s="6"/>
      <c r="H74" s="7">
        <v>10000</v>
      </c>
      <c r="I74" s="8"/>
      <c r="J74" s="1"/>
    </row>
    <row r="75" spans="1:10" x14ac:dyDescent="0.2">
      <c r="A75" s="5">
        <v>45911</v>
      </c>
      <c r="B75" s="1"/>
      <c r="C75" s="1"/>
      <c r="D75" s="1"/>
      <c r="E75" s="1" t="s">
        <v>61</v>
      </c>
      <c r="F75" s="1"/>
      <c r="G75" s="6"/>
      <c r="H75" s="7">
        <v>10000</v>
      </c>
      <c r="I75" s="8"/>
      <c r="J75" s="1"/>
    </row>
    <row r="76" spans="1:10" x14ac:dyDescent="0.2">
      <c r="A76" s="5">
        <v>45911</v>
      </c>
      <c r="B76" s="1"/>
      <c r="C76" s="1"/>
      <c r="D76" s="1"/>
      <c r="E76" s="1" t="s">
        <v>61</v>
      </c>
      <c r="F76" s="1"/>
      <c r="G76" s="6"/>
      <c r="H76" s="7">
        <v>10000</v>
      </c>
      <c r="I76" s="8"/>
      <c r="J76" s="1"/>
    </row>
    <row r="77" spans="1:10" x14ac:dyDescent="0.2">
      <c r="A77" s="5">
        <v>45912</v>
      </c>
      <c r="B77" s="1" t="s">
        <v>236</v>
      </c>
      <c r="C77" s="1" t="s">
        <v>21</v>
      </c>
      <c r="D77" s="1" t="s">
        <v>18</v>
      </c>
      <c r="E77" s="1" t="s">
        <v>13</v>
      </c>
      <c r="F77" s="1"/>
      <c r="G77" s="6" t="s">
        <v>14</v>
      </c>
      <c r="H77" s="7">
        <v>70000</v>
      </c>
      <c r="I77" s="8">
        <v>18</v>
      </c>
      <c r="J77" s="1"/>
    </row>
    <row r="78" spans="1:10" x14ac:dyDescent="0.2">
      <c r="A78" s="5">
        <v>45912</v>
      </c>
      <c r="B78" s="1" t="s">
        <v>132</v>
      </c>
      <c r="C78" s="1" t="s">
        <v>133</v>
      </c>
      <c r="D78" s="1" t="s">
        <v>18</v>
      </c>
      <c r="E78" s="1" t="s">
        <v>19</v>
      </c>
      <c r="F78" s="1"/>
      <c r="G78" s="6" t="s">
        <v>14</v>
      </c>
      <c r="H78" s="7" t="s">
        <v>114</v>
      </c>
      <c r="I78" s="8"/>
      <c r="J78" s="1"/>
    </row>
    <row r="79" spans="1:10" x14ac:dyDescent="0.2">
      <c r="A79" s="5">
        <v>45912</v>
      </c>
      <c r="B79" s="1" t="s">
        <v>1515</v>
      </c>
      <c r="C79" s="1" t="s">
        <v>1172</v>
      </c>
      <c r="D79" s="1" t="s">
        <v>88</v>
      </c>
      <c r="E79" s="1" t="s">
        <v>13</v>
      </c>
      <c r="F79" s="1"/>
      <c r="G79" s="6" t="s">
        <v>14</v>
      </c>
      <c r="H79" s="7">
        <v>75000</v>
      </c>
      <c r="I79" s="8">
        <v>5.0999999999999996</v>
      </c>
      <c r="J79" s="1"/>
    </row>
    <row r="80" spans="1:10" x14ac:dyDescent="0.2">
      <c r="A80" s="5">
        <v>45912</v>
      </c>
      <c r="B80" s="1" t="s">
        <v>111</v>
      </c>
      <c r="C80" s="1" t="s">
        <v>63</v>
      </c>
      <c r="D80" s="1" t="s">
        <v>112</v>
      </c>
      <c r="E80" s="1" t="s">
        <v>19</v>
      </c>
      <c r="F80" s="1"/>
      <c r="G80" s="6" t="s">
        <v>14</v>
      </c>
      <c r="H80" s="7" t="s">
        <v>114</v>
      </c>
      <c r="I80" s="8"/>
      <c r="J80" s="1"/>
    </row>
    <row r="81" spans="1:10" x14ac:dyDescent="0.2">
      <c r="A81" s="5">
        <v>45912</v>
      </c>
      <c r="B81" s="1" t="s">
        <v>1490</v>
      </c>
      <c r="C81" s="1" t="s">
        <v>962</v>
      </c>
      <c r="D81" s="1" t="s">
        <v>26</v>
      </c>
      <c r="E81" s="1" t="s">
        <v>19</v>
      </c>
      <c r="F81" s="1"/>
      <c r="G81" s="6" t="s">
        <v>14</v>
      </c>
      <c r="H81" s="7">
        <v>85000</v>
      </c>
      <c r="I81" s="8">
        <v>5.3</v>
      </c>
      <c r="J81" s="1"/>
    </row>
    <row r="82" spans="1:10" x14ac:dyDescent="0.2">
      <c r="A82" s="5"/>
      <c r="B82" s="1"/>
      <c r="C82" s="1"/>
      <c r="D82" s="1" t="s">
        <v>494</v>
      </c>
      <c r="E82" s="1" t="s">
        <v>61</v>
      </c>
      <c r="F82" s="1"/>
      <c r="G82" s="6" t="s">
        <v>23</v>
      </c>
      <c r="H82" s="7">
        <v>10000</v>
      </c>
      <c r="I82" s="8"/>
      <c r="J82" s="1"/>
    </row>
    <row r="83" spans="1:10" x14ac:dyDescent="0.2">
      <c r="A83" s="5">
        <v>45913</v>
      </c>
      <c r="B83" s="1" t="s">
        <v>964</v>
      </c>
      <c r="C83" s="1" t="s">
        <v>965</v>
      </c>
      <c r="D83" s="1" t="s">
        <v>26</v>
      </c>
      <c r="E83" s="1" t="s">
        <v>78</v>
      </c>
      <c r="F83" s="1"/>
      <c r="G83" s="6" t="s">
        <v>14</v>
      </c>
      <c r="H83" s="7">
        <v>80000</v>
      </c>
      <c r="I83" s="8">
        <v>4.7</v>
      </c>
      <c r="J83" s="1"/>
    </row>
    <row r="84" spans="1:10" x14ac:dyDescent="0.2">
      <c r="A84" s="5">
        <v>45913</v>
      </c>
      <c r="B84" s="1" t="s">
        <v>1182</v>
      </c>
      <c r="C84" s="1" t="s">
        <v>842</v>
      </c>
      <c r="D84" s="1" t="s">
        <v>119</v>
      </c>
      <c r="E84" s="1" t="s">
        <v>19</v>
      </c>
      <c r="F84" s="1"/>
      <c r="G84" s="6" t="s">
        <v>23</v>
      </c>
      <c r="H84" s="7">
        <v>50000</v>
      </c>
      <c r="I84" s="8">
        <v>9.4</v>
      </c>
      <c r="J84" s="1"/>
    </row>
    <row r="85" spans="1:10" x14ac:dyDescent="0.2">
      <c r="A85" s="5">
        <v>45913</v>
      </c>
      <c r="B85" s="1" t="s">
        <v>496</v>
      </c>
      <c r="C85" s="1" t="s">
        <v>1172</v>
      </c>
      <c r="D85" s="1" t="s">
        <v>26</v>
      </c>
      <c r="E85" s="1" t="s">
        <v>19</v>
      </c>
      <c r="F85" s="1"/>
      <c r="G85" s="6" t="s">
        <v>14</v>
      </c>
      <c r="H85" s="7">
        <v>70000</v>
      </c>
      <c r="I85" s="8">
        <v>7.7</v>
      </c>
      <c r="J85" s="1"/>
    </row>
    <row r="86" spans="1:10" x14ac:dyDescent="0.2">
      <c r="A86" s="5">
        <v>45913</v>
      </c>
      <c r="B86" s="1" t="s">
        <v>1516</v>
      </c>
      <c r="C86" s="1" t="s">
        <v>1517</v>
      </c>
      <c r="D86" s="1" t="s">
        <v>64</v>
      </c>
      <c r="E86" s="1" t="s">
        <v>19</v>
      </c>
      <c r="F86" s="1"/>
      <c r="G86" s="6" t="s">
        <v>23</v>
      </c>
      <c r="H86" s="7">
        <v>55000</v>
      </c>
      <c r="I86" s="8">
        <v>11.3</v>
      </c>
      <c r="J86" s="1"/>
    </row>
    <row r="87" spans="1:10" x14ac:dyDescent="0.2">
      <c r="A87" s="5">
        <v>45913</v>
      </c>
      <c r="B87" s="1" t="s">
        <v>1001</v>
      </c>
      <c r="C87" s="1" t="s">
        <v>370</v>
      </c>
      <c r="D87" s="1" t="s">
        <v>371</v>
      </c>
      <c r="E87" s="1" t="s">
        <v>19</v>
      </c>
      <c r="F87" s="1"/>
      <c r="G87" s="6" t="s">
        <v>23</v>
      </c>
      <c r="H87" s="7">
        <v>70000</v>
      </c>
      <c r="I87" s="8">
        <v>26.2</v>
      </c>
      <c r="J87" s="1"/>
    </row>
    <row r="88" spans="1:10" x14ac:dyDescent="0.2">
      <c r="A88" s="5">
        <v>45913</v>
      </c>
      <c r="B88" s="1" t="s">
        <v>666</v>
      </c>
      <c r="C88" s="1" t="s">
        <v>957</v>
      </c>
      <c r="D88" s="1" t="s">
        <v>58</v>
      </c>
      <c r="E88" s="1" t="s">
        <v>59</v>
      </c>
      <c r="F88" s="1"/>
      <c r="G88" s="6" t="s">
        <v>14</v>
      </c>
      <c r="H88" s="7">
        <v>90000</v>
      </c>
      <c r="I88" s="8"/>
      <c r="J88" s="1"/>
    </row>
    <row r="89" spans="1:10" x14ac:dyDescent="0.2">
      <c r="A89" s="5">
        <v>45913</v>
      </c>
      <c r="B89" s="1" t="s">
        <v>787</v>
      </c>
      <c r="C89" s="1" t="s">
        <v>788</v>
      </c>
      <c r="D89" s="1" t="s">
        <v>88</v>
      </c>
      <c r="E89" s="1" t="s">
        <v>13</v>
      </c>
      <c r="F89" s="1"/>
      <c r="G89" s="6" t="s">
        <v>14</v>
      </c>
      <c r="H89" s="7">
        <v>60000</v>
      </c>
      <c r="I89" s="8"/>
      <c r="J89" s="1"/>
    </row>
    <row r="90" spans="1:10" x14ac:dyDescent="0.2">
      <c r="A90" s="5">
        <v>45913</v>
      </c>
      <c r="B90" s="1" t="s">
        <v>1318</v>
      </c>
      <c r="C90" s="1" t="s">
        <v>1319</v>
      </c>
      <c r="D90" s="1" t="s">
        <v>64</v>
      </c>
      <c r="E90" s="1" t="s">
        <v>19</v>
      </c>
      <c r="F90" s="1"/>
      <c r="G90" s="6" t="s">
        <v>23</v>
      </c>
      <c r="H90" s="7">
        <v>55000</v>
      </c>
      <c r="I90" s="8">
        <v>16</v>
      </c>
      <c r="J90" s="1"/>
    </row>
    <row r="91" spans="1:10" x14ac:dyDescent="0.2">
      <c r="A91" s="5">
        <v>45913</v>
      </c>
      <c r="B91" s="1" t="s">
        <v>1095</v>
      </c>
      <c r="C91" s="1" t="s">
        <v>766</v>
      </c>
      <c r="D91" s="1" t="s">
        <v>352</v>
      </c>
      <c r="E91" s="1" t="s">
        <v>19</v>
      </c>
      <c r="F91" s="1"/>
      <c r="G91" s="6" t="s">
        <v>23</v>
      </c>
      <c r="H91" s="7">
        <v>50000</v>
      </c>
      <c r="I91" s="8"/>
      <c r="J91" s="1"/>
    </row>
    <row r="92" spans="1:10" x14ac:dyDescent="0.2">
      <c r="A92" s="5">
        <v>45913</v>
      </c>
      <c r="B92" s="1" t="s">
        <v>850</v>
      </c>
      <c r="C92" s="1" t="s">
        <v>663</v>
      </c>
      <c r="D92" s="1" t="s">
        <v>1229</v>
      </c>
      <c r="E92" s="1" t="s">
        <v>19</v>
      </c>
      <c r="F92" s="1"/>
      <c r="G92" s="6" t="s">
        <v>23</v>
      </c>
      <c r="H92" s="7">
        <v>25000</v>
      </c>
      <c r="I92" s="8"/>
      <c r="J92" s="1"/>
    </row>
    <row r="93" spans="1:10" x14ac:dyDescent="0.2">
      <c r="A93" s="5">
        <v>45913</v>
      </c>
      <c r="B93" s="1"/>
      <c r="C93" s="1"/>
      <c r="D93" s="1"/>
      <c r="E93" s="1" t="s">
        <v>61</v>
      </c>
      <c r="F93" s="1"/>
      <c r="G93" s="6"/>
      <c r="H93" s="7">
        <v>10000</v>
      </c>
      <c r="I93" s="8"/>
      <c r="J93" s="1"/>
    </row>
    <row r="94" spans="1:10" x14ac:dyDescent="0.2">
      <c r="A94" s="5">
        <v>45913</v>
      </c>
      <c r="B94" s="1"/>
      <c r="C94" s="1"/>
      <c r="D94" s="1"/>
      <c r="E94" s="1" t="s">
        <v>61</v>
      </c>
      <c r="F94" s="1"/>
      <c r="G94" s="6"/>
      <c r="H94" s="7">
        <v>10000</v>
      </c>
      <c r="I94" s="8"/>
      <c r="J94" s="1"/>
    </row>
    <row r="95" spans="1:10" x14ac:dyDescent="0.2">
      <c r="A95" s="5">
        <v>45915</v>
      </c>
      <c r="B95" s="1" t="s">
        <v>1518</v>
      </c>
      <c r="C95" s="1" t="s">
        <v>31</v>
      </c>
      <c r="D95" s="1" t="s">
        <v>32</v>
      </c>
      <c r="E95" s="1" t="s">
        <v>13</v>
      </c>
      <c r="F95" s="1"/>
      <c r="G95" s="6" t="s">
        <v>14</v>
      </c>
      <c r="H95" s="7">
        <v>60000</v>
      </c>
      <c r="I95" s="8">
        <v>4.2</v>
      </c>
      <c r="J95" s="1"/>
    </row>
    <row r="96" spans="1:10" x14ac:dyDescent="0.2">
      <c r="A96" s="5">
        <v>45915</v>
      </c>
      <c r="B96" s="1" t="s">
        <v>1519</v>
      </c>
      <c r="C96" s="1" t="s">
        <v>294</v>
      </c>
      <c r="D96" s="1" t="s">
        <v>64</v>
      </c>
      <c r="E96" s="1" t="s">
        <v>13</v>
      </c>
      <c r="F96" s="1"/>
      <c r="G96" s="6" t="s">
        <v>14</v>
      </c>
      <c r="H96" s="7">
        <v>85000</v>
      </c>
      <c r="I96" s="8">
        <v>21.5</v>
      </c>
      <c r="J96" s="1"/>
    </row>
    <row r="97" spans="1:10" x14ac:dyDescent="0.2">
      <c r="A97" s="5">
        <v>45915</v>
      </c>
      <c r="B97" s="1" t="s">
        <v>1520</v>
      </c>
      <c r="C97" s="1" t="s">
        <v>582</v>
      </c>
      <c r="D97" s="1" t="s">
        <v>131</v>
      </c>
      <c r="E97" s="1" t="s">
        <v>19</v>
      </c>
      <c r="F97" s="1"/>
      <c r="G97" s="6" t="s">
        <v>14</v>
      </c>
      <c r="H97" s="7">
        <v>85000</v>
      </c>
      <c r="I97" s="8">
        <v>39.299999999999997</v>
      </c>
      <c r="J97" s="1"/>
    </row>
    <row r="98" spans="1:10" x14ac:dyDescent="0.2">
      <c r="A98" s="5">
        <v>45915</v>
      </c>
      <c r="B98" s="1" t="s">
        <v>1521</v>
      </c>
      <c r="C98" s="1" t="s">
        <v>1321</v>
      </c>
      <c r="D98" s="1" t="s">
        <v>45</v>
      </c>
      <c r="E98" s="1" t="s">
        <v>19</v>
      </c>
      <c r="F98" s="1"/>
      <c r="G98" s="6" t="s">
        <v>23</v>
      </c>
      <c r="H98" s="7">
        <v>55000</v>
      </c>
      <c r="I98" s="8">
        <v>13.2</v>
      </c>
      <c r="J98" s="1"/>
    </row>
    <row r="99" spans="1:10" x14ac:dyDescent="0.2">
      <c r="A99" s="5">
        <v>45915</v>
      </c>
      <c r="B99" s="1" t="s">
        <v>1522</v>
      </c>
      <c r="C99" s="1" t="s">
        <v>251</v>
      </c>
      <c r="D99" s="1" t="s">
        <v>196</v>
      </c>
      <c r="E99" s="1" t="s">
        <v>94</v>
      </c>
      <c r="F99" s="1"/>
      <c r="G99" s="6" t="s">
        <v>14</v>
      </c>
      <c r="H99" s="7">
        <v>90000</v>
      </c>
      <c r="I99" s="8">
        <v>32.200000000000003</v>
      </c>
      <c r="J99" s="1"/>
    </row>
    <row r="100" spans="1:10" x14ac:dyDescent="0.2">
      <c r="A100" s="5">
        <v>45915</v>
      </c>
      <c r="B100" s="1" t="s">
        <v>1523</v>
      </c>
      <c r="C100" s="1" t="s">
        <v>843</v>
      </c>
      <c r="D100" s="1" t="s">
        <v>88</v>
      </c>
      <c r="E100" s="1" t="s">
        <v>13</v>
      </c>
      <c r="F100" s="1"/>
      <c r="G100" s="6" t="s">
        <v>14</v>
      </c>
      <c r="H100" s="7">
        <v>65000</v>
      </c>
      <c r="I100" s="8">
        <v>4</v>
      </c>
      <c r="J100" s="1"/>
    </row>
    <row r="101" spans="1:10" x14ac:dyDescent="0.2">
      <c r="A101" s="5">
        <v>45915</v>
      </c>
      <c r="B101" s="1"/>
      <c r="C101" s="1"/>
      <c r="D101" s="1"/>
      <c r="E101" s="1" t="s">
        <v>61</v>
      </c>
      <c r="F101" s="1"/>
      <c r="G101" s="6" t="s">
        <v>23</v>
      </c>
      <c r="H101" s="7">
        <v>10000</v>
      </c>
      <c r="I101" s="8"/>
      <c r="J101" s="1"/>
    </row>
    <row r="102" spans="1:10" x14ac:dyDescent="0.2">
      <c r="A102" s="5">
        <v>45915</v>
      </c>
      <c r="B102" s="1" t="s">
        <v>1524</v>
      </c>
      <c r="C102" s="1" t="s">
        <v>1525</v>
      </c>
      <c r="D102" s="1" t="s">
        <v>340</v>
      </c>
      <c r="E102" s="1" t="s">
        <v>13</v>
      </c>
      <c r="F102" s="1"/>
      <c r="G102" s="6" t="s">
        <v>14</v>
      </c>
      <c r="H102" s="7">
        <v>75000</v>
      </c>
      <c r="I102" s="8">
        <v>3.7</v>
      </c>
      <c r="J102" s="1"/>
    </row>
    <row r="103" spans="1:10" x14ac:dyDescent="0.2">
      <c r="A103" s="5">
        <v>45916</v>
      </c>
      <c r="B103" s="1" t="s">
        <v>1008</v>
      </c>
      <c r="C103" s="1" t="s">
        <v>1009</v>
      </c>
      <c r="D103" s="1" t="s">
        <v>64</v>
      </c>
      <c r="E103" s="1" t="s">
        <v>181</v>
      </c>
      <c r="F103" s="1" t="s">
        <v>448</v>
      </c>
      <c r="G103" s="6" t="s">
        <v>14</v>
      </c>
      <c r="H103" s="7">
        <v>80000</v>
      </c>
      <c r="I103" s="8"/>
      <c r="J103" s="1"/>
    </row>
    <row r="104" spans="1:10" x14ac:dyDescent="0.2">
      <c r="A104" s="5">
        <v>45916</v>
      </c>
      <c r="B104" s="1" t="s">
        <v>182</v>
      </c>
      <c r="C104" s="1" t="s">
        <v>183</v>
      </c>
      <c r="D104" s="1" t="s">
        <v>26</v>
      </c>
      <c r="E104" s="1" t="s">
        <v>19</v>
      </c>
      <c r="F104" s="1"/>
      <c r="G104" s="6" t="s">
        <v>14</v>
      </c>
      <c r="H104" s="7">
        <v>65000</v>
      </c>
      <c r="I104" s="8">
        <v>6.3</v>
      </c>
      <c r="J104" s="1"/>
    </row>
    <row r="105" spans="1:10" x14ac:dyDescent="0.2">
      <c r="A105" s="5">
        <v>45916</v>
      </c>
      <c r="B105" s="1" t="s">
        <v>423</v>
      </c>
      <c r="C105" s="1" t="s">
        <v>808</v>
      </c>
      <c r="D105" s="1" t="s">
        <v>64</v>
      </c>
      <c r="E105" s="1" t="s">
        <v>19</v>
      </c>
      <c r="F105" s="1"/>
      <c r="G105" s="6" t="s">
        <v>14</v>
      </c>
      <c r="H105" s="7">
        <v>50000</v>
      </c>
      <c r="I105" s="8">
        <v>13</v>
      </c>
      <c r="J105" s="1"/>
    </row>
    <row r="106" spans="1:10" x14ac:dyDescent="0.2">
      <c r="A106" s="5">
        <v>45916</v>
      </c>
      <c r="B106" s="1" t="s">
        <v>256</v>
      </c>
      <c r="C106" s="15" t="s">
        <v>257</v>
      </c>
      <c r="D106" s="15" t="s">
        <v>32</v>
      </c>
      <c r="E106" s="15" t="s">
        <v>19</v>
      </c>
      <c r="F106" s="1"/>
      <c r="G106" s="6" t="s">
        <v>14</v>
      </c>
      <c r="H106" s="7">
        <v>65000</v>
      </c>
      <c r="I106" s="8">
        <v>4.8</v>
      </c>
      <c r="J106" s="1"/>
    </row>
    <row r="107" spans="1:10" x14ac:dyDescent="0.2">
      <c r="A107" s="5">
        <v>45916</v>
      </c>
      <c r="B107" s="1" t="s">
        <v>1526</v>
      </c>
      <c r="C107" s="1" t="s">
        <v>185</v>
      </c>
      <c r="D107" s="1" t="s">
        <v>32</v>
      </c>
      <c r="E107" s="1" t="s">
        <v>13</v>
      </c>
      <c r="F107" s="1"/>
      <c r="G107" s="6" t="s">
        <v>14</v>
      </c>
      <c r="H107" s="7">
        <v>75000</v>
      </c>
      <c r="I107" s="8"/>
      <c r="J107" s="1"/>
    </row>
    <row r="108" spans="1:10" x14ac:dyDescent="0.2">
      <c r="A108" s="5">
        <v>45916</v>
      </c>
      <c r="B108" s="1" t="s">
        <v>1527</v>
      </c>
      <c r="C108" s="1" t="s">
        <v>1007</v>
      </c>
      <c r="D108" s="1" t="s">
        <v>64</v>
      </c>
      <c r="E108" s="1" t="s">
        <v>13</v>
      </c>
      <c r="F108" s="1"/>
      <c r="G108" s="6" t="s">
        <v>14</v>
      </c>
      <c r="H108" s="7">
        <v>85000</v>
      </c>
      <c r="I108" s="8"/>
      <c r="J108" s="1"/>
    </row>
    <row r="109" spans="1:10" x14ac:dyDescent="0.2">
      <c r="A109" s="5">
        <v>45916</v>
      </c>
      <c r="B109" s="1" t="s">
        <v>1146</v>
      </c>
      <c r="C109" s="1" t="s">
        <v>803</v>
      </c>
      <c r="D109" s="1" t="s">
        <v>32</v>
      </c>
      <c r="E109" s="1" t="s">
        <v>19</v>
      </c>
      <c r="F109" s="1"/>
      <c r="G109" s="6" t="s">
        <v>14</v>
      </c>
      <c r="H109" s="7">
        <v>75000</v>
      </c>
      <c r="I109" s="8">
        <v>2.7</v>
      </c>
      <c r="J109" s="1"/>
    </row>
    <row r="110" spans="1:10" x14ac:dyDescent="0.2">
      <c r="A110" s="5">
        <v>45917</v>
      </c>
      <c r="B110" s="1"/>
      <c r="C110" s="1"/>
      <c r="D110" s="1"/>
      <c r="E110" s="1" t="s">
        <v>61</v>
      </c>
      <c r="F110" s="1" t="s">
        <v>1528</v>
      </c>
      <c r="G110" s="6" t="s">
        <v>23</v>
      </c>
      <c r="H110" s="7">
        <v>15000</v>
      </c>
      <c r="I110" s="8"/>
      <c r="J110" s="1"/>
    </row>
    <row r="111" spans="1:10" x14ac:dyDescent="0.2">
      <c r="A111" s="5">
        <v>45917</v>
      </c>
      <c r="B111" s="1"/>
      <c r="C111" s="1"/>
      <c r="D111" s="1"/>
      <c r="E111" s="1" t="s">
        <v>61</v>
      </c>
      <c r="F111" s="1"/>
      <c r="G111" s="6" t="s">
        <v>23</v>
      </c>
      <c r="H111" s="7">
        <v>10000</v>
      </c>
      <c r="I111" s="8"/>
      <c r="J111" s="1"/>
    </row>
    <row r="112" spans="1:10" x14ac:dyDescent="0.2">
      <c r="A112" s="5">
        <v>45917</v>
      </c>
      <c r="B112" s="1" t="s">
        <v>1529</v>
      </c>
      <c r="C112" s="1" t="s">
        <v>262</v>
      </c>
      <c r="D112" s="1" t="s">
        <v>165</v>
      </c>
      <c r="E112" s="1" t="s">
        <v>13</v>
      </c>
      <c r="F112" s="1"/>
      <c r="G112" s="6" t="s">
        <v>14</v>
      </c>
      <c r="H112" s="7">
        <v>80000</v>
      </c>
      <c r="I112" s="8">
        <v>2.7</v>
      </c>
      <c r="J112" s="1"/>
    </row>
    <row r="113" spans="1:10" x14ac:dyDescent="0.2">
      <c r="A113" s="5">
        <v>45917</v>
      </c>
      <c r="B113" s="1" t="s">
        <v>1529</v>
      </c>
      <c r="C113" s="1" t="s">
        <v>253</v>
      </c>
      <c r="D113" s="1" t="s">
        <v>88</v>
      </c>
      <c r="E113" s="1" t="s">
        <v>19</v>
      </c>
      <c r="F113" s="1"/>
      <c r="G113" s="6" t="s">
        <v>14</v>
      </c>
      <c r="H113" s="7">
        <v>60000</v>
      </c>
      <c r="I113" s="8">
        <v>4.3</v>
      </c>
      <c r="J113" s="1"/>
    </row>
    <row r="114" spans="1:10" x14ac:dyDescent="0.2">
      <c r="A114" s="5">
        <v>45917</v>
      </c>
      <c r="B114" s="1" t="s">
        <v>72</v>
      </c>
      <c r="C114" s="1" t="s">
        <v>453</v>
      </c>
      <c r="D114" s="1" t="s">
        <v>58</v>
      </c>
      <c r="E114" s="1" t="s">
        <v>59</v>
      </c>
      <c r="F114" s="1"/>
      <c r="G114" s="6" t="s">
        <v>14</v>
      </c>
      <c r="H114" s="7">
        <v>85000</v>
      </c>
      <c r="I114" s="8">
        <v>4.5999999999999996</v>
      </c>
      <c r="J114" s="1"/>
    </row>
    <row r="115" spans="1:10" x14ac:dyDescent="0.2">
      <c r="A115" s="5">
        <v>45917</v>
      </c>
      <c r="B115" s="1" t="s">
        <v>1530</v>
      </c>
      <c r="C115" s="1" t="s">
        <v>836</v>
      </c>
      <c r="D115" s="1" t="s">
        <v>119</v>
      </c>
      <c r="E115" s="1" t="s">
        <v>19</v>
      </c>
      <c r="F115" s="1"/>
      <c r="G115" s="6" t="s">
        <v>23</v>
      </c>
      <c r="H115" s="7">
        <v>50000</v>
      </c>
      <c r="I115" s="8"/>
      <c r="J115" s="1"/>
    </row>
    <row r="116" spans="1:10" x14ac:dyDescent="0.2">
      <c r="A116" s="5">
        <v>45917</v>
      </c>
      <c r="B116" s="1" t="s">
        <v>761</v>
      </c>
      <c r="C116" s="1" t="s">
        <v>667</v>
      </c>
      <c r="D116" s="1" t="s">
        <v>26</v>
      </c>
      <c r="E116" s="1" t="s">
        <v>19</v>
      </c>
      <c r="F116" s="1"/>
      <c r="G116" s="6" t="s">
        <v>14</v>
      </c>
      <c r="H116" s="7">
        <v>65000</v>
      </c>
      <c r="I116" s="8">
        <v>6.9</v>
      </c>
      <c r="J116" s="1"/>
    </row>
    <row r="117" spans="1:10" x14ac:dyDescent="0.2">
      <c r="A117" s="5">
        <v>45917</v>
      </c>
      <c r="B117" s="1" t="s">
        <v>1531</v>
      </c>
      <c r="C117" s="1" t="s">
        <v>821</v>
      </c>
      <c r="D117" s="1" t="s">
        <v>88</v>
      </c>
      <c r="E117" s="1" t="s">
        <v>13</v>
      </c>
      <c r="F117" s="1"/>
      <c r="G117" s="6" t="s">
        <v>14</v>
      </c>
      <c r="H117" s="7">
        <v>85000</v>
      </c>
      <c r="I117" s="8"/>
      <c r="J117" s="1"/>
    </row>
    <row r="118" spans="1:10" x14ac:dyDescent="0.2">
      <c r="A118" s="5">
        <v>45918</v>
      </c>
      <c r="B118" s="1" t="s">
        <v>831</v>
      </c>
      <c r="C118" s="1" t="s">
        <v>1532</v>
      </c>
      <c r="D118" s="1" t="s">
        <v>122</v>
      </c>
      <c r="E118" s="1" t="s">
        <v>19</v>
      </c>
      <c r="F118" s="1"/>
      <c r="G118" s="6" t="s">
        <v>14</v>
      </c>
      <c r="H118" s="7">
        <v>80000</v>
      </c>
      <c r="I118" s="8">
        <v>18.7</v>
      </c>
      <c r="J118" s="1"/>
    </row>
    <row r="119" spans="1:10" x14ac:dyDescent="0.2">
      <c r="A119" s="5">
        <v>45918</v>
      </c>
      <c r="B119" s="1" t="s">
        <v>1533</v>
      </c>
      <c r="C119" s="1" t="s">
        <v>484</v>
      </c>
      <c r="D119" s="1" t="s">
        <v>131</v>
      </c>
      <c r="E119" s="1" t="s">
        <v>19</v>
      </c>
      <c r="F119" s="1"/>
      <c r="G119" s="6" t="s">
        <v>14</v>
      </c>
      <c r="H119" s="7">
        <v>85000</v>
      </c>
      <c r="I119" s="8">
        <v>35</v>
      </c>
      <c r="J119" s="1"/>
    </row>
    <row r="120" spans="1:10" x14ac:dyDescent="0.2">
      <c r="A120" s="5">
        <v>45918</v>
      </c>
      <c r="B120" s="1" t="s">
        <v>959</v>
      </c>
      <c r="C120" s="1" t="s">
        <v>960</v>
      </c>
      <c r="D120" s="1" t="s">
        <v>165</v>
      </c>
      <c r="E120" s="1" t="s">
        <v>13</v>
      </c>
      <c r="F120" s="1"/>
      <c r="G120" s="6" t="s">
        <v>14</v>
      </c>
      <c r="H120" s="7">
        <v>75000</v>
      </c>
      <c r="I120" s="8"/>
      <c r="J120" s="1"/>
    </row>
    <row r="121" spans="1:10" x14ac:dyDescent="0.2">
      <c r="A121" s="5">
        <v>45918</v>
      </c>
      <c r="B121" s="1" t="s">
        <v>1534</v>
      </c>
      <c r="C121" s="1" t="s">
        <v>1535</v>
      </c>
      <c r="D121" s="1" t="s">
        <v>1229</v>
      </c>
      <c r="E121" s="1" t="s">
        <v>19</v>
      </c>
      <c r="F121" s="1"/>
      <c r="G121" s="6" t="s">
        <v>23</v>
      </c>
      <c r="H121" s="7">
        <v>35000</v>
      </c>
      <c r="I121" s="8">
        <v>3.2</v>
      </c>
      <c r="J121" s="1"/>
    </row>
    <row r="122" spans="1:10" x14ac:dyDescent="0.2">
      <c r="A122" s="5">
        <v>45918</v>
      </c>
      <c r="B122" s="1" t="s">
        <v>1536</v>
      </c>
      <c r="C122" s="1" t="s">
        <v>63</v>
      </c>
      <c r="D122" s="1" t="s">
        <v>64</v>
      </c>
      <c r="E122" s="1" t="s">
        <v>13</v>
      </c>
      <c r="F122" s="1"/>
      <c r="G122" s="6" t="s">
        <v>14</v>
      </c>
      <c r="H122" s="7">
        <v>85000</v>
      </c>
      <c r="I122" s="8">
        <v>13</v>
      </c>
      <c r="J122" s="1"/>
    </row>
    <row r="123" spans="1:10" x14ac:dyDescent="0.2">
      <c r="A123" s="5">
        <v>45919</v>
      </c>
      <c r="B123" s="1" t="s">
        <v>953</v>
      </c>
      <c r="C123" s="1" t="s">
        <v>1537</v>
      </c>
      <c r="D123" s="1" t="s">
        <v>229</v>
      </c>
      <c r="E123" s="1" t="s">
        <v>19</v>
      </c>
      <c r="F123" s="1"/>
      <c r="G123" s="6" t="s">
        <v>14</v>
      </c>
      <c r="H123" s="7">
        <v>95000</v>
      </c>
      <c r="I123" s="8">
        <v>51.1</v>
      </c>
      <c r="J123" s="1"/>
    </row>
    <row r="124" spans="1:10" x14ac:dyDescent="0.2">
      <c r="A124" s="5">
        <v>45919</v>
      </c>
      <c r="B124" s="1" t="s">
        <v>953</v>
      </c>
      <c r="C124" s="1" t="s">
        <v>1538</v>
      </c>
      <c r="D124" s="1" t="s">
        <v>119</v>
      </c>
      <c r="E124" s="1" t="s">
        <v>19</v>
      </c>
      <c r="F124" s="1"/>
      <c r="G124" s="6" t="s">
        <v>23</v>
      </c>
      <c r="H124" s="7">
        <v>58000</v>
      </c>
      <c r="I124" s="8">
        <v>14.7</v>
      </c>
      <c r="J124" s="1"/>
    </row>
    <row r="125" spans="1:10" x14ac:dyDescent="0.2">
      <c r="A125" s="5">
        <v>45919</v>
      </c>
      <c r="B125" s="1" t="s">
        <v>953</v>
      </c>
      <c r="C125" s="1" t="s">
        <v>1260</v>
      </c>
      <c r="D125" s="1" t="s">
        <v>42</v>
      </c>
      <c r="E125" s="1" t="s">
        <v>19</v>
      </c>
      <c r="F125" s="1"/>
      <c r="G125" s="6" t="s">
        <v>23</v>
      </c>
      <c r="H125" s="7">
        <v>50000</v>
      </c>
      <c r="I125" s="8">
        <v>6.7</v>
      </c>
      <c r="J125" s="1"/>
    </row>
    <row r="126" spans="1:10" x14ac:dyDescent="0.2">
      <c r="A126" s="5">
        <v>45919</v>
      </c>
      <c r="B126" s="1" t="s">
        <v>569</v>
      </c>
      <c r="C126" s="1" t="s">
        <v>570</v>
      </c>
      <c r="D126" s="1" t="s">
        <v>165</v>
      </c>
      <c r="E126" s="1" t="s">
        <v>13</v>
      </c>
      <c r="F126" s="1" t="s">
        <v>1539</v>
      </c>
      <c r="G126" s="6" t="s">
        <v>14</v>
      </c>
      <c r="H126" s="7">
        <f>65000+120000</f>
        <v>185000</v>
      </c>
      <c r="I126" s="8">
        <v>4.9000000000000004</v>
      </c>
      <c r="J126" s="1"/>
    </row>
    <row r="127" spans="1:10" x14ac:dyDescent="0.2">
      <c r="A127" s="5">
        <v>45919</v>
      </c>
      <c r="B127" s="1" t="s">
        <v>564</v>
      </c>
      <c r="C127" s="1" t="s">
        <v>565</v>
      </c>
      <c r="D127" s="1" t="s">
        <v>196</v>
      </c>
      <c r="E127" s="1" t="s">
        <v>94</v>
      </c>
      <c r="F127" s="1"/>
      <c r="G127" s="6" t="s">
        <v>14</v>
      </c>
      <c r="H127" s="7">
        <v>90000</v>
      </c>
      <c r="I127" s="8">
        <v>32</v>
      </c>
      <c r="J127" s="1"/>
    </row>
    <row r="128" spans="1:10" x14ac:dyDescent="0.2">
      <c r="A128" s="5">
        <v>45919</v>
      </c>
      <c r="B128" s="1" t="s">
        <v>111</v>
      </c>
      <c r="C128" s="1" t="s">
        <v>63</v>
      </c>
      <c r="D128" s="1" t="s">
        <v>112</v>
      </c>
      <c r="E128" s="1" t="s">
        <v>113</v>
      </c>
      <c r="F128" s="1"/>
      <c r="G128" s="6" t="s">
        <v>14</v>
      </c>
      <c r="H128" s="7" t="s">
        <v>114</v>
      </c>
      <c r="I128" s="8" t="s">
        <v>114</v>
      </c>
      <c r="J128" s="1"/>
    </row>
    <row r="129" spans="1:10" x14ac:dyDescent="0.2">
      <c r="A129" s="5">
        <v>45919</v>
      </c>
      <c r="B129" s="1" t="s">
        <v>1540</v>
      </c>
      <c r="C129" s="1" t="s">
        <v>255</v>
      </c>
      <c r="D129" s="1" t="s">
        <v>26</v>
      </c>
      <c r="E129" s="1" t="s">
        <v>13</v>
      </c>
      <c r="F129" s="1"/>
      <c r="G129" s="6" t="s">
        <v>14</v>
      </c>
      <c r="H129" s="7">
        <v>95000</v>
      </c>
      <c r="I129" s="8">
        <v>9.5</v>
      </c>
      <c r="J129" s="1"/>
    </row>
    <row r="130" spans="1:10" x14ac:dyDescent="0.2">
      <c r="A130" s="5">
        <v>45920</v>
      </c>
      <c r="B130" s="1" t="s">
        <v>234</v>
      </c>
      <c r="C130" s="1" t="s">
        <v>554</v>
      </c>
      <c r="D130" s="1" t="s">
        <v>18</v>
      </c>
      <c r="E130" s="1" t="s">
        <v>19</v>
      </c>
      <c r="F130" s="1"/>
      <c r="G130" s="6" t="s">
        <v>14</v>
      </c>
      <c r="H130" s="7">
        <v>65000</v>
      </c>
      <c r="I130" s="8">
        <v>10.1</v>
      </c>
      <c r="J130" s="1"/>
    </row>
    <row r="131" spans="1:10" x14ac:dyDescent="0.2">
      <c r="A131" s="5">
        <v>45920</v>
      </c>
      <c r="B131" s="1" t="s">
        <v>603</v>
      </c>
      <c r="C131" s="1" t="s">
        <v>604</v>
      </c>
      <c r="D131" s="1" t="s">
        <v>18</v>
      </c>
      <c r="E131" s="1" t="s">
        <v>19</v>
      </c>
      <c r="F131" s="1"/>
      <c r="G131" s="6" t="s">
        <v>14</v>
      </c>
      <c r="H131" s="7">
        <v>60000</v>
      </c>
      <c r="I131" s="8">
        <v>12</v>
      </c>
      <c r="J131" s="1"/>
    </row>
    <row r="132" spans="1:10" x14ac:dyDescent="0.2">
      <c r="A132" s="5">
        <v>45920</v>
      </c>
      <c r="B132" s="1" t="s">
        <v>881</v>
      </c>
      <c r="C132" s="1" t="s">
        <v>882</v>
      </c>
      <c r="D132" s="1" t="s">
        <v>131</v>
      </c>
      <c r="E132" s="1" t="s">
        <v>19</v>
      </c>
      <c r="F132" s="1"/>
      <c r="G132" s="6" t="s">
        <v>14</v>
      </c>
      <c r="H132" s="7">
        <v>70000</v>
      </c>
      <c r="I132" s="8">
        <v>32</v>
      </c>
      <c r="J132" s="1"/>
    </row>
    <row r="133" spans="1:10" x14ac:dyDescent="0.2">
      <c r="A133" s="5">
        <v>45920</v>
      </c>
      <c r="B133" s="1" t="s">
        <v>72</v>
      </c>
      <c r="C133" s="1" t="s">
        <v>1541</v>
      </c>
      <c r="D133" s="1" t="s">
        <v>58</v>
      </c>
      <c r="E133" s="1" t="s">
        <v>59</v>
      </c>
      <c r="F133" s="1"/>
      <c r="G133" s="6" t="s">
        <v>14</v>
      </c>
      <c r="H133" s="7">
        <v>80000</v>
      </c>
      <c r="I133" s="8"/>
      <c r="J133" s="1"/>
    </row>
    <row r="134" spans="1:10" x14ac:dyDescent="0.2">
      <c r="A134" s="5">
        <v>45920</v>
      </c>
      <c r="B134" s="1" t="s">
        <v>72</v>
      </c>
      <c r="C134" s="1" t="s">
        <v>604</v>
      </c>
      <c r="D134" s="1" t="s">
        <v>58</v>
      </c>
      <c r="E134" s="1" t="s">
        <v>59</v>
      </c>
      <c r="F134" s="1"/>
      <c r="G134" s="6" t="s">
        <v>14</v>
      </c>
      <c r="H134" s="7">
        <v>80000</v>
      </c>
      <c r="I134" s="8"/>
      <c r="J134" s="1"/>
    </row>
    <row r="135" spans="1:10" x14ac:dyDescent="0.2">
      <c r="A135" s="5">
        <v>45920</v>
      </c>
      <c r="B135" s="1" t="s">
        <v>132</v>
      </c>
      <c r="C135" s="1" t="s">
        <v>133</v>
      </c>
      <c r="D135" s="1" t="s">
        <v>18</v>
      </c>
      <c r="E135" s="1" t="s">
        <v>19</v>
      </c>
      <c r="F135" s="1"/>
      <c r="G135" s="6" t="s">
        <v>14</v>
      </c>
      <c r="H135" s="7">
        <v>200000</v>
      </c>
      <c r="I135" s="8"/>
      <c r="J135" s="1"/>
    </row>
    <row r="136" spans="1:10" x14ac:dyDescent="0.2">
      <c r="A136" s="5">
        <v>45920</v>
      </c>
      <c r="B136" s="1" t="s">
        <v>129</v>
      </c>
      <c r="C136" s="1" t="s">
        <v>130</v>
      </c>
      <c r="D136" s="1" t="s">
        <v>131</v>
      </c>
      <c r="E136" s="1" t="s">
        <v>19</v>
      </c>
      <c r="F136" s="1"/>
      <c r="G136" s="6" t="s">
        <v>14</v>
      </c>
      <c r="H136" s="7" t="s">
        <v>114</v>
      </c>
      <c r="I136" s="8">
        <v>38.9</v>
      </c>
      <c r="J136" s="1"/>
    </row>
    <row r="137" spans="1:10" x14ac:dyDescent="0.2">
      <c r="A137" s="5">
        <v>45920</v>
      </c>
      <c r="B137" s="1" t="s">
        <v>1542</v>
      </c>
      <c r="C137" s="1" t="s">
        <v>46</v>
      </c>
      <c r="D137" s="1" t="s">
        <v>131</v>
      </c>
      <c r="E137" s="1" t="s">
        <v>19</v>
      </c>
      <c r="F137" s="1"/>
      <c r="G137" s="6" t="s">
        <v>14</v>
      </c>
      <c r="H137" s="7">
        <v>85000</v>
      </c>
      <c r="I137" s="8"/>
      <c r="J137" s="1"/>
    </row>
    <row r="138" spans="1:10" x14ac:dyDescent="0.2">
      <c r="A138" s="5">
        <v>45920</v>
      </c>
      <c r="B138" s="1" t="s">
        <v>1542</v>
      </c>
      <c r="C138" s="1" t="s">
        <v>1543</v>
      </c>
      <c r="D138" s="1" t="s">
        <v>45</v>
      </c>
      <c r="E138" s="1" t="s">
        <v>19</v>
      </c>
      <c r="F138" s="1"/>
      <c r="G138" s="6" t="s">
        <v>23</v>
      </c>
      <c r="H138" s="7">
        <v>60000</v>
      </c>
      <c r="I138" s="8">
        <v>21.1</v>
      </c>
      <c r="J138" s="1"/>
    </row>
    <row r="139" spans="1:10" x14ac:dyDescent="0.2">
      <c r="A139" s="5">
        <v>45920</v>
      </c>
      <c r="B139" s="1"/>
      <c r="C139" s="1"/>
      <c r="D139" s="1"/>
      <c r="E139" s="1" t="s">
        <v>61</v>
      </c>
      <c r="F139" s="1"/>
      <c r="G139" s="6"/>
      <c r="H139" s="7">
        <v>15000</v>
      </c>
      <c r="I139" s="8"/>
      <c r="J139" s="1"/>
    </row>
    <row r="140" spans="1:10" x14ac:dyDescent="0.2">
      <c r="A140" s="5">
        <v>45920</v>
      </c>
      <c r="B140" s="1" t="s">
        <v>1544</v>
      </c>
      <c r="C140" s="1" t="s">
        <v>398</v>
      </c>
      <c r="D140" s="1" t="s">
        <v>22</v>
      </c>
      <c r="E140" s="1" t="s">
        <v>19</v>
      </c>
      <c r="F140" s="1"/>
      <c r="G140" s="6" t="s">
        <v>23</v>
      </c>
      <c r="H140" s="7">
        <v>55000</v>
      </c>
      <c r="I140" s="8">
        <v>10.4</v>
      </c>
      <c r="J140" s="1"/>
    </row>
    <row r="141" spans="1:10" x14ac:dyDescent="0.2">
      <c r="A141" s="5">
        <v>45920</v>
      </c>
      <c r="B141" s="1" t="s">
        <v>1392</v>
      </c>
      <c r="C141" s="1" t="s">
        <v>1393</v>
      </c>
      <c r="D141" s="1" t="s">
        <v>32</v>
      </c>
      <c r="E141" s="1" t="s">
        <v>19</v>
      </c>
      <c r="F141" s="1"/>
      <c r="G141" s="6" t="s">
        <v>23</v>
      </c>
      <c r="H141" s="7">
        <v>65000</v>
      </c>
      <c r="I141" s="8">
        <v>5.9</v>
      </c>
      <c r="J141" s="1"/>
    </row>
    <row r="142" spans="1:10" x14ac:dyDescent="0.2">
      <c r="A142" s="5">
        <v>45920</v>
      </c>
      <c r="B142" s="1"/>
      <c r="C142" s="1"/>
      <c r="D142" s="1"/>
      <c r="E142" s="1" t="s">
        <v>61</v>
      </c>
      <c r="F142" s="1"/>
      <c r="G142" s="6"/>
      <c r="H142" s="7">
        <v>15000</v>
      </c>
      <c r="I142" s="8"/>
      <c r="J142" s="1"/>
    </row>
    <row r="143" spans="1:10" x14ac:dyDescent="0.2">
      <c r="A143" s="5">
        <v>45922</v>
      </c>
      <c r="B143" s="1" t="s">
        <v>1269</v>
      </c>
      <c r="C143" s="1" t="s">
        <v>1270</v>
      </c>
      <c r="D143" s="1" t="s">
        <v>32</v>
      </c>
      <c r="E143" s="1" t="s">
        <v>78</v>
      </c>
      <c r="F143" s="1"/>
      <c r="G143" s="6" t="s">
        <v>14</v>
      </c>
      <c r="H143" s="7">
        <v>75000</v>
      </c>
      <c r="I143" s="8"/>
      <c r="J143" s="1"/>
    </row>
    <row r="144" spans="1:10" x14ac:dyDescent="0.2">
      <c r="A144" s="5">
        <v>45922</v>
      </c>
      <c r="B144" s="1" t="s">
        <v>1545</v>
      </c>
      <c r="C144" s="1" t="s">
        <v>904</v>
      </c>
      <c r="D144" s="1" t="s">
        <v>101</v>
      </c>
      <c r="E144" s="1" t="s">
        <v>13</v>
      </c>
      <c r="F144" s="1"/>
      <c r="G144" s="6" t="s">
        <v>14</v>
      </c>
      <c r="H144" s="7">
        <v>85000</v>
      </c>
      <c r="I144" s="8">
        <v>7.6</v>
      </c>
      <c r="J144" s="1"/>
    </row>
    <row r="145" spans="1:10" x14ac:dyDescent="0.2">
      <c r="A145" s="5">
        <v>45922</v>
      </c>
      <c r="B145" s="1" t="s">
        <v>584</v>
      </c>
      <c r="C145" s="1" t="s">
        <v>585</v>
      </c>
      <c r="D145" s="1" t="s">
        <v>22</v>
      </c>
      <c r="E145" s="1" t="s">
        <v>19</v>
      </c>
      <c r="F145" s="1"/>
      <c r="G145" s="6" t="s">
        <v>23</v>
      </c>
      <c r="H145" s="7">
        <v>55000</v>
      </c>
      <c r="I145" s="8">
        <v>10</v>
      </c>
      <c r="J145" s="1"/>
    </row>
    <row r="146" spans="1:10" x14ac:dyDescent="0.2">
      <c r="A146" s="5">
        <v>45922</v>
      </c>
      <c r="B146" s="1" t="s">
        <v>1546</v>
      </c>
      <c r="C146" s="1" t="s">
        <v>1547</v>
      </c>
      <c r="D146" s="1" t="s">
        <v>119</v>
      </c>
      <c r="E146" s="1" t="s">
        <v>19</v>
      </c>
      <c r="F146" s="1"/>
      <c r="G146" s="6" t="s">
        <v>23</v>
      </c>
      <c r="H146" s="7">
        <v>55000</v>
      </c>
      <c r="I146" s="8">
        <v>10.3</v>
      </c>
      <c r="J146" s="1"/>
    </row>
    <row r="147" spans="1:10" x14ac:dyDescent="0.2">
      <c r="A147" s="5">
        <v>45923</v>
      </c>
      <c r="B147" s="1" t="s">
        <v>1329</v>
      </c>
      <c r="C147" s="1" t="s">
        <v>221</v>
      </c>
      <c r="D147" s="1" t="s">
        <v>222</v>
      </c>
      <c r="E147" s="1" t="s">
        <v>19</v>
      </c>
      <c r="F147" s="1"/>
      <c r="G147" s="6" t="s">
        <v>23</v>
      </c>
      <c r="H147" s="7">
        <v>70000</v>
      </c>
      <c r="I147" s="1">
        <v>25.1</v>
      </c>
      <c r="J147" s="1"/>
    </row>
    <row r="148" spans="1:10" x14ac:dyDescent="0.2">
      <c r="A148" s="5">
        <v>45923</v>
      </c>
      <c r="B148" s="1" t="s">
        <v>1548</v>
      </c>
      <c r="C148" s="1" t="s">
        <v>180</v>
      </c>
      <c r="D148" s="1" t="s">
        <v>26</v>
      </c>
      <c r="E148" s="1" t="s">
        <v>13</v>
      </c>
      <c r="F148" s="1"/>
      <c r="G148" s="6" t="s">
        <v>14</v>
      </c>
      <c r="H148" s="7">
        <v>85000</v>
      </c>
      <c r="I148" s="8">
        <v>7.3</v>
      </c>
      <c r="J148" s="1"/>
    </row>
    <row r="149" spans="1:10" x14ac:dyDescent="0.2">
      <c r="A149" s="5">
        <v>45923</v>
      </c>
      <c r="B149" s="1" t="s">
        <v>1549</v>
      </c>
      <c r="C149" s="1" t="s">
        <v>330</v>
      </c>
      <c r="D149" s="1" t="s">
        <v>88</v>
      </c>
      <c r="E149" s="1" t="s">
        <v>13</v>
      </c>
      <c r="F149" s="1"/>
      <c r="G149" s="6" t="s">
        <v>14</v>
      </c>
      <c r="H149" s="7">
        <v>70000</v>
      </c>
      <c r="I149" s="8">
        <v>6.6</v>
      </c>
      <c r="J149" s="1"/>
    </row>
    <row r="150" spans="1:10" x14ac:dyDescent="0.2">
      <c r="A150" s="5">
        <v>45923</v>
      </c>
      <c r="B150" s="1" t="s">
        <v>1549</v>
      </c>
      <c r="C150" s="1" t="s">
        <v>440</v>
      </c>
      <c r="D150" s="1" t="s">
        <v>88</v>
      </c>
      <c r="E150" s="1" t="s">
        <v>13</v>
      </c>
      <c r="F150" s="1"/>
      <c r="G150" s="6" t="s">
        <v>14</v>
      </c>
      <c r="H150" s="7">
        <v>70000</v>
      </c>
      <c r="I150" s="8">
        <v>3.3</v>
      </c>
      <c r="J150" s="1"/>
    </row>
    <row r="151" spans="1:10" x14ac:dyDescent="0.2">
      <c r="A151" s="5">
        <v>45923</v>
      </c>
      <c r="B151" s="1" t="s">
        <v>1550</v>
      </c>
      <c r="C151" s="1" t="s">
        <v>1283</v>
      </c>
      <c r="D151" s="1" t="s">
        <v>165</v>
      </c>
      <c r="E151" s="1" t="s">
        <v>19</v>
      </c>
      <c r="F151" s="1"/>
      <c r="G151" s="6" t="s">
        <v>14</v>
      </c>
      <c r="H151" s="7">
        <v>65000</v>
      </c>
      <c r="I151" s="8">
        <v>2.5</v>
      </c>
      <c r="J151" s="1"/>
    </row>
    <row r="152" spans="1:10" x14ac:dyDescent="0.2">
      <c r="A152" s="5">
        <v>45923</v>
      </c>
      <c r="B152" s="1" t="s">
        <v>207</v>
      </c>
      <c r="C152" s="1" t="s">
        <v>1551</v>
      </c>
      <c r="D152" s="1"/>
      <c r="E152" s="1" t="s">
        <v>13</v>
      </c>
      <c r="F152" s="1" t="s">
        <v>91</v>
      </c>
      <c r="G152" s="6" t="s">
        <v>14</v>
      </c>
      <c r="H152" s="7">
        <f>120000+85000</f>
        <v>205000</v>
      </c>
      <c r="I152" s="8">
        <v>4.9000000000000004</v>
      </c>
      <c r="J152" s="1"/>
    </row>
    <row r="153" spans="1:10" x14ac:dyDescent="0.2">
      <c r="A153" s="5">
        <v>45924</v>
      </c>
      <c r="B153" s="1" t="s">
        <v>1552</v>
      </c>
      <c r="C153" s="1" t="s">
        <v>1084</v>
      </c>
      <c r="D153" s="1" t="s">
        <v>914</v>
      </c>
      <c r="E153" s="1" t="s">
        <v>19</v>
      </c>
      <c r="F153" s="1"/>
      <c r="G153" s="6" t="s">
        <v>23</v>
      </c>
      <c r="H153" s="7">
        <v>75000</v>
      </c>
      <c r="I153" s="8">
        <v>22</v>
      </c>
      <c r="J153" s="1" t="s">
        <v>37</v>
      </c>
    </row>
    <row r="154" spans="1:10" x14ac:dyDescent="0.2">
      <c r="A154" s="5">
        <v>45924</v>
      </c>
      <c r="B154" s="1" t="s">
        <v>1406</v>
      </c>
      <c r="C154" s="1" t="s">
        <v>46</v>
      </c>
      <c r="D154" s="1" t="s">
        <v>26</v>
      </c>
      <c r="E154" s="1" t="s">
        <v>13</v>
      </c>
      <c r="F154" s="1"/>
      <c r="G154" s="6" t="s">
        <v>14</v>
      </c>
      <c r="H154" s="7">
        <v>85000</v>
      </c>
      <c r="I154" s="8">
        <v>8.4</v>
      </c>
      <c r="J154" s="1"/>
    </row>
    <row r="155" spans="1:10" x14ac:dyDescent="0.2">
      <c r="A155" s="5">
        <v>45924</v>
      </c>
      <c r="B155" s="1" t="s">
        <v>314</v>
      </c>
      <c r="C155" s="1" t="s">
        <v>315</v>
      </c>
      <c r="D155" s="1" t="s">
        <v>26</v>
      </c>
      <c r="E155" s="1" t="s">
        <v>13</v>
      </c>
      <c r="F155" s="1"/>
      <c r="G155" s="6" t="s">
        <v>14</v>
      </c>
      <c r="H155" s="7">
        <v>90000</v>
      </c>
      <c r="I155" s="8">
        <v>10.4</v>
      </c>
      <c r="J155" s="1"/>
    </row>
    <row r="156" spans="1:10" x14ac:dyDescent="0.2">
      <c r="A156" s="5">
        <v>45924</v>
      </c>
      <c r="B156" s="1" t="s">
        <v>1553</v>
      </c>
      <c r="C156" s="1" t="s">
        <v>31</v>
      </c>
      <c r="D156" s="1" t="s">
        <v>26</v>
      </c>
      <c r="E156" s="1" t="s">
        <v>78</v>
      </c>
      <c r="F156" s="1"/>
      <c r="G156" s="6" t="s">
        <v>14</v>
      </c>
      <c r="H156" s="7">
        <v>75000</v>
      </c>
      <c r="I156" s="1"/>
      <c r="J156" s="1"/>
    </row>
    <row r="157" spans="1:10" x14ac:dyDescent="0.2">
      <c r="A157" s="5">
        <v>45924</v>
      </c>
      <c r="B157" s="1" t="s">
        <v>768</v>
      </c>
      <c r="C157" s="1" t="s">
        <v>46</v>
      </c>
      <c r="D157" s="1" t="s">
        <v>26</v>
      </c>
      <c r="E157" s="1" t="s">
        <v>19</v>
      </c>
      <c r="F157" s="1" t="s">
        <v>642</v>
      </c>
      <c r="G157" s="6" t="s">
        <v>14</v>
      </c>
      <c r="H157" s="7">
        <v>60000</v>
      </c>
      <c r="I157" s="8">
        <v>6.1</v>
      </c>
      <c r="J157" s="1"/>
    </row>
    <row r="158" spans="1:10" x14ac:dyDescent="0.2">
      <c r="A158" s="5">
        <v>45925</v>
      </c>
      <c r="B158" s="1" t="s">
        <v>536</v>
      </c>
      <c r="C158" s="1" t="s">
        <v>537</v>
      </c>
      <c r="D158" s="1" t="s">
        <v>196</v>
      </c>
      <c r="E158" s="1" t="s">
        <v>19</v>
      </c>
      <c r="F158" s="1"/>
      <c r="G158" s="6" t="s">
        <v>14</v>
      </c>
      <c r="H158" s="7">
        <v>90000</v>
      </c>
      <c r="I158" s="8"/>
      <c r="J158" s="1"/>
    </row>
    <row r="159" spans="1:10" x14ac:dyDescent="0.2">
      <c r="A159" s="5">
        <v>45925</v>
      </c>
      <c r="B159" s="1" t="s">
        <v>938</v>
      </c>
      <c r="C159" s="1" t="s">
        <v>563</v>
      </c>
      <c r="D159" s="1" t="s">
        <v>64</v>
      </c>
      <c r="E159" s="1" t="s">
        <v>19</v>
      </c>
      <c r="F159" s="1"/>
      <c r="G159" s="6" t="s">
        <v>23</v>
      </c>
      <c r="H159" s="7">
        <v>50000</v>
      </c>
      <c r="I159" s="8"/>
      <c r="J159" s="1"/>
    </row>
    <row r="160" spans="1:10" x14ac:dyDescent="0.2">
      <c r="A160" s="5">
        <v>45925</v>
      </c>
      <c r="B160" s="1" t="s">
        <v>471</v>
      </c>
      <c r="C160" s="1" t="s">
        <v>472</v>
      </c>
      <c r="D160" s="1" t="s">
        <v>88</v>
      </c>
      <c r="E160" s="1" t="s">
        <v>13</v>
      </c>
      <c r="F160" s="1"/>
      <c r="G160" s="6" t="s">
        <v>14</v>
      </c>
      <c r="H160" s="7">
        <v>70000</v>
      </c>
      <c r="I160" s="8"/>
      <c r="J160" s="1"/>
    </row>
    <row r="161" spans="1:11" x14ac:dyDescent="0.2">
      <c r="A161" s="5">
        <v>45925</v>
      </c>
      <c r="B161" s="1" t="s">
        <v>1554</v>
      </c>
      <c r="C161" s="1" t="s">
        <v>1270</v>
      </c>
      <c r="D161" s="1" t="s">
        <v>18</v>
      </c>
      <c r="E161" s="1" t="s">
        <v>13</v>
      </c>
      <c r="F161" s="1"/>
      <c r="G161" s="6" t="s">
        <v>14</v>
      </c>
      <c r="H161" s="7">
        <v>90000</v>
      </c>
      <c r="I161" s="8"/>
      <c r="J161" s="1"/>
    </row>
    <row r="162" spans="1:11" x14ac:dyDescent="0.2">
      <c r="A162" s="5">
        <v>45926</v>
      </c>
      <c r="B162" s="1" t="s">
        <v>601</v>
      </c>
      <c r="C162" s="1" t="s">
        <v>730</v>
      </c>
      <c r="D162" s="1" t="s">
        <v>18</v>
      </c>
      <c r="E162" s="1" t="s">
        <v>19</v>
      </c>
      <c r="F162" s="1"/>
      <c r="G162" s="6" t="s">
        <v>14</v>
      </c>
      <c r="H162" s="7">
        <v>70000</v>
      </c>
      <c r="I162" s="8"/>
      <c r="J162" s="1"/>
    </row>
    <row r="163" spans="1:11" x14ac:dyDescent="0.2">
      <c r="A163" s="5">
        <v>45926</v>
      </c>
      <c r="B163" s="1" t="s">
        <v>1490</v>
      </c>
      <c r="C163" s="1" t="s">
        <v>962</v>
      </c>
      <c r="D163" s="1" t="s">
        <v>26</v>
      </c>
      <c r="E163" s="1" t="s">
        <v>19</v>
      </c>
      <c r="F163" s="1"/>
      <c r="G163" s="6" t="s">
        <v>14</v>
      </c>
      <c r="H163" s="7">
        <v>85000</v>
      </c>
      <c r="I163" s="8"/>
      <c r="J163" s="1"/>
    </row>
    <row r="164" spans="1:11" x14ac:dyDescent="0.2">
      <c r="A164" s="5">
        <v>45926</v>
      </c>
      <c r="B164" s="1"/>
      <c r="C164" s="1" t="s">
        <v>512</v>
      </c>
      <c r="D164" s="1" t="s">
        <v>32</v>
      </c>
      <c r="E164" s="1" t="s">
        <v>19</v>
      </c>
      <c r="F164" s="1"/>
      <c r="G164" s="6" t="s">
        <v>14</v>
      </c>
      <c r="H164" s="7">
        <v>60000</v>
      </c>
      <c r="I164" s="8"/>
      <c r="J164" s="1"/>
    </row>
    <row r="165" spans="1:11" x14ac:dyDescent="0.2">
      <c r="A165" s="5">
        <v>45926</v>
      </c>
      <c r="B165" s="1" t="s">
        <v>306</v>
      </c>
      <c r="C165" s="1" t="s">
        <v>55</v>
      </c>
      <c r="D165" s="1" t="s">
        <v>307</v>
      </c>
      <c r="E165" s="1" t="s">
        <v>94</v>
      </c>
      <c r="F165" s="1"/>
      <c r="G165" s="6" t="s">
        <v>14</v>
      </c>
      <c r="H165" s="7">
        <v>90000</v>
      </c>
      <c r="I165" s="8">
        <v>30</v>
      </c>
      <c r="J165" s="1"/>
    </row>
    <row r="166" spans="1:11" x14ac:dyDescent="0.2">
      <c r="A166" s="5">
        <v>45926</v>
      </c>
      <c r="B166" s="1" t="s">
        <v>1375</v>
      </c>
      <c r="C166" s="1" t="s">
        <v>1555</v>
      </c>
      <c r="D166" s="1" t="s">
        <v>307</v>
      </c>
      <c r="E166" s="1" t="s">
        <v>94</v>
      </c>
      <c r="F166" s="1"/>
      <c r="G166" s="6" t="s">
        <v>14</v>
      </c>
      <c r="H166" s="7">
        <v>90000</v>
      </c>
      <c r="I166" s="8">
        <v>21.8</v>
      </c>
      <c r="J166" s="1"/>
    </row>
    <row r="167" spans="1:11" x14ac:dyDescent="0.2">
      <c r="A167" s="5">
        <v>45926</v>
      </c>
      <c r="B167" s="1" t="s">
        <v>111</v>
      </c>
      <c r="C167" s="1" t="s">
        <v>63</v>
      </c>
      <c r="D167" s="1" t="s">
        <v>112</v>
      </c>
      <c r="E167" s="1" t="s">
        <v>13</v>
      </c>
      <c r="F167" s="1" t="s">
        <v>1556</v>
      </c>
      <c r="G167" s="6" t="s">
        <v>14</v>
      </c>
      <c r="H167" s="7">
        <f>90000+120000</f>
        <v>210000</v>
      </c>
      <c r="I167" s="8"/>
      <c r="J167" s="1"/>
      <c r="K167" s="18" t="s">
        <v>1557</v>
      </c>
    </row>
    <row r="168" spans="1:11" x14ac:dyDescent="0.2">
      <c r="A168" s="5">
        <v>45926</v>
      </c>
      <c r="B168" s="1" t="s">
        <v>768</v>
      </c>
      <c r="C168" s="1" t="s">
        <v>46</v>
      </c>
      <c r="D168" s="1" t="s">
        <v>26</v>
      </c>
      <c r="E168" s="1" t="s">
        <v>13</v>
      </c>
      <c r="F168" s="1"/>
      <c r="G168" s="6" t="s">
        <v>14</v>
      </c>
      <c r="H168" s="7">
        <v>85000</v>
      </c>
      <c r="I168" s="8"/>
      <c r="J168" s="1"/>
    </row>
    <row r="169" spans="1:11" x14ac:dyDescent="0.2">
      <c r="A169" s="5">
        <v>45927</v>
      </c>
      <c r="B169" s="1" t="s">
        <v>739</v>
      </c>
      <c r="C169" s="1" t="s">
        <v>740</v>
      </c>
      <c r="D169" s="1" t="s">
        <v>26</v>
      </c>
      <c r="E169" s="1" t="s">
        <v>13</v>
      </c>
      <c r="F169" s="1"/>
      <c r="G169" s="6" t="s">
        <v>14</v>
      </c>
      <c r="H169" s="7">
        <v>85000</v>
      </c>
      <c r="I169" s="8">
        <v>4.7</v>
      </c>
      <c r="J169" s="1"/>
    </row>
    <row r="170" spans="1:11" x14ac:dyDescent="0.2">
      <c r="A170" s="5">
        <v>45927</v>
      </c>
      <c r="B170" s="1" t="s">
        <v>263</v>
      </c>
      <c r="C170" s="1" t="s">
        <v>264</v>
      </c>
      <c r="D170" s="1" t="s">
        <v>88</v>
      </c>
      <c r="E170" s="1" t="s">
        <v>13</v>
      </c>
      <c r="F170" s="1"/>
      <c r="G170" s="6" t="s">
        <v>14</v>
      </c>
      <c r="H170" s="7">
        <v>85000</v>
      </c>
      <c r="I170" s="8">
        <v>5.5</v>
      </c>
      <c r="J170" s="1"/>
    </row>
    <row r="171" spans="1:11" x14ac:dyDescent="0.2">
      <c r="A171" s="5">
        <v>45927</v>
      </c>
      <c r="B171" s="1" t="s">
        <v>67</v>
      </c>
      <c r="C171" s="1" t="s">
        <v>1558</v>
      </c>
      <c r="D171" s="1" t="s">
        <v>26</v>
      </c>
      <c r="E171" s="1" t="s">
        <v>19</v>
      </c>
      <c r="F171" s="1"/>
      <c r="G171" s="6" t="s">
        <v>14</v>
      </c>
      <c r="H171" s="7">
        <v>65000</v>
      </c>
      <c r="I171" s="8">
        <v>6.1</v>
      </c>
      <c r="J171" s="1"/>
    </row>
    <row r="172" spans="1:11" x14ac:dyDescent="0.2">
      <c r="A172" s="5">
        <v>45927</v>
      </c>
      <c r="B172" s="1" t="s">
        <v>1559</v>
      </c>
      <c r="C172" s="1" t="s">
        <v>651</v>
      </c>
      <c r="D172" s="1" t="s">
        <v>32</v>
      </c>
      <c r="E172" s="1" t="s">
        <v>13</v>
      </c>
      <c r="F172" s="1"/>
      <c r="G172" s="6" t="s">
        <v>14</v>
      </c>
      <c r="H172" s="7">
        <v>75000</v>
      </c>
      <c r="I172" s="8">
        <v>2.2999999999999998</v>
      </c>
      <c r="J172" s="1"/>
    </row>
    <row r="173" spans="1:11" x14ac:dyDescent="0.2">
      <c r="A173" s="5">
        <v>45927</v>
      </c>
      <c r="B173" s="1" t="s">
        <v>761</v>
      </c>
      <c r="C173" s="1" t="s">
        <v>667</v>
      </c>
      <c r="D173" s="1" t="s">
        <v>26</v>
      </c>
      <c r="E173" s="1" t="s">
        <v>19</v>
      </c>
      <c r="F173" s="1"/>
      <c r="G173" s="6" t="s">
        <v>14</v>
      </c>
      <c r="H173" s="7">
        <v>65000</v>
      </c>
      <c r="I173" s="8">
        <v>6.7</v>
      </c>
      <c r="J173" s="1"/>
    </row>
    <row r="174" spans="1:11" x14ac:dyDescent="0.2">
      <c r="A174" s="5">
        <v>45927</v>
      </c>
      <c r="B174" s="1" t="s">
        <v>132</v>
      </c>
      <c r="C174" s="1" t="s">
        <v>133</v>
      </c>
      <c r="D174" s="1" t="s">
        <v>18</v>
      </c>
      <c r="E174" s="1" t="s">
        <v>19</v>
      </c>
      <c r="F174" s="1"/>
      <c r="G174" s="6" t="s">
        <v>14</v>
      </c>
      <c r="H174" s="7" t="s">
        <v>114</v>
      </c>
      <c r="I174" s="8"/>
      <c r="J174" s="1"/>
    </row>
    <row r="175" spans="1:11" x14ac:dyDescent="0.2">
      <c r="A175" s="5">
        <v>45927</v>
      </c>
      <c r="B175" s="10" t="s">
        <v>1560</v>
      </c>
      <c r="C175" s="1" t="s">
        <v>641</v>
      </c>
      <c r="D175" s="1" t="s">
        <v>196</v>
      </c>
      <c r="E175" s="1" t="s">
        <v>94</v>
      </c>
      <c r="F175" s="1"/>
      <c r="G175" s="6" t="s">
        <v>14</v>
      </c>
      <c r="H175" s="7">
        <v>85000</v>
      </c>
      <c r="I175" s="8">
        <v>36.700000000000003</v>
      </c>
      <c r="J175" s="1"/>
    </row>
    <row r="176" spans="1:11" x14ac:dyDescent="0.2">
      <c r="A176" s="5">
        <v>45927</v>
      </c>
      <c r="B176" s="1" t="s">
        <v>1063</v>
      </c>
      <c r="C176" s="1" t="s">
        <v>535</v>
      </c>
      <c r="D176" s="1" t="s">
        <v>119</v>
      </c>
      <c r="E176" s="1" t="s">
        <v>19</v>
      </c>
      <c r="F176" s="1"/>
      <c r="G176" s="6" t="s">
        <v>23</v>
      </c>
      <c r="H176" s="7">
        <v>55000</v>
      </c>
      <c r="I176" s="8">
        <v>14</v>
      </c>
      <c r="J176" s="1"/>
    </row>
    <row r="177" spans="1:10" x14ac:dyDescent="0.2">
      <c r="A177" s="5">
        <v>45927</v>
      </c>
      <c r="B177" s="1" t="s">
        <v>1561</v>
      </c>
      <c r="C177" s="1" t="s">
        <v>1562</v>
      </c>
      <c r="D177" s="1" t="s">
        <v>64</v>
      </c>
      <c r="E177" s="1" t="s">
        <v>19</v>
      </c>
      <c r="F177" s="1"/>
      <c r="G177" s="6" t="s">
        <v>23</v>
      </c>
      <c r="H177" s="7">
        <v>70000</v>
      </c>
      <c r="I177" s="8">
        <v>19</v>
      </c>
      <c r="J177" s="1"/>
    </row>
    <row r="178" spans="1:10" x14ac:dyDescent="0.2">
      <c r="A178" s="5">
        <v>45927</v>
      </c>
      <c r="B178" s="1" t="s">
        <v>1232</v>
      </c>
      <c r="C178" s="1" t="s">
        <v>1233</v>
      </c>
      <c r="D178" s="1" t="s">
        <v>196</v>
      </c>
      <c r="E178" s="1" t="s">
        <v>94</v>
      </c>
      <c r="F178" s="1"/>
      <c r="G178" s="6" t="s">
        <v>14</v>
      </c>
      <c r="H178" s="7">
        <v>70000</v>
      </c>
      <c r="I178" s="8">
        <v>16.899999999999999</v>
      </c>
      <c r="J178" s="1"/>
    </row>
    <row r="179" spans="1:10" x14ac:dyDescent="0.2">
      <c r="A179" s="5">
        <v>45927</v>
      </c>
      <c r="B179" s="1" t="s">
        <v>1563</v>
      </c>
      <c r="C179" s="1" t="s">
        <v>429</v>
      </c>
      <c r="D179" s="1" t="s">
        <v>64</v>
      </c>
      <c r="E179" s="1" t="s">
        <v>19</v>
      </c>
      <c r="F179" s="1"/>
      <c r="G179" s="6" t="s">
        <v>23</v>
      </c>
      <c r="H179" s="7">
        <v>50000</v>
      </c>
      <c r="I179" s="8">
        <v>13</v>
      </c>
      <c r="J179" s="1"/>
    </row>
    <row r="180" spans="1:10" x14ac:dyDescent="0.2">
      <c r="A180" s="5">
        <v>45927</v>
      </c>
      <c r="B180" s="1" t="s">
        <v>683</v>
      </c>
      <c r="C180" s="1" t="s">
        <v>1564</v>
      </c>
      <c r="D180" s="1" t="s">
        <v>119</v>
      </c>
      <c r="E180" s="1" t="s">
        <v>19</v>
      </c>
      <c r="F180" s="1"/>
      <c r="G180" s="6" t="s">
        <v>23</v>
      </c>
      <c r="H180" s="7">
        <v>60000</v>
      </c>
      <c r="I180" s="8">
        <v>13.1</v>
      </c>
      <c r="J180" s="1"/>
    </row>
    <row r="181" spans="1:10" x14ac:dyDescent="0.2">
      <c r="A181" s="5">
        <v>45929</v>
      </c>
      <c r="B181" s="1" t="s">
        <v>701</v>
      </c>
      <c r="C181" s="1" t="s">
        <v>702</v>
      </c>
      <c r="D181" s="1" t="s">
        <v>64</v>
      </c>
      <c r="E181" s="1" t="s">
        <v>13</v>
      </c>
      <c r="F181" s="1"/>
      <c r="G181" s="6" t="s">
        <v>14</v>
      </c>
      <c r="H181" s="7">
        <v>85000</v>
      </c>
      <c r="I181" s="8">
        <v>12</v>
      </c>
      <c r="J181" s="1"/>
    </row>
    <row r="182" spans="1:10" x14ac:dyDescent="0.2">
      <c r="A182" s="5">
        <v>45929</v>
      </c>
      <c r="B182" s="1" t="s">
        <v>312</v>
      </c>
      <c r="C182" s="1" t="s">
        <v>1263</v>
      </c>
      <c r="D182" s="1" t="s">
        <v>196</v>
      </c>
      <c r="E182" s="1" t="s">
        <v>94</v>
      </c>
      <c r="F182" s="1"/>
      <c r="G182" s="6" t="s">
        <v>14</v>
      </c>
      <c r="H182" s="7">
        <v>65000</v>
      </c>
      <c r="I182" s="8">
        <v>17.8</v>
      </c>
      <c r="J182" s="1"/>
    </row>
    <row r="183" spans="1:10" x14ac:dyDescent="0.2">
      <c r="A183" s="5">
        <v>45929</v>
      </c>
      <c r="B183" s="1" t="s">
        <v>86</v>
      </c>
      <c r="C183" s="1" t="s">
        <v>770</v>
      </c>
      <c r="D183" s="1" t="s">
        <v>88</v>
      </c>
      <c r="E183" s="1" t="s">
        <v>13</v>
      </c>
      <c r="G183" s="6" t="s">
        <v>14</v>
      </c>
      <c r="H183" s="7">
        <v>70000</v>
      </c>
      <c r="I183" s="8"/>
      <c r="J183" s="1"/>
    </row>
    <row r="184" spans="1:10" x14ac:dyDescent="0.2">
      <c r="A184" s="5">
        <v>45929</v>
      </c>
      <c r="B184" s="1" t="s">
        <v>86</v>
      </c>
      <c r="C184" s="1" t="s">
        <v>219</v>
      </c>
      <c r="D184" s="1" t="s">
        <v>88</v>
      </c>
      <c r="E184" s="1" t="s">
        <v>13</v>
      </c>
      <c r="F184" s="1"/>
      <c r="G184" s="6" t="s">
        <v>14</v>
      </c>
      <c r="H184" s="7">
        <v>70000</v>
      </c>
      <c r="I184" s="8"/>
      <c r="J184" s="1"/>
    </row>
    <row r="185" spans="1:10" x14ac:dyDescent="0.2">
      <c r="A185" s="5">
        <v>45929</v>
      </c>
      <c r="B185" s="1" t="s">
        <v>86</v>
      </c>
      <c r="C185" s="1" t="s">
        <v>173</v>
      </c>
      <c r="D185" s="1" t="s">
        <v>88</v>
      </c>
      <c r="E185" s="1" t="s">
        <v>13</v>
      </c>
      <c r="F185" s="1"/>
      <c r="G185" s="6" t="s">
        <v>14</v>
      </c>
      <c r="H185" s="7">
        <v>70000</v>
      </c>
      <c r="I185" s="8"/>
      <c r="J185" s="1"/>
    </row>
    <row r="186" spans="1:10" x14ac:dyDescent="0.2">
      <c r="A186" s="5">
        <v>45929</v>
      </c>
      <c r="B186" s="1" t="s">
        <v>86</v>
      </c>
      <c r="C186" s="1" t="s">
        <v>771</v>
      </c>
      <c r="D186" s="1" t="s">
        <v>88</v>
      </c>
      <c r="E186" s="1" t="s">
        <v>13</v>
      </c>
      <c r="F186" s="1"/>
      <c r="G186" s="6" t="s">
        <v>14</v>
      </c>
      <c r="H186" s="7">
        <v>70000</v>
      </c>
      <c r="I186" s="8"/>
      <c r="J186" s="1"/>
    </row>
    <row r="187" spans="1:10" x14ac:dyDescent="0.2">
      <c r="A187" s="5">
        <v>45930</v>
      </c>
      <c r="B187" s="1" t="s">
        <v>576</v>
      </c>
      <c r="C187" s="1" t="s">
        <v>63</v>
      </c>
      <c r="D187" s="1" t="s">
        <v>1229</v>
      </c>
      <c r="E187" s="1" t="s">
        <v>19</v>
      </c>
      <c r="F187" s="1"/>
      <c r="G187" s="6" t="s">
        <v>23</v>
      </c>
      <c r="H187" s="7">
        <v>25000</v>
      </c>
      <c r="I187" s="8">
        <v>3.2</v>
      </c>
      <c r="J187" s="1" t="s">
        <v>15</v>
      </c>
    </row>
    <row r="188" spans="1:10" x14ac:dyDescent="0.2">
      <c r="A188" s="5">
        <v>45930</v>
      </c>
      <c r="B188" s="1" t="s">
        <v>591</v>
      </c>
      <c r="C188" s="1" t="s">
        <v>1565</v>
      </c>
      <c r="D188" s="1" t="s">
        <v>222</v>
      </c>
      <c r="E188" s="1" t="s">
        <v>19</v>
      </c>
      <c r="F188" s="1"/>
      <c r="G188" s="6" t="s">
        <v>23</v>
      </c>
      <c r="H188" s="7">
        <v>70000</v>
      </c>
      <c r="I188" s="8">
        <v>29</v>
      </c>
      <c r="J188" s="1" t="s">
        <v>37</v>
      </c>
    </row>
    <row r="189" spans="1:10" x14ac:dyDescent="0.2">
      <c r="A189" s="5">
        <v>45930</v>
      </c>
      <c r="B189" s="1" t="s">
        <v>930</v>
      </c>
      <c r="C189" s="1" t="s">
        <v>1566</v>
      </c>
      <c r="D189" s="1" t="s">
        <v>131</v>
      </c>
      <c r="E189" s="1" t="s">
        <v>19</v>
      </c>
      <c r="F189" s="1"/>
      <c r="G189" s="6" t="s">
        <v>14</v>
      </c>
      <c r="H189" s="7">
        <v>85000</v>
      </c>
      <c r="I189" s="8" t="s">
        <v>1567</v>
      </c>
      <c r="J189" s="1"/>
    </row>
    <row r="190" spans="1:10" x14ac:dyDescent="0.2">
      <c r="A190" s="5">
        <v>45930</v>
      </c>
      <c r="B190" s="1" t="s">
        <v>1568</v>
      </c>
      <c r="C190" s="1" t="s">
        <v>255</v>
      </c>
      <c r="D190" s="1" t="s">
        <v>64</v>
      </c>
      <c r="E190" s="1" t="s">
        <v>13</v>
      </c>
      <c r="F190" s="1"/>
      <c r="G190" s="6" t="s">
        <v>14</v>
      </c>
      <c r="H190" s="7">
        <v>85000</v>
      </c>
      <c r="I190" s="8">
        <v>11.5</v>
      </c>
      <c r="J190" s="1"/>
    </row>
    <row r="191" spans="1:10" x14ac:dyDescent="0.2">
      <c r="A191" s="5">
        <v>45930</v>
      </c>
      <c r="B191" s="1" t="s">
        <v>643</v>
      </c>
      <c r="C191" s="1" t="s">
        <v>644</v>
      </c>
      <c r="D191" s="1" t="s">
        <v>32</v>
      </c>
      <c r="E191" s="1" t="s">
        <v>19</v>
      </c>
      <c r="F191" s="1"/>
      <c r="G191" s="6" t="s">
        <v>14</v>
      </c>
      <c r="H191" s="7">
        <v>65000</v>
      </c>
      <c r="I191" s="8">
        <v>5.5</v>
      </c>
      <c r="J191" s="1"/>
    </row>
    <row r="192" spans="1:10" x14ac:dyDescent="0.2">
      <c r="A192" s="5">
        <v>45930</v>
      </c>
      <c r="B192" s="1"/>
      <c r="C192" s="1"/>
      <c r="D192" s="1"/>
      <c r="E192" s="1" t="s">
        <v>61</v>
      </c>
      <c r="F192" s="1"/>
      <c r="G192" s="6"/>
      <c r="H192" s="7">
        <v>10000</v>
      </c>
      <c r="I192" s="8"/>
      <c r="J192" s="1"/>
    </row>
    <row r="193" spans="1:10" x14ac:dyDescent="0.2">
      <c r="A193" s="5">
        <v>45930</v>
      </c>
      <c r="B193" s="1"/>
      <c r="C193" s="1"/>
      <c r="D193" s="1"/>
      <c r="E193" s="1" t="s">
        <v>61</v>
      </c>
      <c r="F193" s="1"/>
      <c r="G193" s="6"/>
      <c r="H193" s="7">
        <v>10000</v>
      </c>
      <c r="I193" s="8"/>
      <c r="J193" s="1"/>
    </row>
    <row r="194" spans="1:10" x14ac:dyDescent="0.2">
      <c r="A194" s="5">
        <v>45930</v>
      </c>
      <c r="B194" s="1"/>
      <c r="C194" s="1"/>
      <c r="D194" s="1"/>
      <c r="E194" s="1" t="s">
        <v>61</v>
      </c>
      <c r="F194" s="1"/>
      <c r="G194" s="6"/>
      <c r="H194" s="7">
        <v>10000</v>
      </c>
      <c r="I194" s="8"/>
      <c r="J194" s="1"/>
    </row>
    <row r="195" spans="1:10" x14ac:dyDescent="0.2">
      <c r="A195" s="5"/>
      <c r="B195" s="1"/>
      <c r="C195" s="1"/>
      <c r="D195" s="1"/>
      <c r="E195" s="1"/>
      <c r="F195" s="1"/>
      <c r="G195" s="6"/>
      <c r="H195" s="7"/>
      <c r="I195" s="8"/>
      <c r="J195" s="1"/>
    </row>
    <row r="196" spans="1:10" x14ac:dyDescent="0.2">
      <c r="A196" s="5"/>
      <c r="B196" s="1"/>
      <c r="C196" s="1"/>
      <c r="D196" s="1"/>
      <c r="E196" s="1"/>
      <c r="F196" s="17"/>
      <c r="G196" s="6"/>
      <c r="H196" s="7"/>
      <c r="I196" s="8"/>
      <c r="J196" s="1"/>
    </row>
    <row r="197" spans="1:10" x14ac:dyDescent="0.2">
      <c r="A197" s="5"/>
      <c r="B197" s="1"/>
      <c r="C197" s="1"/>
      <c r="D197" s="1"/>
      <c r="E197" s="1"/>
      <c r="F197" s="1"/>
      <c r="G197" s="6"/>
      <c r="H197" s="7"/>
      <c r="I197" s="8"/>
      <c r="J197" s="1"/>
    </row>
    <row r="198" spans="1:10" x14ac:dyDescent="0.2">
      <c r="A198" s="5"/>
      <c r="B198" s="1"/>
      <c r="C198" s="1"/>
      <c r="D198" s="1"/>
      <c r="E198" s="1"/>
      <c r="F198" s="1"/>
      <c r="G198" s="6"/>
      <c r="H198" s="7"/>
      <c r="I198" s="8"/>
      <c r="J198" s="1"/>
    </row>
    <row r="199" spans="1:10" x14ac:dyDescent="0.2">
      <c r="A199" s="5"/>
      <c r="B199" s="1"/>
      <c r="C199" s="1"/>
      <c r="D199" s="1"/>
      <c r="E199" s="1"/>
      <c r="F199" s="1"/>
      <c r="G199" s="6"/>
      <c r="H199" s="7"/>
      <c r="I199" s="8"/>
      <c r="J199" s="1"/>
    </row>
    <row r="200" spans="1:10" x14ac:dyDescent="0.2">
      <c r="A200" s="5"/>
      <c r="B200" s="1"/>
      <c r="C200" s="1"/>
      <c r="D200" s="1"/>
      <c r="E200" s="1"/>
      <c r="F200" s="1"/>
      <c r="G200" s="6"/>
      <c r="H200" s="7"/>
      <c r="I200" s="8"/>
      <c r="J200" s="1"/>
    </row>
    <row r="201" spans="1:10" x14ac:dyDescent="0.2">
      <c r="A201" s="5"/>
      <c r="B201" s="1"/>
      <c r="C201" s="1"/>
      <c r="D201" s="1"/>
      <c r="E201" s="1"/>
      <c r="F201" s="1"/>
      <c r="G201" s="6"/>
      <c r="H201" s="7"/>
      <c r="I201" s="8"/>
      <c r="J201" s="1"/>
    </row>
    <row r="202" spans="1:10" x14ac:dyDescent="0.2">
      <c r="A202" s="5"/>
      <c r="B202" s="1"/>
      <c r="C202" s="1"/>
      <c r="D202" s="1"/>
      <c r="E202" s="1"/>
      <c r="F202" s="1"/>
      <c r="G202" s="6"/>
      <c r="H202" s="7"/>
      <c r="I202" s="8"/>
      <c r="J202" s="1"/>
    </row>
    <row r="203" spans="1:10" x14ac:dyDescent="0.2">
      <c r="A203" s="5"/>
      <c r="B203" s="1"/>
      <c r="C203" s="1"/>
      <c r="D203" s="1"/>
      <c r="E203" s="1"/>
      <c r="F203" s="1"/>
      <c r="G203" s="6"/>
      <c r="H203" s="7"/>
      <c r="I203" s="8"/>
      <c r="J203" s="1"/>
    </row>
    <row r="204" spans="1:10" x14ac:dyDescent="0.2">
      <c r="A204" s="5"/>
      <c r="B204" s="1"/>
      <c r="C204" s="1"/>
      <c r="D204" s="1"/>
      <c r="E204" s="1"/>
      <c r="F204" s="1"/>
      <c r="G204" s="6"/>
      <c r="H204" s="7"/>
      <c r="I204" s="8"/>
      <c r="J204" s="1"/>
    </row>
    <row r="205" spans="1:10" x14ac:dyDescent="0.2">
      <c r="A205" s="5"/>
      <c r="B205" s="1"/>
      <c r="C205" s="1"/>
      <c r="D205" s="1"/>
      <c r="E205" s="1"/>
      <c r="F205" s="1"/>
      <c r="G205" s="6"/>
      <c r="H205" s="7"/>
      <c r="I205" s="8"/>
      <c r="J205" s="1"/>
    </row>
    <row r="206" spans="1:10" x14ac:dyDescent="0.2">
      <c r="A206" s="5"/>
      <c r="B206" s="1"/>
      <c r="C206" s="1"/>
      <c r="D206" s="1"/>
      <c r="E206" s="1"/>
      <c r="F206" s="1"/>
      <c r="G206" s="6"/>
      <c r="H206" s="7"/>
      <c r="I206" s="8"/>
      <c r="J206" s="1"/>
    </row>
    <row r="207" spans="1:10" x14ac:dyDescent="0.2">
      <c r="A207" s="5"/>
      <c r="B207" s="1"/>
      <c r="C207" s="1"/>
      <c r="D207" s="1"/>
      <c r="E207" s="1"/>
      <c r="F207" s="1"/>
      <c r="G207" s="6"/>
      <c r="H207" s="7"/>
      <c r="I207" s="8"/>
      <c r="J207" s="1"/>
    </row>
    <row r="208" spans="1:10" x14ac:dyDescent="0.2">
      <c r="A208" s="5"/>
      <c r="B208" s="1"/>
      <c r="C208" s="1"/>
      <c r="D208" s="1"/>
      <c r="E208" s="1"/>
      <c r="F208" s="1"/>
      <c r="G208" s="6"/>
      <c r="H208" s="7"/>
      <c r="I208" s="8"/>
      <c r="J208" s="1"/>
    </row>
    <row r="209" spans="1:10" x14ac:dyDescent="0.2">
      <c r="A209" s="5"/>
      <c r="B209" s="1"/>
      <c r="C209" s="1"/>
      <c r="D209" s="1"/>
      <c r="E209" s="1"/>
      <c r="F209" s="1"/>
      <c r="G209" s="6"/>
      <c r="H209" s="7"/>
      <c r="I209" s="8"/>
      <c r="J209" s="1"/>
    </row>
    <row r="210" spans="1:10" x14ac:dyDescent="0.2">
      <c r="A210" s="5"/>
      <c r="B210" s="1"/>
      <c r="C210" s="1"/>
      <c r="D210" s="1"/>
      <c r="E210" s="1"/>
      <c r="F210" s="1"/>
      <c r="G210" s="6"/>
      <c r="H210" s="7"/>
      <c r="I210" s="8"/>
      <c r="J210" s="1"/>
    </row>
    <row r="211" spans="1:10" x14ac:dyDescent="0.2">
      <c r="A211" s="5"/>
      <c r="B211" s="1"/>
      <c r="C211" s="1"/>
      <c r="D211" s="1"/>
      <c r="E211" s="1"/>
      <c r="F211" s="1"/>
      <c r="G211" s="6"/>
      <c r="H211" s="7"/>
      <c r="I211" s="8"/>
      <c r="J211" s="1"/>
    </row>
    <row r="212" spans="1:10" x14ac:dyDescent="0.2">
      <c r="A212" s="5"/>
      <c r="B212" s="1"/>
      <c r="C212" s="1"/>
      <c r="D212" s="1"/>
      <c r="E212" s="1"/>
      <c r="F212" s="1"/>
      <c r="G212" s="6"/>
      <c r="H212" s="7"/>
      <c r="I212" s="8"/>
      <c r="J212" s="1"/>
    </row>
    <row r="213" spans="1:10" x14ac:dyDescent="0.2">
      <c r="A213" s="5"/>
      <c r="B213" s="1"/>
      <c r="C213" s="1"/>
      <c r="D213" s="1"/>
      <c r="E213" s="1"/>
      <c r="F213" s="1"/>
      <c r="G213" s="6"/>
      <c r="H213" s="7"/>
      <c r="I213" s="8"/>
      <c r="J213" s="1"/>
    </row>
    <row r="214" spans="1:10" x14ac:dyDescent="0.2">
      <c r="A214" s="5"/>
      <c r="B214" s="1"/>
      <c r="C214" s="1"/>
      <c r="D214" s="1"/>
      <c r="E214" s="1"/>
      <c r="F214" s="1"/>
      <c r="G214" s="6"/>
      <c r="H214" s="7"/>
      <c r="I214" s="8"/>
      <c r="J214" s="1"/>
    </row>
    <row r="215" spans="1:10" x14ac:dyDescent="0.2">
      <c r="A215" s="5"/>
      <c r="B215" s="1"/>
      <c r="C215" s="1"/>
      <c r="D215" s="1"/>
      <c r="E215" s="1"/>
      <c r="F215" s="1"/>
      <c r="G215" s="6"/>
      <c r="H215" s="7"/>
      <c r="I215" s="8"/>
      <c r="J215" s="1"/>
    </row>
    <row r="216" spans="1:10" x14ac:dyDescent="0.2">
      <c r="A216" s="5"/>
      <c r="B216" s="1"/>
      <c r="C216" s="1"/>
      <c r="D216" s="1"/>
      <c r="E216" s="1"/>
      <c r="F216" s="1"/>
      <c r="G216" s="6"/>
      <c r="H216" s="7"/>
      <c r="I216" s="8"/>
      <c r="J216" s="1"/>
    </row>
    <row r="217" spans="1:10" x14ac:dyDescent="0.2">
      <c r="A217" s="5"/>
      <c r="B217" s="1"/>
      <c r="C217" s="1"/>
      <c r="D217" s="1"/>
      <c r="E217" s="1"/>
      <c r="F217" s="1"/>
      <c r="G217" s="6"/>
      <c r="H217" s="7"/>
      <c r="I217" s="8"/>
      <c r="J217" s="1"/>
    </row>
    <row r="218" spans="1:10" x14ac:dyDescent="0.2">
      <c r="A218" s="5"/>
      <c r="B218" s="1"/>
      <c r="C218" s="1"/>
      <c r="D218" s="1"/>
      <c r="E218" s="1"/>
      <c r="F218" s="1"/>
      <c r="G218" s="6"/>
      <c r="H218" s="7"/>
      <c r="I218" s="8"/>
      <c r="J218" s="1"/>
    </row>
    <row r="219" spans="1:10" x14ac:dyDescent="0.2">
      <c r="A219" s="5"/>
      <c r="B219" s="1"/>
      <c r="C219" s="1"/>
      <c r="D219" s="1"/>
      <c r="E219" s="1"/>
      <c r="F219" s="1"/>
      <c r="G219" s="6"/>
      <c r="H219" s="7"/>
      <c r="I219" s="8"/>
      <c r="J219" s="1"/>
    </row>
    <row r="220" spans="1:10" x14ac:dyDescent="0.2">
      <c r="A220" s="5"/>
      <c r="B220" s="1"/>
      <c r="C220" s="1"/>
      <c r="D220" s="1"/>
      <c r="E220" s="1"/>
      <c r="F220" s="1"/>
      <c r="G220" s="6"/>
      <c r="H220" s="7"/>
      <c r="I220" s="8"/>
      <c r="J220" s="1"/>
    </row>
    <row r="221" spans="1:10" x14ac:dyDescent="0.2">
      <c r="A221" s="5"/>
      <c r="B221" s="1"/>
      <c r="C221" s="1"/>
      <c r="D221" s="1"/>
      <c r="E221" s="1"/>
      <c r="F221" s="1"/>
      <c r="G221" s="6"/>
      <c r="H221" s="7"/>
      <c r="I221" s="8"/>
      <c r="J221" s="1"/>
    </row>
    <row r="222" spans="1:10" x14ac:dyDescent="0.2">
      <c r="A222" s="5"/>
      <c r="B222" s="1"/>
      <c r="C222" s="1"/>
      <c r="D222" s="1"/>
      <c r="E222" s="1"/>
      <c r="F222" s="1"/>
      <c r="G222" s="6"/>
      <c r="H222" s="7"/>
      <c r="I222" s="8"/>
      <c r="J222" s="1"/>
    </row>
    <row r="223" spans="1:10" x14ac:dyDescent="0.2">
      <c r="A223" s="5"/>
      <c r="B223" s="1"/>
      <c r="C223" s="1"/>
      <c r="D223" s="1"/>
      <c r="E223" s="1"/>
      <c r="F223" s="1"/>
      <c r="G223" s="6"/>
      <c r="H223" s="7"/>
      <c r="I223" s="8"/>
      <c r="J223" s="1"/>
    </row>
    <row r="224" spans="1:10" x14ac:dyDescent="0.2">
      <c r="A224" s="5"/>
      <c r="B224" s="1"/>
      <c r="C224" s="1"/>
      <c r="D224" s="1"/>
      <c r="E224" s="1"/>
      <c r="F224" s="1"/>
      <c r="G224" s="6"/>
      <c r="H224" s="7"/>
      <c r="I224" s="8"/>
      <c r="J224" s="1"/>
    </row>
    <row r="225" spans="1:10" x14ac:dyDescent="0.2">
      <c r="A225" s="5"/>
      <c r="B225" s="1"/>
      <c r="C225" s="1"/>
      <c r="D225" s="1"/>
      <c r="E225" s="1"/>
      <c r="F225" s="1"/>
      <c r="G225" s="6"/>
      <c r="H225" s="7"/>
      <c r="I225" s="8"/>
      <c r="J225" s="1"/>
    </row>
    <row r="226" spans="1:10" x14ac:dyDescent="0.2">
      <c r="A226" s="5"/>
      <c r="B226" s="1"/>
      <c r="C226" s="1"/>
      <c r="D226" s="1"/>
      <c r="E226" s="1"/>
      <c r="F226" s="1"/>
      <c r="G226" s="6"/>
      <c r="H226" s="7"/>
      <c r="I226" s="8"/>
      <c r="J226" s="1"/>
    </row>
    <row r="227" spans="1:10" x14ac:dyDescent="0.2">
      <c r="A227" s="5"/>
      <c r="B227" s="1"/>
      <c r="C227" s="1"/>
      <c r="D227" s="1"/>
      <c r="E227" s="1"/>
      <c r="F227" s="1"/>
      <c r="G227" s="6"/>
      <c r="H227" s="7"/>
      <c r="I227" s="8"/>
      <c r="J227" s="1"/>
    </row>
    <row r="228" spans="1:10" x14ac:dyDescent="0.2">
      <c r="A228" s="5"/>
      <c r="B228" s="1"/>
      <c r="C228" s="1"/>
      <c r="D228" s="1"/>
      <c r="E228" s="1"/>
      <c r="F228" s="1"/>
      <c r="G228" s="6"/>
      <c r="H228" s="7"/>
      <c r="I228" s="8"/>
      <c r="J228" s="1"/>
    </row>
    <row r="229" spans="1:10" x14ac:dyDescent="0.2">
      <c r="A229" s="5"/>
      <c r="B229" s="17"/>
      <c r="C229" s="17"/>
      <c r="D229" s="1"/>
      <c r="E229" s="1"/>
      <c r="F229" s="17"/>
      <c r="G229" s="6"/>
      <c r="H229" s="7"/>
      <c r="I229" s="17"/>
      <c r="J229" s="17"/>
    </row>
    <row r="230" spans="1:10" x14ac:dyDescent="0.2">
      <c r="A230" s="5"/>
      <c r="B230" s="1"/>
      <c r="C230" s="1"/>
      <c r="D230" s="1"/>
      <c r="E230" s="1"/>
      <c r="F230" s="1"/>
      <c r="G230" s="6"/>
      <c r="H230" s="7"/>
      <c r="I230" s="8"/>
      <c r="J230" s="17"/>
    </row>
    <row r="231" spans="1:10" x14ac:dyDescent="0.2">
      <c r="A231" s="5"/>
      <c r="B231" s="1"/>
      <c r="C231" s="1"/>
      <c r="D231" s="1"/>
      <c r="E231" s="1"/>
      <c r="F231" s="1"/>
      <c r="G231" s="6"/>
      <c r="H231" s="7"/>
      <c r="I231" s="8"/>
      <c r="J231" s="17"/>
    </row>
    <row r="232" spans="1:10" x14ac:dyDescent="0.2">
      <c r="A232" s="5"/>
      <c r="B232" s="1"/>
      <c r="C232" s="1"/>
      <c r="D232" s="1"/>
      <c r="E232" s="1"/>
      <c r="F232" s="1"/>
      <c r="G232" s="6"/>
      <c r="H232" s="7"/>
      <c r="I232" s="8"/>
      <c r="J232" s="17"/>
    </row>
    <row r="233" spans="1:10" x14ac:dyDescent="0.2">
      <c r="A233" s="5"/>
      <c r="B233" s="1"/>
      <c r="C233" s="1"/>
      <c r="D233" s="1"/>
      <c r="E233" s="1"/>
      <c r="F233" s="1"/>
      <c r="G233" s="6"/>
      <c r="H233" s="7"/>
      <c r="I233" s="8"/>
      <c r="J233" s="17"/>
    </row>
    <row r="234" spans="1:10" x14ac:dyDescent="0.2">
      <c r="A234" s="5"/>
      <c r="B234" s="1"/>
      <c r="C234" s="1"/>
      <c r="D234" s="1"/>
      <c r="E234" s="1"/>
      <c r="F234" s="1"/>
      <c r="G234" s="6"/>
      <c r="H234" s="7"/>
      <c r="I234" s="8"/>
      <c r="J234" s="17"/>
    </row>
    <row r="235" spans="1:10" x14ac:dyDescent="0.2">
      <c r="A235" s="5"/>
      <c r="B235" s="1"/>
      <c r="C235" s="1"/>
      <c r="D235" s="1"/>
      <c r="E235" s="1"/>
      <c r="F235" s="1"/>
      <c r="G235" s="6"/>
      <c r="H235" s="7"/>
      <c r="I235" s="8"/>
      <c r="J235" s="17"/>
    </row>
  </sheetData>
  <autoFilter ref="A1:K194" xr:uid="{00000000-0009-0000-0000-000008000000}"/>
  <dataValidations count="6">
    <dataValidation type="list" allowBlank="1" showErrorMessage="1" sqref="D173:D175 D212" xr:uid="{00000000-0002-0000-08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35" xr:uid="{00000000-0002-0000-0800-000001000000}">
      <formula1>"LARGO,CORTO"</formula1>
    </dataValidation>
    <dataValidation type="list" allowBlank="1" showErrorMessage="1" sqref="E2:E235" xr:uid="{00000000-0002-0000-08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D106" xr:uid="{00000000-0002-0000-0800-000003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19" xr:uid="{00000000-0002-0000-0800-000004000000}">
      <formula1>"MOÑO,MOÑOS,CORBATÍN,PAÑOLETA,NO"</formula1>
    </dataValidation>
    <dataValidation type="list" allowBlank="1" showErrorMessage="1" sqref="D2:D105 D107:D172 D176:D211 D213:D235" xr:uid="{00000000-0002-0000-0800-000005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234"/>
  <sheetViews>
    <sheetView workbookViewId="0"/>
  </sheetViews>
  <sheetFormatPr baseColWidth="10" defaultColWidth="12.6640625" defaultRowHeight="15.75" customHeight="1" x14ac:dyDescent="0.15"/>
  <cols>
    <col min="1" max="1" width="12" customWidth="1"/>
    <col min="2" max="2" width="29.1640625" customWidth="1"/>
    <col min="3" max="3" width="19" customWidth="1"/>
    <col min="4" max="4" width="19.33203125" customWidth="1"/>
    <col min="5" max="5" width="26.83203125" customWidth="1"/>
    <col min="6" max="6" width="14" customWidth="1"/>
    <col min="7" max="7" width="15" customWidth="1"/>
    <col min="8" max="8" width="14" customWidth="1"/>
    <col min="9" max="9" width="10.5" customWidth="1"/>
    <col min="10" max="10" width="16.5" customWidth="1"/>
  </cols>
  <sheetData>
    <row r="1" spans="1:10" ht="16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spans="1:10" ht="16" x14ac:dyDescent="0.2">
      <c r="A2" s="5">
        <v>45931</v>
      </c>
      <c r="B2" s="1" t="s">
        <v>659</v>
      </c>
      <c r="C2" s="1" t="s">
        <v>389</v>
      </c>
      <c r="D2" s="1" t="s">
        <v>196</v>
      </c>
      <c r="E2" s="1" t="s">
        <v>94</v>
      </c>
      <c r="F2" s="1"/>
      <c r="G2" s="6" t="s">
        <v>14</v>
      </c>
      <c r="H2" s="7">
        <v>85000</v>
      </c>
      <c r="I2" s="8">
        <v>24.5</v>
      </c>
      <c r="J2" s="1" t="s">
        <v>15</v>
      </c>
    </row>
    <row r="3" spans="1:10" ht="16" x14ac:dyDescent="0.2">
      <c r="A3" s="5">
        <v>45931</v>
      </c>
      <c r="B3" s="1" t="s">
        <v>242</v>
      </c>
      <c r="C3" s="1" t="s">
        <v>243</v>
      </c>
      <c r="D3" s="1" t="s">
        <v>1229</v>
      </c>
      <c r="E3" s="1" t="s">
        <v>19</v>
      </c>
      <c r="F3" s="1"/>
      <c r="G3" s="6" t="s">
        <v>23</v>
      </c>
      <c r="H3" s="7">
        <v>20000</v>
      </c>
      <c r="I3" s="8"/>
      <c r="J3" s="1" t="s">
        <v>15</v>
      </c>
    </row>
    <row r="4" spans="1:10" ht="16" x14ac:dyDescent="0.2">
      <c r="A4" s="20">
        <v>45931</v>
      </c>
      <c r="B4" s="21" t="s">
        <v>1569</v>
      </c>
      <c r="C4" s="21" t="s">
        <v>868</v>
      </c>
      <c r="D4" s="21" t="s">
        <v>64</v>
      </c>
      <c r="E4" s="21" t="s">
        <v>19</v>
      </c>
      <c r="F4" s="21"/>
      <c r="G4" s="22" t="s">
        <v>23</v>
      </c>
      <c r="H4" s="23">
        <v>60000</v>
      </c>
      <c r="I4" s="24">
        <v>14.7</v>
      </c>
      <c r="J4" s="21" t="s">
        <v>15</v>
      </c>
    </row>
    <row r="5" spans="1:10" ht="16" x14ac:dyDescent="0.2">
      <c r="A5" s="5">
        <v>45931</v>
      </c>
      <c r="B5" s="1" t="s">
        <v>591</v>
      </c>
      <c r="C5" s="1" t="s">
        <v>592</v>
      </c>
      <c r="D5" s="1" t="s">
        <v>222</v>
      </c>
      <c r="E5" s="1" t="s">
        <v>792</v>
      </c>
      <c r="F5" s="1"/>
      <c r="G5" s="6" t="s">
        <v>23</v>
      </c>
      <c r="H5" s="7">
        <v>120000</v>
      </c>
      <c r="I5" s="8"/>
      <c r="J5" s="1" t="s">
        <v>160</v>
      </c>
    </row>
    <row r="6" spans="1:10" ht="16" x14ac:dyDescent="0.2">
      <c r="A6" s="5">
        <v>45931</v>
      </c>
      <c r="B6" s="1" t="s">
        <v>1477</v>
      </c>
      <c r="C6" s="1" t="s">
        <v>1106</v>
      </c>
      <c r="D6" s="1" t="s">
        <v>371</v>
      </c>
      <c r="E6" s="1" t="s">
        <v>19</v>
      </c>
      <c r="F6" s="1"/>
      <c r="G6" s="6" t="s">
        <v>23</v>
      </c>
      <c r="H6" s="7">
        <v>60000</v>
      </c>
      <c r="I6" s="8">
        <v>41</v>
      </c>
      <c r="J6" s="1" t="s">
        <v>15</v>
      </c>
    </row>
    <row r="7" spans="1:10" ht="16" x14ac:dyDescent="0.2">
      <c r="A7" s="5">
        <v>45931</v>
      </c>
      <c r="B7" s="1" t="s">
        <v>1570</v>
      </c>
      <c r="C7" s="1" t="s">
        <v>440</v>
      </c>
      <c r="D7" s="1" t="s">
        <v>131</v>
      </c>
      <c r="E7" s="1" t="s">
        <v>19</v>
      </c>
      <c r="F7" s="1"/>
      <c r="G7" s="6" t="s">
        <v>14</v>
      </c>
      <c r="H7" s="7">
        <v>85000</v>
      </c>
      <c r="I7" s="8">
        <v>35</v>
      </c>
      <c r="J7" s="1" t="s">
        <v>15</v>
      </c>
    </row>
    <row r="8" spans="1:10" ht="16" x14ac:dyDescent="0.2">
      <c r="A8" s="5">
        <v>45931</v>
      </c>
      <c r="B8" s="1" t="s">
        <v>781</v>
      </c>
      <c r="C8" s="1" t="s">
        <v>868</v>
      </c>
      <c r="D8" s="1" t="s">
        <v>340</v>
      </c>
      <c r="E8" s="1" t="s">
        <v>19</v>
      </c>
      <c r="F8" s="1"/>
      <c r="G8" s="6" t="s">
        <v>14</v>
      </c>
      <c r="H8" s="7">
        <v>35000</v>
      </c>
      <c r="I8" s="8">
        <v>1.7</v>
      </c>
      <c r="J8" s="1" t="s">
        <v>37</v>
      </c>
    </row>
    <row r="9" spans="1:10" ht="16" x14ac:dyDescent="0.2">
      <c r="A9" s="5">
        <v>45932</v>
      </c>
      <c r="B9" s="1" t="s">
        <v>1491</v>
      </c>
      <c r="C9" s="1" t="s">
        <v>447</v>
      </c>
      <c r="D9" s="1" t="s">
        <v>1229</v>
      </c>
      <c r="E9" s="1" t="s">
        <v>19</v>
      </c>
      <c r="F9" s="1"/>
      <c r="G9" s="6" t="s">
        <v>23</v>
      </c>
      <c r="H9" s="7">
        <v>30000</v>
      </c>
      <c r="I9" s="8">
        <v>3.6</v>
      </c>
      <c r="J9" s="1" t="s">
        <v>37</v>
      </c>
    </row>
    <row r="10" spans="1:10" ht="16" x14ac:dyDescent="0.2">
      <c r="A10" s="5">
        <v>45932</v>
      </c>
      <c r="B10" s="1" t="s">
        <v>823</v>
      </c>
      <c r="C10" s="1" t="s">
        <v>201</v>
      </c>
      <c r="D10" s="1" t="s">
        <v>26</v>
      </c>
      <c r="E10" s="1" t="s">
        <v>13</v>
      </c>
      <c r="F10" s="1"/>
      <c r="G10" s="6" t="s">
        <v>14</v>
      </c>
      <c r="H10" s="7">
        <v>85000</v>
      </c>
      <c r="I10" s="8">
        <v>7.6</v>
      </c>
      <c r="J10" s="1" t="s">
        <v>37</v>
      </c>
    </row>
    <row r="11" spans="1:10" ht="16" x14ac:dyDescent="0.2">
      <c r="A11" s="5">
        <v>45932</v>
      </c>
      <c r="B11" s="1" t="s">
        <v>694</v>
      </c>
      <c r="C11" s="1" t="s">
        <v>695</v>
      </c>
      <c r="D11" s="1" t="s">
        <v>131</v>
      </c>
      <c r="E11" s="1" t="s">
        <v>19</v>
      </c>
      <c r="F11" s="1"/>
      <c r="G11" s="6" t="s">
        <v>14</v>
      </c>
      <c r="H11" s="7">
        <v>80000</v>
      </c>
      <c r="I11" s="8">
        <v>35.799999999999997</v>
      </c>
      <c r="J11" s="1" t="s">
        <v>15</v>
      </c>
    </row>
    <row r="12" spans="1:10" ht="16" x14ac:dyDescent="0.2">
      <c r="A12" s="5">
        <v>45932</v>
      </c>
      <c r="B12" s="1" t="s">
        <v>497</v>
      </c>
      <c r="C12" s="1" t="s">
        <v>498</v>
      </c>
      <c r="D12" s="1" t="s">
        <v>26</v>
      </c>
      <c r="E12" s="1" t="s">
        <v>13</v>
      </c>
      <c r="F12" s="1"/>
      <c r="G12" s="6" t="s">
        <v>14</v>
      </c>
      <c r="H12" s="7">
        <v>75000</v>
      </c>
      <c r="I12" s="8">
        <v>4.5</v>
      </c>
      <c r="J12" s="1" t="s">
        <v>34</v>
      </c>
    </row>
    <row r="13" spans="1:10" ht="16" x14ac:dyDescent="0.2">
      <c r="A13" s="5">
        <v>45932</v>
      </c>
      <c r="B13" s="1" t="s">
        <v>1571</v>
      </c>
      <c r="C13" s="1" t="s">
        <v>1572</v>
      </c>
      <c r="D13" s="1" t="s">
        <v>229</v>
      </c>
      <c r="E13" s="1" t="s">
        <v>19</v>
      </c>
      <c r="F13" s="1"/>
      <c r="G13" s="6" t="s">
        <v>14</v>
      </c>
      <c r="H13" s="7">
        <v>85000</v>
      </c>
      <c r="I13" s="8"/>
      <c r="J13" s="1" t="s">
        <v>37</v>
      </c>
    </row>
    <row r="14" spans="1:10" ht="16" x14ac:dyDescent="0.2">
      <c r="A14" s="5">
        <v>45933</v>
      </c>
      <c r="B14" s="1" t="s">
        <v>1182</v>
      </c>
      <c r="C14" s="1" t="s">
        <v>764</v>
      </c>
      <c r="D14" s="1" t="s">
        <v>119</v>
      </c>
      <c r="E14" s="1" t="s">
        <v>19</v>
      </c>
      <c r="F14" s="1"/>
      <c r="G14" s="6" t="s">
        <v>14</v>
      </c>
      <c r="H14" s="7">
        <v>55000</v>
      </c>
      <c r="I14" s="8">
        <v>10.4</v>
      </c>
      <c r="J14" s="1"/>
    </row>
    <row r="15" spans="1:10" ht="16" x14ac:dyDescent="0.2">
      <c r="A15" s="5">
        <v>45933</v>
      </c>
      <c r="B15" s="21" t="s">
        <v>1573</v>
      </c>
      <c r="C15" s="21" t="s">
        <v>550</v>
      </c>
      <c r="D15" s="21" t="s">
        <v>12</v>
      </c>
      <c r="E15" s="21" t="s">
        <v>13</v>
      </c>
      <c r="F15" s="21"/>
      <c r="G15" s="22" t="s">
        <v>14</v>
      </c>
      <c r="H15" s="23">
        <v>80000</v>
      </c>
      <c r="I15" s="24"/>
      <c r="J15" s="21"/>
    </row>
    <row r="16" spans="1:10" ht="16" x14ac:dyDescent="0.2">
      <c r="A16" s="5">
        <v>45933</v>
      </c>
      <c r="B16" s="1" t="s">
        <v>1574</v>
      </c>
      <c r="C16" s="1" t="s">
        <v>51</v>
      </c>
      <c r="D16" s="1" t="s">
        <v>12</v>
      </c>
      <c r="E16" s="1" t="s">
        <v>13</v>
      </c>
      <c r="F16" s="1"/>
      <c r="G16" s="6" t="s">
        <v>14</v>
      </c>
      <c r="H16" s="7">
        <v>80000</v>
      </c>
      <c r="I16" s="8"/>
      <c r="J16" s="1"/>
    </row>
    <row r="17" spans="1:26" ht="16" x14ac:dyDescent="0.2">
      <c r="A17" s="5">
        <v>45933</v>
      </c>
      <c r="B17" s="1" t="s">
        <v>111</v>
      </c>
      <c r="C17" s="1" t="s">
        <v>398</v>
      </c>
      <c r="D17" s="1" t="s">
        <v>112</v>
      </c>
      <c r="E17" s="1" t="s">
        <v>113</v>
      </c>
      <c r="F17" s="1"/>
      <c r="G17" s="6" t="s">
        <v>14</v>
      </c>
      <c r="H17" s="7" t="s">
        <v>114</v>
      </c>
      <c r="I17" s="8"/>
      <c r="J17" s="1"/>
    </row>
    <row r="18" spans="1:26" ht="16" x14ac:dyDescent="0.2">
      <c r="A18" s="5">
        <v>45933</v>
      </c>
      <c r="B18" s="1" t="s">
        <v>115</v>
      </c>
      <c r="C18" s="1" t="s">
        <v>116</v>
      </c>
      <c r="D18" s="1" t="s">
        <v>32</v>
      </c>
      <c r="E18" s="1" t="s">
        <v>19</v>
      </c>
      <c r="F18" s="1"/>
      <c r="G18" s="6" t="s">
        <v>14</v>
      </c>
      <c r="H18" s="7">
        <v>68000</v>
      </c>
      <c r="I18" s="8">
        <v>4.9000000000000004</v>
      </c>
      <c r="J18" s="1"/>
    </row>
    <row r="19" spans="1:26" ht="16" x14ac:dyDescent="0.2">
      <c r="A19" s="5">
        <v>45934</v>
      </c>
      <c r="B19" s="1" t="s">
        <v>603</v>
      </c>
      <c r="C19" s="1" t="s">
        <v>172</v>
      </c>
      <c r="D19" s="1" t="s">
        <v>18</v>
      </c>
      <c r="E19" s="1" t="s">
        <v>13</v>
      </c>
      <c r="F19" s="1"/>
      <c r="G19" s="6" t="s">
        <v>14</v>
      </c>
      <c r="H19" s="7">
        <v>75000</v>
      </c>
      <c r="I19" s="8"/>
      <c r="J19" s="1"/>
    </row>
    <row r="20" spans="1:26" ht="16" x14ac:dyDescent="0.2">
      <c r="A20" s="5">
        <v>45934</v>
      </c>
      <c r="B20" s="1" t="s">
        <v>234</v>
      </c>
      <c r="C20" s="1" t="s">
        <v>235</v>
      </c>
      <c r="D20" s="1" t="s">
        <v>18</v>
      </c>
      <c r="E20" s="1" t="s">
        <v>13</v>
      </c>
      <c r="F20" s="1"/>
      <c r="G20" s="6" t="s">
        <v>14</v>
      </c>
      <c r="H20" s="7">
        <v>75000</v>
      </c>
      <c r="I20" s="8"/>
      <c r="J20" s="1"/>
    </row>
    <row r="21" spans="1:26" ht="16" x14ac:dyDescent="0.2">
      <c r="A21" s="5">
        <v>45934</v>
      </c>
      <c r="B21" s="1" t="s">
        <v>299</v>
      </c>
      <c r="C21" s="1" t="s">
        <v>1575</v>
      </c>
      <c r="D21" s="1" t="s">
        <v>18</v>
      </c>
      <c r="E21" s="1" t="s">
        <v>13</v>
      </c>
      <c r="F21" s="1"/>
      <c r="G21" s="6" t="s">
        <v>14</v>
      </c>
      <c r="H21" s="7">
        <v>70000</v>
      </c>
      <c r="I21" s="8"/>
      <c r="J21" s="1"/>
    </row>
    <row r="22" spans="1:26" ht="16" x14ac:dyDescent="0.2">
      <c r="A22" s="5">
        <v>45934</v>
      </c>
      <c r="B22" s="1" t="s">
        <v>1576</v>
      </c>
      <c r="C22" s="1" t="s">
        <v>940</v>
      </c>
      <c r="D22" s="1" t="s">
        <v>1229</v>
      </c>
      <c r="E22" s="1" t="s">
        <v>19</v>
      </c>
      <c r="F22" s="1"/>
      <c r="G22" s="6" t="s">
        <v>23</v>
      </c>
      <c r="H22" s="7">
        <v>30000</v>
      </c>
      <c r="I22" s="8"/>
      <c r="J22" s="1"/>
    </row>
    <row r="23" spans="1:26" ht="16" x14ac:dyDescent="0.2">
      <c r="A23" s="5">
        <v>45934</v>
      </c>
      <c r="B23" s="1" t="s">
        <v>158</v>
      </c>
      <c r="C23" s="1" t="s">
        <v>46</v>
      </c>
      <c r="D23" s="1" t="s">
        <v>1229</v>
      </c>
      <c r="E23" s="1" t="s">
        <v>19</v>
      </c>
      <c r="F23" s="1"/>
      <c r="G23" s="6" t="s">
        <v>23</v>
      </c>
      <c r="H23" s="7">
        <v>30000</v>
      </c>
      <c r="I23" s="8"/>
      <c r="J23" s="1"/>
    </row>
    <row r="24" spans="1:26" ht="16" x14ac:dyDescent="0.2">
      <c r="A24" s="5">
        <v>45934</v>
      </c>
      <c r="B24" s="1" t="s">
        <v>132</v>
      </c>
      <c r="C24" s="1" t="s">
        <v>36</v>
      </c>
      <c r="D24" s="1" t="s">
        <v>18</v>
      </c>
      <c r="E24" s="1" t="s">
        <v>19</v>
      </c>
      <c r="F24" s="1"/>
      <c r="G24" s="6" t="s">
        <v>14</v>
      </c>
      <c r="H24" s="7" t="s">
        <v>114</v>
      </c>
      <c r="I24" s="8"/>
      <c r="J24" s="1"/>
    </row>
    <row r="25" spans="1:26" ht="16" x14ac:dyDescent="0.2">
      <c r="A25" s="5">
        <v>45934</v>
      </c>
      <c r="B25" s="1" t="s">
        <v>129</v>
      </c>
      <c r="C25" s="1" t="s">
        <v>130</v>
      </c>
      <c r="D25" s="1" t="s">
        <v>131</v>
      </c>
      <c r="E25" s="1" t="s">
        <v>19</v>
      </c>
      <c r="F25" s="1"/>
      <c r="G25" s="6" t="s">
        <v>14</v>
      </c>
      <c r="H25" s="7" t="s">
        <v>114</v>
      </c>
      <c r="I25" s="8"/>
      <c r="J25" s="1"/>
    </row>
    <row r="26" spans="1:26" ht="16" x14ac:dyDescent="0.2">
      <c r="A26" s="5">
        <v>45934</v>
      </c>
      <c r="B26" s="1" t="s">
        <v>318</v>
      </c>
      <c r="C26" s="1" t="s">
        <v>77</v>
      </c>
      <c r="D26" s="1" t="s">
        <v>88</v>
      </c>
      <c r="E26" s="1" t="s">
        <v>19</v>
      </c>
      <c r="F26" s="1"/>
      <c r="G26" s="6" t="s">
        <v>14</v>
      </c>
      <c r="H26" s="7">
        <v>55000</v>
      </c>
      <c r="I26" s="8"/>
      <c r="J26" s="1"/>
    </row>
    <row r="27" spans="1:26" ht="16" x14ac:dyDescent="0.2">
      <c r="A27" s="5">
        <v>45934</v>
      </c>
      <c r="B27" s="1" t="s">
        <v>318</v>
      </c>
      <c r="C27" s="1" t="s">
        <v>1118</v>
      </c>
      <c r="D27" s="1" t="s">
        <v>88</v>
      </c>
      <c r="E27" s="1" t="s">
        <v>19</v>
      </c>
      <c r="F27" s="1"/>
      <c r="G27" s="6" t="s">
        <v>14</v>
      </c>
      <c r="H27" s="7">
        <v>50000</v>
      </c>
      <c r="I27" s="8"/>
      <c r="J27" s="1"/>
    </row>
    <row r="28" spans="1:26" ht="16" x14ac:dyDescent="0.2">
      <c r="A28" s="5">
        <v>45934</v>
      </c>
      <c r="B28" s="1" t="s">
        <v>318</v>
      </c>
      <c r="C28" s="1" t="s">
        <v>1119</v>
      </c>
      <c r="D28" s="1" t="s">
        <v>88</v>
      </c>
      <c r="E28" s="1" t="s">
        <v>19</v>
      </c>
      <c r="F28" s="1"/>
      <c r="G28" s="6" t="s">
        <v>14</v>
      </c>
      <c r="H28" s="7">
        <v>50000</v>
      </c>
      <c r="I28" s="8"/>
      <c r="J28" s="1"/>
    </row>
    <row r="29" spans="1:26" ht="16" x14ac:dyDescent="0.2">
      <c r="A29" s="20">
        <v>45934</v>
      </c>
      <c r="B29" s="21" t="s">
        <v>1577</v>
      </c>
      <c r="C29" s="21" t="s">
        <v>1547</v>
      </c>
      <c r="D29" s="21" t="s">
        <v>165</v>
      </c>
      <c r="E29" s="21" t="s">
        <v>13</v>
      </c>
      <c r="F29" s="21"/>
      <c r="G29" s="22" t="s">
        <v>14</v>
      </c>
      <c r="H29" s="23">
        <v>85000</v>
      </c>
      <c r="I29" s="24"/>
      <c r="J29" s="21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6" x14ac:dyDescent="0.2">
      <c r="A30" s="20">
        <v>45934</v>
      </c>
      <c r="B30" s="21" t="s">
        <v>1578</v>
      </c>
      <c r="C30" s="21" t="s">
        <v>11</v>
      </c>
      <c r="D30" s="21" t="s">
        <v>64</v>
      </c>
      <c r="E30" s="21" t="s">
        <v>13</v>
      </c>
      <c r="F30" s="21"/>
      <c r="G30" s="22" t="s">
        <v>14</v>
      </c>
      <c r="H30" s="23">
        <v>85000</v>
      </c>
      <c r="I30" s="24"/>
      <c r="J30" s="21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6" x14ac:dyDescent="0.2">
      <c r="A31" s="5">
        <v>45934</v>
      </c>
      <c r="B31" s="1" t="s">
        <v>605</v>
      </c>
      <c r="C31" s="1" t="s">
        <v>923</v>
      </c>
      <c r="D31" s="1" t="s">
        <v>64</v>
      </c>
      <c r="E31" s="1" t="s">
        <v>19</v>
      </c>
      <c r="F31" s="1"/>
      <c r="G31" s="6" t="s">
        <v>23</v>
      </c>
      <c r="H31" s="7">
        <v>60000</v>
      </c>
      <c r="I31" s="8"/>
      <c r="J31" s="1"/>
    </row>
    <row r="32" spans="1:26" ht="16" x14ac:dyDescent="0.2">
      <c r="A32" s="5">
        <v>45936</v>
      </c>
      <c r="B32" s="1" t="s">
        <v>381</v>
      </c>
      <c r="C32" s="1" t="s">
        <v>382</v>
      </c>
      <c r="D32" s="1" t="s">
        <v>165</v>
      </c>
      <c r="E32" s="1" t="s">
        <v>19</v>
      </c>
      <c r="F32" s="1"/>
      <c r="G32" s="6" t="s">
        <v>14</v>
      </c>
      <c r="H32" s="7">
        <v>65000</v>
      </c>
      <c r="I32" s="8"/>
      <c r="J32" s="1"/>
    </row>
    <row r="33" spans="1:26" ht="16" x14ac:dyDescent="0.2">
      <c r="A33" s="5">
        <v>45936</v>
      </c>
      <c r="B33" s="1" t="s">
        <v>197</v>
      </c>
      <c r="C33" s="1" t="s">
        <v>198</v>
      </c>
      <c r="D33" s="1" t="s">
        <v>64</v>
      </c>
      <c r="E33" s="1" t="s">
        <v>19</v>
      </c>
      <c r="F33" s="1"/>
      <c r="G33" s="6" t="s">
        <v>23</v>
      </c>
      <c r="H33" s="7">
        <v>70000</v>
      </c>
      <c r="I33" s="8"/>
      <c r="J33" s="1"/>
    </row>
    <row r="34" spans="1:26" ht="16" x14ac:dyDescent="0.2">
      <c r="A34" s="20">
        <v>45936</v>
      </c>
      <c r="B34" s="21" t="s">
        <v>1579</v>
      </c>
      <c r="C34" s="21" t="s">
        <v>825</v>
      </c>
      <c r="D34" s="21" t="s">
        <v>494</v>
      </c>
      <c r="E34" s="21" t="s">
        <v>828</v>
      </c>
      <c r="F34" s="21"/>
      <c r="G34" s="22" t="s">
        <v>23</v>
      </c>
      <c r="H34" s="23">
        <v>55000</v>
      </c>
      <c r="I34" s="24"/>
      <c r="J34" s="21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6" x14ac:dyDescent="0.2">
      <c r="A35" s="5">
        <v>45936</v>
      </c>
      <c r="B35" s="1" t="s">
        <v>1465</v>
      </c>
      <c r="C35" s="1" t="s">
        <v>398</v>
      </c>
      <c r="D35" s="1" t="s">
        <v>1229</v>
      </c>
      <c r="E35" s="1" t="s">
        <v>19</v>
      </c>
      <c r="F35" s="1"/>
      <c r="G35" s="6" t="s">
        <v>23</v>
      </c>
      <c r="H35" s="7">
        <v>30000</v>
      </c>
      <c r="I35" s="8">
        <v>2.9</v>
      </c>
      <c r="J35" s="1"/>
    </row>
    <row r="36" spans="1:26" ht="16" x14ac:dyDescent="0.2">
      <c r="A36" s="5">
        <v>45936</v>
      </c>
      <c r="B36" s="1" t="s">
        <v>1465</v>
      </c>
      <c r="C36" s="1" t="s">
        <v>1580</v>
      </c>
      <c r="D36" s="1" t="s">
        <v>1229</v>
      </c>
      <c r="E36" s="1" t="s">
        <v>19</v>
      </c>
      <c r="F36" s="1"/>
      <c r="G36" s="6" t="s">
        <v>23</v>
      </c>
      <c r="H36" s="7">
        <v>30000</v>
      </c>
      <c r="I36" s="8">
        <v>3.2</v>
      </c>
      <c r="J36" s="1" t="s">
        <v>15</v>
      </c>
    </row>
    <row r="37" spans="1:26" ht="16" x14ac:dyDescent="0.2">
      <c r="A37" s="5">
        <v>45936</v>
      </c>
      <c r="B37" s="1" t="s">
        <v>167</v>
      </c>
      <c r="C37" s="1" t="s">
        <v>168</v>
      </c>
      <c r="D37" s="1" t="s">
        <v>165</v>
      </c>
      <c r="E37" s="1" t="s">
        <v>13</v>
      </c>
      <c r="F37" s="1"/>
      <c r="G37" s="6" t="s">
        <v>14</v>
      </c>
      <c r="H37" s="7">
        <v>88000</v>
      </c>
      <c r="I37" s="8">
        <v>5.6</v>
      </c>
      <c r="J37" s="1" t="s">
        <v>15</v>
      </c>
    </row>
    <row r="38" spans="1:26" ht="16" x14ac:dyDescent="0.2">
      <c r="A38" s="5">
        <v>45937</v>
      </c>
      <c r="B38" s="1" t="s">
        <v>267</v>
      </c>
      <c r="C38" s="1" t="s">
        <v>268</v>
      </c>
      <c r="D38" s="1" t="s">
        <v>165</v>
      </c>
      <c r="E38" s="1" t="s">
        <v>13</v>
      </c>
      <c r="F38" s="1"/>
      <c r="G38" s="6" t="s">
        <v>14</v>
      </c>
      <c r="H38" s="7">
        <v>80000</v>
      </c>
      <c r="I38" s="8">
        <v>3.8</v>
      </c>
      <c r="J38" s="1"/>
    </row>
    <row r="39" spans="1:26" ht="16" x14ac:dyDescent="0.2">
      <c r="A39" s="5">
        <v>45937</v>
      </c>
      <c r="B39" s="1" t="s">
        <v>1581</v>
      </c>
      <c r="C39" s="1" t="s">
        <v>1582</v>
      </c>
      <c r="D39" s="1" t="s">
        <v>26</v>
      </c>
      <c r="E39" s="1" t="s">
        <v>13</v>
      </c>
      <c r="F39" s="1"/>
      <c r="G39" s="6" t="s">
        <v>14</v>
      </c>
      <c r="H39" s="7">
        <v>85000</v>
      </c>
      <c r="I39" s="8">
        <v>6.3</v>
      </c>
      <c r="J39" s="1"/>
    </row>
    <row r="40" spans="1:26" ht="16" x14ac:dyDescent="0.2">
      <c r="A40" s="5">
        <v>45937</v>
      </c>
      <c r="B40" s="1" t="s">
        <v>1583</v>
      </c>
      <c r="C40" s="1" t="s">
        <v>450</v>
      </c>
      <c r="D40" s="1" t="s">
        <v>64</v>
      </c>
      <c r="E40" s="1" t="s">
        <v>19</v>
      </c>
      <c r="F40" s="1"/>
      <c r="G40" s="6" t="s">
        <v>14</v>
      </c>
      <c r="H40" s="7">
        <v>40000</v>
      </c>
      <c r="I40" s="8">
        <v>6</v>
      </c>
      <c r="J40" s="1"/>
    </row>
    <row r="41" spans="1:26" ht="16" x14ac:dyDescent="0.2">
      <c r="A41" s="5">
        <v>45937</v>
      </c>
      <c r="B41" s="1" t="s">
        <v>1584</v>
      </c>
      <c r="C41" s="1" t="s">
        <v>401</v>
      </c>
      <c r="D41" s="1" t="s">
        <v>64</v>
      </c>
      <c r="E41" s="1" t="s">
        <v>19</v>
      </c>
      <c r="F41" s="1"/>
      <c r="G41" s="6" t="s">
        <v>23</v>
      </c>
      <c r="H41" s="7">
        <v>85000</v>
      </c>
      <c r="I41" s="8">
        <v>23.7</v>
      </c>
      <c r="J41" s="1" t="s">
        <v>15</v>
      </c>
    </row>
    <row r="42" spans="1:26" ht="16" x14ac:dyDescent="0.2">
      <c r="A42" s="5">
        <v>45937</v>
      </c>
      <c r="B42" s="1" t="s">
        <v>1092</v>
      </c>
      <c r="C42" s="1" t="s">
        <v>526</v>
      </c>
      <c r="D42" s="1" t="s">
        <v>22</v>
      </c>
      <c r="E42" s="1" t="s">
        <v>19</v>
      </c>
      <c r="F42" s="1"/>
      <c r="G42" s="6" t="s">
        <v>23</v>
      </c>
      <c r="H42" s="7">
        <v>55000</v>
      </c>
      <c r="I42" s="8">
        <v>10.1</v>
      </c>
      <c r="J42" s="1"/>
    </row>
    <row r="43" spans="1:26" ht="16" x14ac:dyDescent="0.2">
      <c r="A43" s="5">
        <v>45937</v>
      </c>
      <c r="B43" s="1" t="s">
        <v>846</v>
      </c>
      <c r="C43" s="1" t="s">
        <v>847</v>
      </c>
      <c r="D43" s="1" t="s">
        <v>18</v>
      </c>
      <c r="E43" s="1" t="s">
        <v>13</v>
      </c>
      <c r="F43" s="1"/>
      <c r="G43" s="6" t="s">
        <v>14</v>
      </c>
      <c r="H43" s="7">
        <v>80000</v>
      </c>
      <c r="I43" s="8">
        <v>14</v>
      </c>
      <c r="J43" s="1"/>
    </row>
    <row r="44" spans="1:26" ht="16" x14ac:dyDescent="0.2">
      <c r="A44" s="5">
        <v>45937</v>
      </c>
      <c r="B44" s="1" t="s">
        <v>1040</v>
      </c>
      <c r="C44" s="1" t="s">
        <v>1244</v>
      </c>
      <c r="D44" s="1" t="s">
        <v>119</v>
      </c>
      <c r="E44" s="1" t="s">
        <v>19</v>
      </c>
      <c r="F44" s="1"/>
      <c r="G44" s="6" t="s">
        <v>23</v>
      </c>
      <c r="H44" s="7">
        <v>60000</v>
      </c>
      <c r="I44" s="8">
        <v>13.6</v>
      </c>
      <c r="J44" s="1"/>
    </row>
    <row r="45" spans="1:26" ht="16" x14ac:dyDescent="0.2">
      <c r="A45" s="5">
        <v>45937</v>
      </c>
      <c r="B45" s="1" t="s">
        <v>1249</v>
      </c>
      <c r="C45" s="1" t="s">
        <v>890</v>
      </c>
      <c r="D45" s="1" t="s">
        <v>32</v>
      </c>
      <c r="E45" s="1" t="s">
        <v>19</v>
      </c>
      <c r="F45" s="1"/>
      <c r="G45" s="6" t="s">
        <v>14</v>
      </c>
      <c r="H45" s="7">
        <v>70000</v>
      </c>
      <c r="I45" s="8">
        <v>3.8</v>
      </c>
      <c r="J45" s="1"/>
    </row>
    <row r="46" spans="1:26" ht="16" x14ac:dyDescent="0.2">
      <c r="A46" s="5">
        <v>45938</v>
      </c>
      <c r="B46" s="1" t="s">
        <v>829</v>
      </c>
      <c r="C46" s="1" t="s">
        <v>1585</v>
      </c>
      <c r="D46" s="1" t="s">
        <v>12</v>
      </c>
      <c r="E46" s="1" t="s">
        <v>13</v>
      </c>
      <c r="F46" s="1"/>
      <c r="G46" s="6" t="s">
        <v>14</v>
      </c>
      <c r="H46" s="7">
        <v>85000</v>
      </c>
      <c r="I46" s="8">
        <v>6</v>
      </c>
      <c r="J46" s="1"/>
    </row>
    <row r="47" spans="1:26" ht="16" x14ac:dyDescent="0.2">
      <c r="A47" s="5">
        <v>45938</v>
      </c>
      <c r="B47" s="1" t="s">
        <v>1184</v>
      </c>
      <c r="C47" s="1" t="s">
        <v>46</v>
      </c>
      <c r="D47" s="1" t="s">
        <v>12</v>
      </c>
      <c r="E47" s="1" t="s">
        <v>13</v>
      </c>
      <c r="F47" s="1"/>
      <c r="G47" s="6" t="s">
        <v>14</v>
      </c>
      <c r="H47" s="7">
        <v>80000</v>
      </c>
      <c r="I47" s="8">
        <v>7.6</v>
      </c>
      <c r="J47" s="1"/>
    </row>
    <row r="48" spans="1:26" ht="16" x14ac:dyDescent="0.2">
      <c r="A48" s="5">
        <v>45938</v>
      </c>
      <c r="B48" s="1" t="s">
        <v>1324</v>
      </c>
      <c r="C48" s="1" t="s">
        <v>1201</v>
      </c>
      <c r="D48" s="1" t="s">
        <v>1202</v>
      </c>
      <c r="E48" s="1" t="s">
        <v>19</v>
      </c>
      <c r="F48" s="1"/>
      <c r="G48" s="6" t="s">
        <v>14</v>
      </c>
      <c r="H48" s="7">
        <v>95000</v>
      </c>
      <c r="I48" s="8">
        <v>38</v>
      </c>
      <c r="J48" s="1"/>
    </row>
    <row r="49" spans="1:26" ht="16" x14ac:dyDescent="0.2">
      <c r="A49" s="5">
        <v>45938</v>
      </c>
      <c r="B49" s="1" t="s">
        <v>1324</v>
      </c>
      <c r="C49" s="1" t="s">
        <v>249</v>
      </c>
      <c r="D49" s="1" t="s">
        <v>1202</v>
      </c>
      <c r="E49" s="1" t="s">
        <v>19</v>
      </c>
      <c r="F49" s="1"/>
      <c r="G49" s="6" t="s">
        <v>14</v>
      </c>
      <c r="H49" s="7">
        <v>95000</v>
      </c>
      <c r="I49" s="8">
        <v>32</v>
      </c>
      <c r="J49" s="1"/>
    </row>
    <row r="50" spans="1:26" ht="16" x14ac:dyDescent="0.2">
      <c r="A50" s="5">
        <v>45939</v>
      </c>
      <c r="B50" s="1" t="s">
        <v>62</v>
      </c>
      <c r="C50" s="1" t="s">
        <v>63</v>
      </c>
      <c r="D50" s="1" t="s">
        <v>64</v>
      </c>
      <c r="E50" s="1" t="s">
        <v>19</v>
      </c>
      <c r="F50" s="1"/>
      <c r="G50" s="6" t="s">
        <v>14</v>
      </c>
      <c r="H50" s="7">
        <v>70000</v>
      </c>
      <c r="I50" s="8"/>
      <c r="J50" s="1"/>
    </row>
    <row r="51" spans="1:26" ht="16" x14ac:dyDescent="0.2">
      <c r="A51" s="5">
        <v>45939</v>
      </c>
      <c r="B51" s="1" t="s">
        <v>1423</v>
      </c>
      <c r="C51" s="1" t="s">
        <v>110</v>
      </c>
      <c r="D51" s="1" t="s">
        <v>101</v>
      </c>
      <c r="E51" s="1" t="s">
        <v>13</v>
      </c>
      <c r="F51" s="1"/>
      <c r="G51" s="6" t="s">
        <v>14</v>
      </c>
      <c r="H51" s="7">
        <v>75000</v>
      </c>
      <c r="I51" s="8"/>
      <c r="J51" s="1"/>
    </row>
    <row r="52" spans="1:26" ht="16" x14ac:dyDescent="0.2">
      <c r="A52" s="5">
        <v>45939</v>
      </c>
      <c r="B52" s="1" t="s">
        <v>683</v>
      </c>
      <c r="C52" s="1" t="s">
        <v>572</v>
      </c>
      <c r="D52" s="1" t="s">
        <v>119</v>
      </c>
      <c r="E52" s="1" t="s">
        <v>19</v>
      </c>
      <c r="F52" s="1"/>
      <c r="G52" s="6" t="s">
        <v>23</v>
      </c>
      <c r="H52" s="7">
        <v>60000</v>
      </c>
      <c r="I52" s="8"/>
      <c r="J52" s="1"/>
    </row>
    <row r="53" spans="1:26" ht="16" x14ac:dyDescent="0.2">
      <c r="A53" s="5">
        <v>45939</v>
      </c>
      <c r="B53" s="1" t="s">
        <v>1586</v>
      </c>
      <c r="C53" s="1" t="s">
        <v>1587</v>
      </c>
      <c r="D53" s="1" t="s">
        <v>26</v>
      </c>
      <c r="E53" s="1" t="s">
        <v>19</v>
      </c>
      <c r="F53" s="1" t="s">
        <v>1588</v>
      </c>
      <c r="G53" s="6" t="s">
        <v>14</v>
      </c>
      <c r="H53" s="7">
        <v>60000</v>
      </c>
      <c r="I53" s="8">
        <v>6</v>
      </c>
      <c r="J53" s="1"/>
    </row>
    <row r="54" spans="1:26" ht="16" x14ac:dyDescent="0.2">
      <c r="A54" s="5">
        <v>45939</v>
      </c>
      <c r="B54" s="1" t="s">
        <v>1589</v>
      </c>
      <c r="C54" s="1" t="s">
        <v>1498</v>
      </c>
      <c r="D54" s="1" t="s">
        <v>64</v>
      </c>
      <c r="E54" s="1" t="s">
        <v>13</v>
      </c>
      <c r="F54" s="1"/>
      <c r="G54" s="6" t="s">
        <v>14</v>
      </c>
      <c r="H54" s="7">
        <v>80000</v>
      </c>
      <c r="I54" s="8">
        <v>3.4</v>
      </c>
      <c r="J54" s="1"/>
    </row>
    <row r="55" spans="1:26" ht="16" x14ac:dyDescent="0.2">
      <c r="A55" s="5">
        <v>45940</v>
      </c>
      <c r="B55" s="1" t="s">
        <v>1055</v>
      </c>
      <c r="C55" s="1" t="s">
        <v>882</v>
      </c>
      <c r="D55" s="1" t="s">
        <v>131</v>
      </c>
      <c r="E55" s="1" t="s">
        <v>19</v>
      </c>
      <c r="F55" s="1"/>
      <c r="G55" s="6" t="s">
        <v>14</v>
      </c>
      <c r="H55" s="7">
        <v>70000</v>
      </c>
      <c r="I55" s="8"/>
      <c r="J55" s="1"/>
    </row>
    <row r="56" spans="1:26" ht="16" x14ac:dyDescent="0.2">
      <c r="A56" s="5">
        <v>45940</v>
      </c>
      <c r="B56" s="1" t="s">
        <v>230</v>
      </c>
      <c r="C56" s="1" t="s">
        <v>808</v>
      </c>
      <c r="D56" s="1" t="s">
        <v>64</v>
      </c>
      <c r="E56" s="1" t="s">
        <v>13</v>
      </c>
      <c r="F56" s="1"/>
      <c r="G56" s="6" t="s">
        <v>14</v>
      </c>
      <c r="H56" s="7">
        <v>70000</v>
      </c>
      <c r="I56" s="8">
        <v>12.5</v>
      </c>
      <c r="J56" s="1"/>
    </row>
    <row r="57" spans="1:26" ht="16" x14ac:dyDescent="0.2">
      <c r="A57" s="5">
        <v>45940</v>
      </c>
      <c r="B57" s="1" t="s">
        <v>1590</v>
      </c>
      <c r="C57" s="1" t="s">
        <v>301</v>
      </c>
      <c r="D57" s="1" t="s">
        <v>101</v>
      </c>
      <c r="E57" s="1" t="s">
        <v>19</v>
      </c>
      <c r="F57" s="1"/>
      <c r="G57" s="6" t="s">
        <v>14</v>
      </c>
      <c r="H57" s="7">
        <v>65000</v>
      </c>
      <c r="I57" s="8">
        <v>3.7</v>
      </c>
      <c r="J57" s="1" t="s">
        <v>37</v>
      </c>
    </row>
    <row r="58" spans="1:26" ht="16" x14ac:dyDescent="0.2">
      <c r="A58" s="5">
        <v>45940</v>
      </c>
      <c r="B58" s="1" t="s">
        <v>1076</v>
      </c>
      <c r="C58" s="1" t="s">
        <v>198</v>
      </c>
      <c r="D58" s="1" t="s">
        <v>58</v>
      </c>
      <c r="E58" s="1" t="s">
        <v>59</v>
      </c>
      <c r="F58" s="1"/>
      <c r="G58" s="6" t="s">
        <v>14</v>
      </c>
      <c r="H58" s="7">
        <v>65000</v>
      </c>
      <c r="I58" s="8">
        <v>3.2</v>
      </c>
      <c r="J58" s="1"/>
    </row>
    <row r="59" spans="1:26" ht="16" x14ac:dyDescent="0.2">
      <c r="A59" s="5">
        <v>45940</v>
      </c>
      <c r="B59" s="1" t="s">
        <v>271</v>
      </c>
      <c r="C59" s="1" t="s">
        <v>1591</v>
      </c>
      <c r="D59" s="1" t="s">
        <v>26</v>
      </c>
      <c r="E59" s="1" t="s">
        <v>78</v>
      </c>
      <c r="F59" s="1"/>
      <c r="G59" s="6" t="s">
        <v>14</v>
      </c>
      <c r="H59" s="7">
        <v>70000</v>
      </c>
      <c r="I59" s="8">
        <v>4.0999999999999996</v>
      </c>
      <c r="J59" s="1"/>
    </row>
    <row r="60" spans="1:26" ht="16" x14ac:dyDescent="0.2">
      <c r="A60" s="5">
        <v>45940</v>
      </c>
      <c r="B60" s="1" t="s">
        <v>111</v>
      </c>
      <c r="C60" s="1" t="s">
        <v>63</v>
      </c>
      <c r="D60" s="1" t="s">
        <v>112</v>
      </c>
      <c r="E60" s="1" t="s">
        <v>19</v>
      </c>
      <c r="F60" s="1"/>
      <c r="G60" s="6" t="s">
        <v>14</v>
      </c>
      <c r="H60" s="7" t="s">
        <v>114</v>
      </c>
      <c r="I60" s="1"/>
      <c r="J60" s="1"/>
    </row>
    <row r="61" spans="1:26" ht="16" x14ac:dyDescent="0.2">
      <c r="A61" s="20">
        <v>45940</v>
      </c>
      <c r="B61" s="21" t="s">
        <v>1592</v>
      </c>
      <c r="C61" s="21" t="s">
        <v>1593</v>
      </c>
      <c r="D61" s="21" t="s">
        <v>32</v>
      </c>
      <c r="E61" s="21" t="s">
        <v>13</v>
      </c>
      <c r="F61" s="21"/>
      <c r="G61" s="22" t="s">
        <v>14</v>
      </c>
      <c r="H61" s="23">
        <v>75000</v>
      </c>
      <c r="I61" s="24">
        <v>3.3</v>
      </c>
      <c r="J61" s="21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6" x14ac:dyDescent="0.2">
      <c r="A62" s="5">
        <v>45940</v>
      </c>
      <c r="B62" s="1" t="s">
        <v>1594</v>
      </c>
      <c r="C62" s="1" t="s">
        <v>221</v>
      </c>
      <c r="D62" s="1" t="s">
        <v>360</v>
      </c>
      <c r="E62" s="1" t="s">
        <v>19</v>
      </c>
      <c r="F62" s="1"/>
      <c r="G62" s="6" t="s">
        <v>23</v>
      </c>
      <c r="H62" s="7">
        <v>70000</v>
      </c>
      <c r="I62" s="8"/>
      <c r="J62" s="1"/>
    </row>
    <row r="63" spans="1:26" ht="16" x14ac:dyDescent="0.2">
      <c r="A63" s="5">
        <v>45940</v>
      </c>
      <c r="B63" s="1"/>
      <c r="C63" s="1"/>
      <c r="D63" s="1"/>
      <c r="E63" s="1" t="s">
        <v>61</v>
      </c>
      <c r="F63" s="1"/>
      <c r="G63" s="6" t="s">
        <v>23</v>
      </c>
      <c r="H63" s="7">
        <v>15000</v>
      </c>
      <c r="I63" s="8"/>
      <c r="J63" s="1"/>
    </row>
    <row r="64" spans="1:26" ht="16" x14ac:dyDescent="0.2">
      <c r="A64" s="5">
        <v>45941</v>
      </c>
      <c r="B64" s="1" t="s">
        <v>67</v>
      </c>
      <c r="C64" s="1" t="s">
        <v>183</v>
      </c>
      <c r="D64" s="1" t="s">
        <v>26</v>
      </c>
      <c r="E64" s="1" t="s">
        <v>19</v>
      </c>
      <c r="F64" s="1"/>
      <c r="G64" s="6" t="s">
        <v>14</v>
      </c>
      <c r="H64" s="7">
        <v>65000</v>
      </c>
      <c r="I64" s="8"/>
      <c r="J64" s="1"/>
    </row>
    <row r="65" spans="1:26" ht="16" x14ac:dyDescent="0.2">
      <c r="A65" s="26">
        <v>45941</v>
      </c>
      <c r="B65" s="1" t="s">
        <v>1595</v>
      </c>
      <c r="C65" s="1" t="s">
        <v>245</v>
      </c>
      <c r="D65" s="1" t="s">
        <v>88</v>
      </c>
      <c r="E65" s="1" t="s">
        <v>19</v>
      </c>
      <c r="F65" s="1"/>
      <c r="G65" s="6" t="s">
        <v>14</v>
      </c>
      <c r="H65" s="7">
        <v>70000</v>
      </c>
      <c r="I65" s="8"/>
      <c r="J65" s="1"/>
    </row>
    <row r="66" spans="1:26" ht="16" x14ac:dyDescent="0.2">
      <c r="A66" s="20">
        <v>45941</v>
      </c>
      <c r="B66" s="21" t="s">
        <v>1596</v>
      </c>
      <c r="C66" s="21" t="s">
        <v>162</v>
      </c>
      <c r="D66" s="21" t="s">
        <v>88</v>
      </c>
      <c r="E66" s="21" t="s">
        <v>19</v>
      </c>
      <c r="F66" s="21"/>
      <c r="G66" s="22" t="s">
        <v>14</v>
      </c>
      <c r="H66" s="23" t="s">
        <v>114</v>
      </c>
      <c r="I66" s="24"/>
      <c r="J66" s="21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6" x14ac:dyDescent="0.2">
      <c r="A67" s="26">
        <v>45941</v>
      </c>
      <c r="B67" s="1" t="s">
        <v>132</v>
      </c>
      <c r="C67" s="1" t="s">
        <v>36</v>
      </c>
      <c r="D67" s="1" t="s">
        <v>18</v>
      </c>
      <c r="E67" s="1" t="s">
        <v>19</v>
      </c>
      <c r="F67" s="1"/>
      <c r="G67" s="6" t="s">
        <v>14</v>
      </c>
      <c r="H67" s="7" t="s">
        <v>114</v>
      </c>
      <c r="I67" s="8"/>
      <c r="J67" s="1"/>
    </row>
    <row r="68" spans="1:26" ht="16" x14ac:dyDescent="0.2">
      <c r="A68" s="5">
        <v>45941</v>
      </c>
      <c r="B68" s="1" t="s">
        <v>809</v>
      </c>
      <c r="C68" s="1" t="s">
        <v>21</v>
      </c>
      <c r="D68" s="1" t="s">
        <v>18</v>
      </c>
      <c r="E68" s="1" t="s">
        <v>13</v>
      </c>
      <c r="F68" s="1"/>
      <c r="G68" s="6" t="s">
        <v>14</v>
      </c>
      <c r="H68" s="7">
        <v>70000</v>
      </c>
      <c r="I68" s="8"/>
      <c r="J68" s="1"/>
    </row>
    <row r="69" spans="1:26" ht="16" x14ac:dyDescent="0.2">
      <c r="A69" s="26">
        <v>45941</v>
      </c>
      <c r="B69" s="1" t="s">
        <v>1258</v>
      </c>
      <c r="C69" s="1" t="s">
        <v>1259</v>
      </c>
      <c r="D69" s="1" t="s">
        <v>88</v>
      </c>
      <c r="E69" s="1" t="s">
        <v>13</v>
      </c>
      <c r="F69" s="1"/>
      <c r="G69" s="6" t="s">
        <v>14</v>
      </c>
      <c r="H69" s="7">
        <v>85000</v>
      </c>
      <c r="I69" s="8"/>
      <c r="J69" s="1"/>
    </row>
    <row r="70" spans="1:26" ht="16" x14ac:dyDescent="0.2">
      <c r="A70" s="5">
        <v>45941</v>
      </c>
      <c r="B70" s="1" t="s">
        <v>1597</v>
      </c>
      <c r="C70" s="1" t="s">
        <v>1587</v>
      </c>
      <c r="D70" s="1" t="s">
        <v>26</v>
      </c>
      <c r="E70" s="1" t="s">
        <v>1010</v>
      </c>
      <c r="F70" s="1"/>
      <c r="G70" s="6" t="s">
        <v>14</v>
      </c>
      <c r="H70" s="7">
        <v>60000</v>
      </c>
      <c r="I70" s="8"/>
      <c r="J70" s="1"/>
    </row>
    <row r="71" spans="1:26" ht="16" x14ac:dyDescent="0.2">
      <c r="A71" s="26">
        <v>45941</v>
      </c>
      <c r="B71" s="1" t="s">
        <v>883</v>
      </c>
      <c r="C71" s="1" t="s">
        <v>282</v>
      </c>
      <c r="D71" s="1" t="s">
        <v>494</v>
      </c>
      <c r="E71" s="1" t="s">
        <v>828</v>
      </c>
      <c r="F71" s="1"/>
      <c r="G71" s="6" t="s">
        <v>14</v>
      </c>
      <c r="H71" s="7">
        <v>55000</v>
      </c>
      <c r="I71" s="8"/>
      <c r="J71" s="1"/>
    </row>
    <row r="72" spans="1:26" ht="16" x14ac:dyDescent="0.2">
      <c r="A72" s="5">
        <v>45941</v>
      </c>
      <c r="B72" s="1"/>
      <c r="C72" s="1"/>
      <c r="D72" s="1"/>
      <c r="E72" s="1" t="s">
        <v>61</v>
      </c>
      <c r="F72" s="1"/>
      <c r="G72" s="6" t="s">
        <v>23</v>
      </c>
      <c r="H72" s="7">
        <v>10000</v>
      </c>
      <c r="I72" s="8"/>
      <c r="J72" s="1"/>
    </row>
    <row r="73" spans="1:26" ht="16" x14ac:dyDescent="0.2">
      <c r="A73" s="20">
        <v>45944</v>
      </c>
      <c r="B73" s="21" t="s">
        <v>1598</v>
      </c>
      <c r="C73" s="21" t="s">
        <v>1135</v>
      </c>
      <c r="D73" s="21" t="s">
        <v>26</v>
      </c>
      <c r="E73" s="21" t="s">
        <v>13</v>
      </c>
      <c r="F73" s="21"/>
      <c r="G73" s="22" t="s">
        <v>14</v>
      </c>
      <c r="H73" s="23">
        <v>85000</v>
      </c>
      <c r="I73" s="24">
        <v>5.6</v>
      </c>
      <c r="J73" s="21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6" x14ac:dyDescent="0.2">
      <c r="A74" s="5">
        <v>45944</v>
      </c>
      <c r="B74" s="1"/>
      <c r="C74" s="1"/>
      <c r="D74" s="1"/>
      <c r="E74" s="1" t="s">
        <v>61</v>
      </c>
      <c r="F74" s="1"/>
      <c r="G74" s="6" t="s">
        <v>23</v>
      </c>
      <c r="H74" s="7">
        <v>10000</v>
      </c>
      <c r="I74" s="8"/>
      <c r="J74" s="1" t="s">
        <v>160</v>
      </c>
    </row>
    <row r="75" spans="1:26" ht="16" x14ac:dyDescent="0.2">
      <c r="A75" s="5">
        <v>45944</v>
      </c>
      <c r="B75" s="1"/>
      <c r="C75" s="1"/>
      <c r="D75" s="1"/>
      <c r="E75" s="1" t="s">
        <v>61</v>
      </c>
      <c r="F75" s="1"/>
      <c r="G75" s="6" t="s">
        <v>23</v>
      </c>
      <c r="H75" s="7">
        <v>15000</v>
      </c>
      <c r="I75" s="8"/>
      <c r="J75" s="1" t="s">
        <v>160</v>
      </c>
    </row>
    <row r="76" spans="1:26" ht="16" x14ac:dyDescent="0.2">
      <c r="A76" s="5">
        <v>45945</v>
      </c>
      <c r="B76" s="1"/>
      <c r="C76" s="1"/>
      <c r="D76" s="1"/>
      <c r="E76" s="1" t="s">
        <v>61</v>
      </c>
      <c r="F76" s="1"/>
      <c r="G76" s="6" t="s">
        <v>23</v>
      </c>
      <c r="H76" s="7">
        <v>10000</v>
      </c>
      <c r="I76" s="8"/>
      <c r="J76" s="1" t="s">
        <v>160</v>
      </c>
    </row>
    <row r="77" spans="1:26" ht="16" x14ac:dyDescent="0.2">
      <c r="A77" s="5">
        <v>45945</v>
      </c>
      <c r="B77" s="1"/>
      <c r="C77" s="1"/>
      <c r="D77" s="1"/>
      <c r="E77" s="1" t="s">
        <v>61</v>
      </c>
      <c r="F77" s="1"/>
      <c r="G77" s="6" t="s">
        <v>23</v>
      </c>
      <c r="H77" s="7">
        <v>10000</v>
      </c>
      <c r="I77" s="8"/>
      <c r="J77" s="1" t="s">
        <v>160</v>
      </c>
    </row>
    <row r="78" spans="1:26" ht="16" x14ac:dyDescent="0.2">
      <c r="A78" s="5">
        <v>45946</v>
      </c>
      <c r="B78" s="1" t="s">
        <v>1008</v>
      </c>
      <c r="C78" s="1" t="s">
        <v>1009</v>
      </c>
      <c r="D78" s="1" t="s">
        <v>64</v>
      </c>
      <c r="E78" s="1" t="s">
        <v>19</v>
      </c>
      <c r="F78" s="1"/>
      <c r="G78" s="6" t="s">
        <v>14</v>
      </c>
      <c r="H78" s="7">
        <v>65000</v>
      </c>
      <c r="I78" s="8"/>
      <c r="J78" s="1" t="s">
        <v>37</v>
      </c>
    </row>
    <row r="79" spans="1:26" ht="16" x14ac:dyDescent="0.2">
      <c r="A79" s="5">
        <v>45946</v>
      </c>
      <c r="B79" s="1" t="s">
        <v>200</v>
      </c>
      <c r="C79" s="1" t="s">
        <v>201</v>
      </c>
      <c r="D79" s="1" t="s">
        <v>26</v>
      </c>
      <c r="E79" s="1" t="s">
        <v>19</v>
      </c>
      <c r="F79" s="1"/>
      <c r="G79" s="6" t="s">
        <v>14</v>
      </c>
      <c r="H79" s="7">
        <v>65000</v>
      </c>
      <c r="I79" s="8">
        <v>7.6</v>
      </c>
      <c r="J79" s="1" t="s">
        <v>15</v>
      </c>
    </row>
    <row r="80" spans="1:26" ht="16" x14ac:dyDescent="0.2">
      <c r="A80" s="26">
        <v>45946</v>
      </c>
      <c r="B80" s="1" t="s">
        <v>1599</v>
      </c>
      <c r="C80" s="1" t="s">
        <v>180</v>
      </c>
      <c r="D80" s="1" t="s">
        <v>88</v>
      </c>
      <c r="E80" s="1" t="s">
        <v>13</v>
      </c>
      <c r="F80" s="1"/>
      <c r="G80" s="6" t="s">
        <v>14</v>
      </c>
      <c r="H80" s="7">
        <v>80000</v>
      </c>
      <c r="I80" s="8">
        <v>7.9</v>
      </c>
      <c r="J80" s="1" t="s">
        <v>15</v>
      </c>
    </row>
    <row r="81" spans="1:26" ht="16" x14ac:dyDescent="0.2">
      <c r="A81" s="5">
        <v>45946</v>
      </c>
      <c r="B81" s="1" t="s">
        <v>1092</v>
      </c>
      <c r="C81" s="1" t="s">
        <v>526</v>
      </c>
      <c r="D81" s="1" t="s">
        <v>22</v>
      </c>
      <c r="E81" s="1" t="s">
        <v>19</v>
      </c>
      <c r="F81" s="1"/>
      <c r="G81" s="6" t="s">
        <v>23</v>
      </c>
      <c r="H81" s="7">
        <v>55000</v>
      </c>
      <c r="I81" s="8">
        <v>11</v>
      </c>
      <c r="J81" s="1" t="s">
        <v>37</v>
      </c>
    </row>
    <row r="82" spans="1:26" ht="16" x14ac:dyDescent="0.2">
      <c r="A82" s="5">
        <v>45946</v>
      </c>
      <c r="B82" s="1" t="s">
        <v>1147</v>
      </c>
      <c r="C82" s="1" t="s">
        <v>148</v>
      </c>
      <c r="D82" s="1" t="s">
        <v>32</v>
      </c>
      <c r="E82" s="1" t="s">
        <v>19</v>
      </c>
      <c r="F82" s="1"/>
      <c r="G82" s="6" t="s">
        <v>14</v>
      </c>
      <c r="H82" s="7">
        <v>65000</v>
      </c>
      <c r="I82" s="8">
        <v>4.7</v>
      </c>
      <c r="J82" s="1"/>
    </row>
    <row r="83" spans="1:26" ht="16" x14ac:dyDescent="0.2">
      <c r="A83" s="26">
        <v>45946</v>
      </c>
      <c r="B83" s="1" t="s">
        <v>1124</v>
      </c>
      <c r="C83" s="1" t="s">
        <v>842</v>
      </c>
      <c r="D83" s="1" t="s">
        <v>119</v>
      </c>
      <c r="E83" s="1" t="s">
        <v>19</v>
      </c>
      <c r="F83" s="1"/>
      <c r="G83" s="6" t="s">
        <v>23</v>
      </c>
      <c r="H83" s="7">
        <v>50000</v>
      </c>
      <c r="I83" s="8">
        <v>9.3000000000000007</v>
      </c>
      <c r="J83" s="1"/>
    </row>
    <row r="84" spans="1:26" ht="16" x14ac:dyDescent="0.2">
      <c r="A84" s="5">
        <v>45946</v>
      </c>
      <c r="B84" s="1" t="s">
        <v>999</v>
      </c>
      <c r="C84" s="1" t="s">
        <v>1000</v>
      </c>
      <c r="D84" s="1" t="s">
        <v>12</v>
      </c>
      <c r="E84" s="1" t="s">
        <v>13</v>
      </c>
      <c r="F84" s="1"/>
      <c r="G84" s="6" t="s">
        <v>14</v>
      </c>
      <c r="H84" s="7">
        <v>80000</v>
      </c>
      <c r="I84" s="8">
        <v>7.8</v>
      </c>
      <c r="J84" s="1"/>
    </row>
    <row r="85" spans="1:26" ht="16" x14ac:dyDescent="0.2">
      <c r="A85" s="5">
        <v>45946</v>
      </c>
      <c r="B85" s="1" t="s">
        <v>802</v>
      </c>
      <c r="C85" s="1" t="s">
        <v>803</v>
      </c>
      <c r="D85" s="1" t="s">
        <v>32</v>
      </c>
      <c r="E85" s="1" t="s">
        <v>19</v>
      </c>
      <c r="F85" s="1"/>
      <c r="G85" s="6" t="s">
        <v>14</v>
      </c>
      <c r="H85" s="7">
        <v>75000</v>
      </c>
      <c r="I85" s="8">
        <v>3.1</v>
      </c>
      <c r="J85" s="1"/>
    </row>
    <row r="86" spans="1:26" ht="16" x14ac:dyDescent="0.2">
      <c r="A86" s="5">
        <v>45946</v>
      </c>
      <c r="B86" s="1"/>
      <c r="C86" s="1"/>
      <c r="D86" s="1"/>
      <c r="E86" s="1" t="s">
        <v>61</v>
      </c>
      <c r="F86" s="1"/>
      <c r="G86" s="6"/>
      <c r="H86" s="7">
        <v>10000</v>
      </c>
      <c r="I86" s="8"/>
      <c r="J86" s="1"/>
    </row>
    <row r="87" spans="1:26" ht="16" x14ac:dyDescent="0.2">
      <c r="A87" s="20">
        <v>45946</v>
      </c>
      <c r="B87" s="21" t="s">
        <v>1600</v>
      </c>
      <c r="C87" s="21" t="s">
        <v>859</v>
      </c>
      <c r="D87" s="21" t="s">
        <v>18</v>
      </c>
      <c r="E87" s="21" t="s">
        <v>13</v>
      </c>
      <c r="F87" s="21"/>
      <c r="G87" s="22" t="s">
        <v>14</v>
      </c>
      <c r="H87" s="23">
        <v>85000</v>
      </c>
      <c r="I87" s="24"/>
      <c r="J87" s="21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6" x14ac:dyDescent="0.2">
      <c r="A88" s="5">
        <v>45946</v>
      </c>
      <c r="B88" s="1" t="s">
        <v>154</v>
      </c>
      <c r="C88" s="1" t="s">
        <v>155</v>
      </c>
      <c r="D88" s="1" t="s">
        <v>26</v>
      </c>
      <c r="E88" s="1" t="s">
        <v>19</v>
      </c>
      <c r="F88" s="1"/>
      <c r="G88" s="6" t="s">
        <v>14</v>
      </c>
      <c r="H88" s="7">
        <v>65000</v>
      </c>
      <c r="I88" s="8">
        <v>7.7</v>
      </c>
      <c r="J88" s="1"/>
    </row>
    <row r="89" spans="1:26" ht="16" x14ac:dyDescent="0.2">
      <c r="A89" s="5">
        <v>45947</v>
      </c>
      <c r="B89" s="1" t="s">
        <v>1356</v>
      </c>
      <c r="C89" s="1" t="s">
        <v>582</v>
      </c>
      <c r="D89" s="1" t="s">
        <v>131</v>
      </c>
      <c r="E89" s="1" t="s">
        <v>19</v>
      </c>
      <c r="F89" s="1"/>
      <c r="G89" s="6" t="s">
        <v>14</v>
      </c>
      <c r="H89" s="7">
        <v>85000</v>
      </c>
      <c r="I89" s="8"/>
      <c r="J89" s="1"/>
    </row>
    <row r="90" spans="1:26" ht="16" x14ac:dyDescent="0.2">
      <c r="A90" s="5"/>
      <c r="B90" s="1"/>
      <c r="C90" s="1"/>
      <c r="D90" s="1"/>
      <c r="E90" s="1" t="s">
        <v>61</v>
      </c>
      <c r="F90" s="1"/>
      <c r="G90" s="6" t="s">
        <v>23</v>
      </c>
      <c r="H90" s="7">
        <v>15000</v>
      </c>
      <c r="I90" s="8"/>
      <c r="J90" s="1"/>
    </row>
    <row r="91" spans="1:26" ht="16" x14ac:dyDescent="0.2">
      <c r="A91" s="5">
        <v>45947</v>
      </c>
      <c r="B91" s="1" t="s">
        <v>485</v>
      </c>
      <c r="C91" s="1" t="s">
        <v>486</v>
      </c>
      <c r="D91" s="1" t="s">
        <v>32</v>
      </c>
      <c r="E91" s="1" t="s">
        <v>19</v>
      </c>
      <c r="F91" s="1"/>
      <c r="G91" s="6" t="s">
        <v>14</v>
      </c>
      <c r="H91" s="7">
        <v>75000</v>
      </c>
      <c r="I91" s="8"/>
      <c r="J91" s="1"/>
    </row>
    <row r="92" spans="1:26" ht="16" x14ac:dyDescent="0.2">
      <c r="A92" s="5">
        <v>45947</v>
      </c>
      <c r="B92" s="1" t="s">
        <v>468</v>
      </c>
      <c r="C92" s="1" t="s">
        <v>469</v>
      </c>
      <c r="D92" s="1" t="s">
        <v>26</v>
      </c>
      <c r="E92" s="1" t="s">
        <v>13</v>
      </c>
      <c r="F92" s="1"/>
      <c r="G92" s="6" t="s">
        <v>14</v>
      </c>
      <c r="H92" s="7">
        <v>85000</v>
      </c>
      <c r="I92" s="8"/>
      <c r="J92" s="1"/>
    </row>
    <row r="93" spans="1:26" ht="16" x14ac:dyDescent="0.2">
      <c r="A93" s="5">
        <v>45947</v>
      </c>
      <c r="B93" s="1" t="s">
        <v>468</v>
      </c>
      <c r="C93" s="1" t="s">
        <v>401</v>
      </c>
      <c r="D93" s="1" t="s">
        <v>26</v>
      </c>
      <c r="E93" s="1" t="s">
        <v>13</v>
      </c>
      <c r="F93" s="1"/>
      <c r="G93" s="6" t="s">
        <v>14</v>
      </c>
      <c r="H93" s="7">
        <v>85000</v>
      </c>
      <c r="I93" s="8"/>
      <c r="J93" s="1"/>
    </row>
    <row r="94" spans="1:26" ht="16" x14ac:dyDescent="0.2">
      <c r="A94" s="5">
        <v>45947</v>
      </c>
      <c r="B94" s="1" t="s">
        <v>1530</v>
      </c>
      <c r="C94" s="1" t="s">
        <v>836</v>
      </c>
      <c r="D94" s="1" t="s">
        <v>119</v>
      </c>
      <c r="E94" s="1" t="s">
        <v>19</v>
      </c>
      <c r="F94" s="1"/>
      <c r="G94" s="6" t="s">
        <v>23</v>
      </c>
      <c r="H94" s="7">
        <v>50000</v>
      </c>
      <c r="I94" s="8"/>
      <c r="J94" s="1"/>
    </row>
    <row r="95" spans="1:26" ht="16" x14ac:dyDescent="0.2">
      <c r="A95" s="5">
        <v>45947</v>
      </c>
      <c r="B95" s="1" t="s">
        <v>397</v>
      </c>
      <c r="C95" s="1" t="s">
        <v>398</v>
      </c>
      <c r="D95" s="1" t="s">
        <v>112</v>
      </c>
      <c r="E95" s="1" t="s">
        <v>113</v>
      </c>
      <c r="F95" s="1"/>
      <c r="G95" s="6" t="s">
        <v>14</v>
      </c>
      <c r="H95" s="7"/>
      <c r="I95" s="8"/>
      <c r="J95" s="1"/>
    </row>
    <row r="96" spans="1:26" ht="16" x14ac:dyDescent="0.2">
      <c r="A96" s="5">
        <v>45947</v>
      </c>
      <c r="B96" s="1" t="s">
        <v>1601</v>
      </c>
      <c r="C96" s="1" t="s">
        <v>11</v>
      </c>
      <c r="D96" s="1" t="s">
        <v>88</v>
      </c>
      <c r="E96" s="1" t="s">
        <v>19</v>
      </c>
      <c r="F96" s="1"/>
      <c r="G96" s="6" t="s">
        <v>14</v>
      </c>
      <c r="H96" s="7">
        <v>65000</v>
      </c>
      <c r="I96" s="8"/>
      <c r="J96" s="1"/>
    </row>
    <row r="97" spans="1:26" ht="16" x14ac:dyDescent="0.2">
      <c r="A97" s="5">
        <v>45948</v>
      </c>
      <c r="B97" s="1" t="s">
        <v>263</v>
      </c>
      <c r="C97" s="1" t="s">
        <v>264</v>
      </c>
      <c r="D97" s="1" t="s">
        <v>88</v>
      </c>
      <c r="E97" s="1" t="s">
        <v>13</v>
      </c>
      <c r="F97" s="1"/>
      <c r="G97" s="6" t="s">
        <v>14</v>
      </c>
      <c r="H97" s="7">
        <v>85000</v>
      </c>
      <c r="I97" s="8"/>
      <c r="J97" s="1"/>
    </row>
    <row r="98" spans="1:26" ht="16" x14ac:dyDescent="0.2">
      <c r="A98" s="5">
        <v>45948</v>
      </c>
      <c r="B98" s="1" t="s">
        <v>924</v>
      </c>
      <c r="C98" s="1" t="s">
        <v>484</v>
      </c>
      <c r="D98" s="1" t="s">
        <v>131</v>
      </c>
      <c r="E98" s="1" t="s">
        <v>19</v>
      </c>
      <c r="F98" s="1"/>
      <c r="G98" s="6" t="s">
        <v>14</v>
      </c>
      <c r="H98" s="7"/>
      <c r="I98" s="8"/>
      <c r="J98" s="1"/>
    </row>
    <row r="99" spans="1:26" ht="16" x14ac:dyDescent="0.2">
      <c r="A99" s="5">
        <v>45948</v>
      </c>
      <c r="B99" s="1" t="s">
        <v>35</v>
      </c>
      <c r="C99" s="1" t="s">
        <v>36</v>
      </c>
      <c r="D99" s="1" t="s">
        <v>18</v>
      </c>
      <c r="E99" s="1" t="s">
        <v>13</v>
      </c>
      <c r="F99" s="1"/>
      <c r="G99" s="6" t="s">
        <v>14</v>
      </c>
      <c r="H99" s="7">
        <v>200000</v>
      </c>
      <c r="I99" s="8"/>
      <c r="J99" s="1"/>
    </row>
    <row r="100" spans="1:26" ht="16" x14ac:dyDescent="0.2">
      <c r="A100" s="20">
        <v>45948</v>
      </c>
      <c r="B100" s="21" t="s">
        <v>1602</v>
      </c>
      <c r="C100" s="21" t="s">
        <v>173</v>
      </c>
      <c r="D100" s="21" t="s">
        <v>307</v>
      </c>
      <c r="E100" s="21" t="s">
        <v>19</v>
      </c>
      <c r="F100" s="21"/>
      <c r="G100" s="22" t="s">
        <v>14</v>
      </c>
      <c r="H100" s="23">
        <v>100000</v>
      </c>
      <c r="I100" s="24"/>
      <c r="J100" s="21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6" x14ac:dyDescent="0.2">
      <c r="A101" s="5">
        <v>45948</v>
      </c>
      <c r="B101" s="1" t="s">
        <v>215</v>
      </c>
      <c r="C101" s="1" t="s">
        <v>216</v>
      </c>
      <c r="D101" s="1" t="s">
        <v>165</v>
      </c>
      <c r="E101" s="1" t="s">
        <v>13</v>
      </c>
      <c r="F101" s="1"/>
      <c r="G101" s="6" t="s">
        <v>14</v>
      </c>
      <c r="H101" s="7">
        <v>60000</v>
      </c>
      <c r="I101" s="8"/>
      <c r="J101" s="1"/>
    </row>
    <row r="102" spans="1:26" ht="16" x14ac:dyDescent="0.2">
      <c r="A102" s="5">
        <v>45948</v>
      </c>
      <c r="B102" s="1"/>
      <c r="C102" s="1" t="s">
        <v>15</v>
      </c>
      <c r="D102" s="1"/>
      <c r="E102" s="1"/>
      <c r="F102" s="1"/>
      <c r="G102" s="6"/>
      <c r="H102" s="7">
        <v>20000</v>
      </c>
      <c r="I102" s="8"/>
      <c r="J102" s="1"/>
    </row>
    <row r="103" spans="1:26" ht="16" x14ac:dyDescent="0.2">
      <c r="A103" s="5">
        <v>45948</v>
      </c>
      <c r="B103" s="1" t="s">
        <v>1490</v>
      </c>
      <c r="C103" s="1" t="s">
        <v>1417</v>
      </c>
      <c r="D103" s="1" t="s">
        <v>26</v>
      </c>
      <c r="E103" s="1" t="s">
        <v>1010</v>
      </c>
      <c r="F103" s="1"/>
      <c r="G103" s="6" t="s">
        <v>14</v>
      </c>
      <c r="H103" s="7">
        <v>70000</v>
      </c>
      <c r="I103" s="8"/>
      <c r="J103" s="1"/>
    </row>
    <row r="104" spans="1:26" ht="16" x14ac:dyDescent="0.2">
      <c r="A104" s="5">
        <v>45948</v>
      </c>
      <c r="B104" s="1" t="s">
        <v>922</v>
      </c>
      <c r="C104" s="15" t="s">
        <v>923</v>
      </c>
      <c r="D104" s="15" t="s">
        <v>64</v>
      </c>
      <c r="E104" s="15" t="s">
        <v>19</v>
      </c>
      <c r="F104" s="1"/>
      <c r="G104" s="6" t="s">
        <v>23</v>
      </c>
      <c r="H104" s="7">
        <v>60000</v>
      </c>
      <c r="I104" s="8"/>
      <c r="J104" s="1"/>
    </row>
    <row r="105" spans="1:26" ht="16" x14ac:dyDescent="0.2">
      <c r="A105" s="5">
        <v>45948</v>
      </c>
      <c r="B105" s="1" t="s">
        <v>1603</v>
      </c>
      <c r="C105" s="1" t="s">
        <v>189</v>
      </c>
      <c r="D105" s="1" t="s">
        <v>494</v>
      </c>
      <c r="E105" s="1" t="s">
        <v>828</v>
      </c>
      <c r="F105" s="1"/>
      <c r="G105" s="6" t="s">
        <v>23</v>
      </c>
      <c r="H105" s="7">
        <v>55000</v>
      </c>
      <c r="I105" s="8"/>
      <c r="J105" s="1"/>
    </row>
    <row r="106" spans="1:26" ht="16" x14ac:dyDescent="0.2">
      <c r="A106" s="5">
        <v>45948</v>
      </c>
      <c r="B106" s="1" t="s">
        <v>1604</v>
      </c>
      <c r="C106" s="1" t="s">
        <v>247</v>
      </c>
      <c r="D106" s="1" t="s">
        <v>1229</v>
      </c>
      <c r="E106" s="1" t="s">
        <v>19</v>
      </c>
      <c r="F106" s="1"/>
      <c r="G106" s="6" t="s">
        <v>23</v>
      </c>
      <c r="H106" s="7">
        <v>30000</v>
      </c>
      <c r="I106" s="8"/>
      <c r="J106" s="1"/>
    </row>
    <row r="107" spans="1:26" ht="16" x14ac:dyDescent="0.2">
      <c r="A107" s="5">
        <v>45948</v>
      </c>
      <c r="B107" s="1" t="s">
        <v>1604</v>
      </c>
      <c r="C107" s="1" t="s">
        <v>170</v>
      </c>
      <c r="D107" s="1" t="s">
        <v>1229</v>
      </c>
      <c r="E107" s="1" t="s">
        <v>19</v>
      </c>
      <c r="F107" s="1"/>
      <c r="G107" s="6" t="s">
        <v>23</v>
      </c>
      <c r="H107" s="7">
        <v>30000</v>
      </c>
      <c r="I107" s="8"/>
      <c r="J107" s="1"/>
    </row>
    <row r="108" spans="1:26" ht="16" x14ac:dyDescent="0.2">
      <c r="A108" s="5">
        <v>45948</v>
      </c>
      <c r="B108" s="1"/>
      <c r="C108" s="1"/>
      <c r="D108" s="1"/>
      <c r="E108" s="1" t="s">
        <v>61</v>
      </c>
      <c r="F108" s="1"/>
      <c r="G108" s="6" t="s">
        <v>23</v>
      </c>
      <c r="H108" s="7">
        <v>15000</v>
      </c>
      <c r="I108" s="8"/>
      <c r="J108" s="1"/>
    </row>
    <row r="109" spans="1:26" ht="16" x14ac:dyDescent="0.2">
      <c r="A109" s="5">
        <v>45948</v>
      </c>
      <c r="B109" s="1"/>
      <c r="C109" s="1"/>
      <c r="D109" s="1"/>
      <c r="E109" s="1" t="s">
        <v>61</v>
      </c>
      <c r="F109" s="1"/>
      <c r="G109" s="6" t="s">
        <v>23</v>
      </c>
      <c r="H109" s="7">
        <v>10000</v>
      </c>
      <c r="I109" s="8"/>
      <c r="J109" s="1"/>
    </row>
    <row r="110" spans="1:26" ht="16" x14ac:dyDescent="0.2">
      <c r="A110" s="5">
        <v>45948</v>
      </c>
      <c r="B110" s="1"/>
      <c r="C110" s="1"/>
      <c r="D110" s="1"/>
      <c r="E110" s="1" t="s">
        <v>61</v>
      </c>
      <c r="F110" s="1"/>
      <c r="G110" s="6" t="s">
        <v>23</v>
      </c>
      <c r="H110" s="7">
        <v>15000</v>
      </c>
      <c r="I110" s="8"/>
      <c r="J110" s="1"/>
    </row>
    <row r="111" spans="1:26" ht="16" x14ac:dyDescent="0.2">
      <c r="A111" s="5">
        <v>45950</v>
      </c>
      <c r="B111" s="1" t="s">
        <v>279</v>
      </c>
      <c r="C111" s="1" t="s">
        <v>287</v>
      </c>
      <c r="D111" s="1" t="s">
        <v>32</v>
      </c>
      <c r="E111" s="1" t="s">
        <v>13</v>
      </c>
      <c r="F111" s="1"/>
      <c r="G111" s="6" t="s">
        <v>14</v>
      </c>
      <c r="H111" s="7">
        <v>60000</v>
      </c>
      <c r="I111" s="8"/>
      <c r="J111" s="1" t="s">
        <v>37</v>
      </c>
    </row>
    <row r="112" spans="1:26" ht="16" x14ac:dyDescent="0.2">
      <c r="A112" s="20">
        <v>45950</v>
      </c>
      <c r="B112" s="21" t="s">
        <v>1605</v>
      </c>
      <c r="C112" s="21" t="s">
        <v>1606</v>
      </c>
      <c r="D112" s="21" t="s">
        <v>628</v>
      </c>
      <c r="E112" s="21" t="s">
        <v>19</v>
      </c>
      <c r="F112" s="21"/>
      <c r="G112" s="22" t="s">
        <v>23</v>
      </c>
      <c r="H112" s="23">
        <v>70000</v>
      </c>
      <c r="I112" s="24"/>
      <c r="J112" s="21" t="s">
        <v>37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6" x14ac:dyDescent="0.2">
      <c r="A113" s="5">
        <v>45951</v>
      </c>
      <c r="B113" s="1" t="s">
        <v>194</v>
      </c>
      <c r="C113" s="1" t="s">
        <v>195</v>
      </c>
      <c r="D113" s="1" t="s">
        <v>196</v>
      </c>
      <c r="E113" s="1" t="s">
        <v>19</v>
      </c>
      <c r="F113" s="1"/>
      <c r="G113" s="6" t="s">
        <v>14</v>
      </c>
      <c r="H113" s="7">
        <v>90000</v>
      </c>
      <c r="I113" s="8"/>
      <c r="J113" s="1" t="s">
        <v>37</v>
      </c>
    </row>
    <row r="114" spans="1:26" ht="16" x14ac:dyDescent="0.2">
      <c r="A114" s="5">
        <v>45951</v>
      </c>
      <c r="B114" s="1" t="s">
        <v>1072</v>
      </c>
      <c r="C114" s="1" t="s">
        <v>1073</v>
      </c>
      <c r="D114" s="1" t="s">
        <v>165</v>
      </c>
      <c r="E114" s="1" t="s">
        <v>13</v>
      </c>
      <c r="F114" s="1"/>
      <c r="G114" s="6" t="s">
        <v>14</v>
      </c>
      <c r="H114" s="7">
        <v>75000</v>
      </c>
      <c r="I114" s="8">
        <v>4.0999999999999996</v>
      </c>
      <c r="J114" s="1" t="s">
        <v>15</v>
      </c>
    </row>
    <row r="115" spans="1:26" ht="16" x14ac:dyDescent="0.2">
      <c r="A115" s="5">
        <v>45951</v>
      </c>
      <c r="B115" s="1" t="s">
        <v>1453</v>
      </c>
      <c r="C115" s="1" t="s">
        <v>1417</v>
      </c>
      <c r="D115" s="1" t="s">
        <v>26</v>
      </c>
      <c r="E115" s="1" t="s">
        <v>1010</v>
      </c>
      <c r="F115" s="1"/>
      <c r="G115" s="6" t="s">
        <v>14</v>
      </c>
      <c r="H115" s="7">
        <v>70000</v>
      </c>
      <c r="I115" s="8">
        <v>5.9</v>
      </c>
      <c r="J115" s="1" t="s">
        <v>15</v>
      </c>
    </row>
    <row r="116" spans="1:26" ht="16" x14ac:dyDescent="0.2">
      <c r="A116" s="5">
        <v>45951</v>
      </c>
      <c r="B116" s="1" t="s">
        <v>1553</v>
      </c>
      <c r="C116" s="1" t="s">
        <v>31</v>
      </c>
      <c r="D116" s="1" t="s">
        <v>26</v>
      </c>
      <c r="E116" s="1" t="s">
        <v>19</v>
      </c>
      <c r="F116" s="1"/>
      <c r="G116" s="6" t="s">
        <v>14</v>
      </c>
      <c r="H116" s="7">
        <v>75000</v>
      </c>
      <c r="I116" s="8">
        <v>3.1</v>
      </c>
      <c r="J116" s="1" t="s">
        <v>34</v>
      </c>
    </row>
    <row r="117" spans="1:26" ht="16" x14ac:dyDescent="0.2">
      <c r="A117" s="5">
        <v>45951</v>
      </c>
      <c r="B117" s="1" t="s">
        <v>1607</v>
      </c>
      <c r="C117" s="1" t="s">
        <v>282</v>
      </c>
      <c r="D117" s="1" t="s">
        <v>371</v>
      </c>
      <c r="E117" s="1" t="s">
        <v>19</v>
      </c>
      <c r="F117" s="1"/>
      <c r="G117" s="6" t="s">
        <v>23</v>
      </c>
      <c r="H117" s="7">
        <v>70000</v>
      </c>
      <c r="I117" s="8"/>
      <c r="J117" s="1" t="s">
        <v>15</v>
      </c>
    </row>
    <row r="118" spans="1:26" ht="16" x14ac:dyDescent="0.2">
      <c r="A118" s="5">
        <v>45951</v>
      </c>
      <c r="B118" s="1" t="s">
        <v>1608</v>
      </c>
      <c r="C118" s="1" t="s">
        <v>1609</v>
      </c>
      <c r="D118" s="1" t="s">
        <v>64</v>
      </c>
      <c r="E118" s="1" t="s">
        <v>792</v>
      </c>
      <c r="F118" s="1"/>
      <c r="G118" s="6" t="s">
        <v>23</v>
      </c>
      <c r="H118" s="7">
        <v>120000</v>
      </c>
      <c r="I118" s="8"/>
      <c r="J118" s="1" t="s">
        <v>160</v>
      </c>
    </row>
    <row r="119" spans="1:26" ht="16" x14ac:dyDescent="0.2">
      <c r="A119" s="5">
        <v>45952</v>
      </c>
      <c r="B119" s="1" t="s">
        <v>899</v>
      </c>
      <c r="C119" s="1" t="s">
        <v>695</v>
      </c>
      <c r="D119" s="1" t="s">
        <v>131</v>
      </c>
      <c r="E119" s="1" t="s">
        <v>19</v>
      </c>
      <c r="F119" s="1"/>
      <c r="G119" s="6" t="s">
        <v>14</v>
      </c>
      <c r="H119" s="7">
        <v>80000</v>
      </c>
      <c r="I119" s="8">
        <v>36</v>
      </c>
      <c r="J119" s="1" t="s">
        <v>37</v>
      </c>
    </row>
    <row r="120" spans="1:26" ht="16" x14ac:dyDescent="0.2">
      <c r="A120" s="5">
        <v>45952</v>
      </c>
      <c r="B120" s="1" t="s">
        <v>759</v>
      </c>
      <c r="C120" s="1" t="s">
        <v>760</v>
      </c>
      <c r="D120" s="1" t="s">
        <v>26</v>
      </c>
      <c r="E120" s="1" t="s">
        <v>19</v>
      </c>
      <c r="F120" s="1"/>
      <c r="G120" s="6" t="s">
        <v>14</v>
      </c>
      <c r="H120" s="7">
        <v>75000</v>
      </c>
      <c r="I120" s="8">
        <v>10.5</v>
      </c>
      <c r="J120" s="1" t="s">
        <v>15</v>
      </c>
    </row>
    <row r="121" spans="1:26" ht="16" x14ac:dyDescent="0.2">
      <c r="A121" s="5">
        <v>45952</v>
      </c>
      <c r="B121" s="1" t="s">
        <v>369</v>
      </c>
      <c r="C121" s="1" t="s">
        <v>370</v>
      </c>
      <c r="D121" s="1" t="s">
        <v>371</v>
      </c>
      <c r="E121" s="1" t="s">
        <v>19</v>
      </c>
      <c r="F121" s="1"/>
      <c r="G121" s="6" t="s">
        <v>23</v>
      </c>
      <c r="H121" s="7">
        <v>70000</v>
      </c>
      <c r="I121" s="8">
        <v>25.1</v>
      </c>
      <c r="J121" s="1" t="s">
        <v>15</v>
      </c>
    </row>
    <row r="122" spans="1:26" ht="16" x14ac:dyDescent="0.2">
      <c r="A122" s="20">
        <v>45952</v>
      </c>
      <c r="B122" s="21" t="s">
        <v>1610</v>
      </c>
      <c r="C122" s="21" t="s">
        <v>44</v>
      </c>
      <c r="D122" s="21" t="s">
        <v>32</v>
      </c>
      <c r="E122" s="21" t="s">
        <v>13</v>
      </c>
      <c r="F122" s="21"/>
      <c r="G122" s="22" t="s">
        <v>14</v>
      </c>
      <c r="H122" s="23">
        <v>75000</v>
      </c>
      <c r="I122" s="24">
        <v>4.9000000000000004</v>
      </c>
      <c r="J122" s="21" t="s">
        <v>15</v>
      </c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6" x14ac:dyDescent="0.2">
      <c r="A123" s="5">
        <v>45953</v>
      </c>
      <c r="B123" s="1" t="s">
        <v>344</v>
      </c>
      <c r="C123" s="1" t="s">
        <v>31</v>
      </c>
      <c r="D123" s="1" t="s">
        <v>64</v>
      </c>
      <c r="E123" s="1" t="s">
        <v>19</v>
      </c>
      <c r="F123" s="1"/>
      <c r="G123" s="6" t="s">
        <v>23</v>
      </c>
      <c r="H123" s="7">
        <v>60000</v>
      </c>
      <c r="I123" s="8">
        <v>13.2</v>
      </c>
      <c r="J123" s="1" t="s">
        <v>37</v>
      </c>
    </row>
    <row r="124" spans="1:26" ht="16" x14ac:dyDescent="0.2">
      <c r="A124" s="5">
        <v>45953</v>
      </c>
      <c r="B124" s="1" t="s">
        <v>344</v>
      </c>
      <c r="C124" s="1" t="s">
        <v>25</v>
      </c>
      <c r="D124" s="1" t="s">
        <v>26</v>
      </c>
      <c r="E124" s="1" t="s">
        <v>19</v>
      </c>
      <c r="F124" s="1"/>
      <c r="G124" s="6" t="s">
        <v>14</v>
      </c>
      <c r="H124" s="7">
        <v>65000</v>
      </c>
      <c r="I124" s="8">
        <v>7.4</v>
      </c>
      <c r="J124" s="1" t="s">
        <v>15</v>
      </c>
    </row>
    <row r="125" spans="1:26" ht="16" x14ac:dyDescent="0.2">
      <c r="A125" s="5">
        <v>45953</v>
      </c>
      <c r="B125" s="1" t="s">
        <v>1611</v>
      </c>
      <c r="C125" s="1" t="s">
        <v>1612</v>
      </c>
      <c r="D125" s="1" t="s">
        <v>64</v>
      </c>
      <c r="E125" s="1" t="s">
        <v>792</v>
      </c>
      <c r="F125" s="1"/>
      <c r="G125" s="6" t="s">
        <v>23</v>
      </c>
      <c r="H125" s="7">
        <v>120000</v>
      </c>
      <c r="I125" s="8">
        <v>17.3</v>
      </c>
      <c r="J125" s="1" t="s">
        <v>160</v>
      </c>
    </row>
    <row r="126" spans="1:26" ht="16" x14ac:dyDescent="0.2">
      <c r="A126" s="5">
        <v>45953</v>
      </c>
      <c r="B126" s="1" t="s">
        <v>976</v>
      </c>
      <c r="C126" s="1" t="s">
        <v>1468</v>
      </c>
      <c r="D126" s="1" t="s">
        <v>32</v>
      </c>
      <c r="E126" s="1" t="s">
        <v>19</v>
      </c>
      <c r="F126" s="1"/>
      <c r="G126" s="6" t="s">
        <v>14</v>
      </c>
      <c r="H126" s="7">
        <v>75000</v>
      </c>
      <c r="I126" s="8">
        <v>2.5</v>
      </c>
      <c r="J126" s="1" t="s">
        <v>34</v>
      </c>
    </row>
    <row r="127" spans="1:26" ht="16" x14ac:dyDescent="0.2">
      <c r="A127" s="5">
        <v>45953</v>
      </c>
      <c r="B127" s="1" t="s">
        <v>985</v>
      </c>
      <c r="C127" s="1" t="s">
        <v>1512</v>
      </c>
      <c r="D127" s="1" t="s">
        <v>18</v>
      </c>
      <c r="E127" s="1" t="s">
        <v>13</v>
      </c>
      <c r="F127" s="1"/>
      <c r="G127" s="6" t="s">
        <v>14</v>
      </c>
      <c r="H127" s="7">
        <v>80000</v>
      </c>
      <c r="I127" s="8">
        <v>17.8</v>
      </c>
      <c r="J127" s="1" t="s">
        <v>37</v>
      </c>
    </row>
    <row r="128" spans="1:26" ht="16" x14ac:dyDescent="0.2">
      <c r="A128" s="5">
        <v>45953</v>
      </c>
      <c r="B128" s="1" t="s">
        <v>941</v>
      </c>
      <c r="C128" s="1" t="s">
        <v>93</v>
      </c>
      <c r="D128" s="1" t="s">
        <v>88</v>
      </c>
      <c r="E128" s="1" t="s">
        <v>13</v>
      </c>
      <c r="F128" s="1"/>
      <c r="G128" s="6" t="s">
        <v>14</v>
      </c>
      <c r="H128" s="7">
        <v>70000</v>
      </c>
      <c r="I128" s="8">
        <v>5.7</v>
      </c>
      <c r="J128" s="1" t="s">
        <v>15</v>
      </c>
    </row>
    <row r="129" spans="1:26" ht="16" x14ac:dyDescent="0.2">
      <c r="A129" s="5">
        <v>45953</v>
      </c>
      <c r="B129" s="1" t="s">
        <v>1613</v>
      </c>
      <c r="C129" s="1" t="s">
        <v>1614</v>
      </c>
      <c r="D129" s="1" t="s">
        <v>494</v>
      </c>
      <c r="E129" s="1" t="s">
        <v>59</v>
      </c>
      <c r="F129" s="1"/>
      <c r="G129" s="6" t="s">
        <v>14</v>
      </c>
      <c r="H129" s="7">
        <v>75000</v>
      </c>
      <c r="I129" s="8">
        <v>3.4</v>
      </c>
      <c r="J129" s="1" t="s">
        <v>15</v>
      </c>
    </row>
    <row r="130" spans="1:26" ht="16" x14ac:dyDescent="0.2">
      <c r="A130" s="5">
        <v>45953</v>
      </c>
      <c r="B130" s="1" t="s">
        <v>584</v>
      </c>
      <c r="C130" s="1" t="s">
        <v>526</v>
      </c>
      <c r="D130" s="1" t="s">
        <v>22</v>
      </c>
      <c r="E130" s="1" t="s">
        <v>19</v>
      </c>
      <c r="F130" s="1"/>
      <c r="G130" s="6" t="s">
        <v>23</v>
      </c>
      <c r="H130" s="7">
        <v>55000</v>
      </c>
      <c r="I130" s="8"/>
      <c r="J130" s="1" t="s">
        <v>37</v>
      </c>
    </row>
    <row r="131" spans="1:26" ht="16" x14ac:dyDescent="0.2">
      <c r="A131" s="20">
        <v>45954</v>
      </c>
      <c r="B131" s="21" t="s">
        <v>1615</v>
      </c>
      <c r="C131" s="21" t="s">
        <v>118</v>
      </c>
      <c r="D131" s="21" t="s">
        <v>131</v>
      </c>
      <c r="E131" s="21" t="s">
        <v>19</v>
      </c>
      <c r="F131" s="21"/>
      <c r="G131" s="22" t="s">
        <v>14</v>
      </c>
      <c r="H131" s="23">
        <v>90000</v>
      </c>
      <c r="I131" s="24"/>
      <c r="J131" s="21" t="s">
        <v>37</v>
      </c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6" x14ac:dyDescent="0.2">
      <c r="A132" s="20">
        <v>45954</v>
      </c>
      <c r="B132" s="21" t="s">
        <v>1615</v>
      </c>
      <c r="C132" s="21" t="s">
        <v>1616</v>
      </c>
      <c r="D132" s="21" t="s">
        <v>131</v>
      </c>
      <c r="E132" s="21" t="s">
        <v>19</v>
      </c>
      <c r="F132" s="21"/>
      <c r="G132" s="22" t="s">
        <v>14</v>
      </c>
      <c r="H132" s="23">
        <v>120000</v>
      </c>
      <c r="I132" s="24"/>
      <c r="J132" s="21" t="s">
        <v>15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6" x14ac:dyDescent="0.2">
      <c r="A133" s="5">
        <v>45954</v>
      </c>
      <c r="B133" s="1" t="s">
        <v>306</v>
      </c>
      <c r="C133" s="1" t="s">
        <v>55</v>
      </c>
      <c r="D133" s="1" t="s">
        <v>307</v>
      </c>
      <c r="E133" s="1" t="s">
        <v>94</v>
      </c>
      <c r="F133" s="1"/>
      <c r="G133" s="6" t="s">
        <v>14</v>
      </c>
      <c r="H133" s="7">
        <v>90000</v>
      </c>
      <c r="I133" s="8">
        <v>31.7</v>
      </c>
      <c r="J133" s="1" t="s">
        <v>37</v>
      </c>
    </row>
    <row r="134" spans="1:26" ht="16" x14ac:dyDescent="0.2">
      <c r="A134" s="5">
        <v>45954</v>
      </c>
      <c r="B134" s="1" t="s">
        <v>111</v>
      </c>
      <c r="C134" s="1" t="s">
        <v>63</v>
      </c>
      <c r="D134" s="1" t="s">
        <v>112</v>
      </c>
      <c r="E134" s="1" t="s">
        <v>19</v>
      </c>
      <c r="F134" s="1"/>
      <c r="G134" s="6" t="s">
        <v>14</v>
      </c>
      <c r="H134" s="7">
        <v>90000</v>
      </c>
      <c r="I134" s="8">
        <v>2.5</v>
      </c>
      <c r="J134" s="1" t="s">
        <v>40</v>
      </c>
    </row>
    <row r="135" spans="1:26" ht="16" x14ac:dyDescent="0.2">
      <c r="A135" s="5">
        <v>45954</v>
      </c>
      <c r="B135" s="1" t="s">
        <v>1329</v>
      </c>
      <c r="C135" s="1" t="s">
        <v>1330</v>
      </c>
      <c r="D135" s="1" t="s">
        <v>222</v>
      </c>
      <c r="E135" s="1" t="s">
        <v>19</v>
      </c>
      <c r="F135" s="1"/>
      <c r="G135" s="6" t="s">
        <v>23</v>
      </c>
      <c r="H135" s="7">
        <v>70000</v>
      </c>
      <c r="I135" s="8"/>
      <c r="J135" s="1" t="s">
        <v>15</v>
      </c>
    </row>
    <row r="136" spans="1:26" ht="16" x14ac:dyDescent="0.2">
      <c r="A136" s="5">
        <v>45955</v>
      </c>
      <c r="B136" s="1" t="s">
        <v>630</v>
      </c>
      <c r="C136" s="1" t="s">
        <v>631</v>
      </c>
      <c r="D136" s="1" t="s">
        <v>165</v>
      </c>
      <c r="E136" s="1" t="s">
        <v>13</v>
      </c>
      <c r="F136" s="1"/>
      <c r="G136" s="6" t="s">
        <v>14</v>
      </c>
      <c r="H136" s="7">
        <v>80000</v>
      </c>
      <c r="I136" s="8">
        <v>6.2</v>
      </c>
      <c r="J136" s="1" t="s">
        <v>15</v>
      </c>
    </row>
    <row r="137" spans="1:26" ht="16" x14ac:dyDescent="0.2">
      <c r="A137" s="5">
        <v>45955</v>
      </c>
      <c r="B137" s="1" t="s">
        <v>1617</v>
      </c>
      <c r="C137" s="1" t="s">
        <v>1618</v>
      </c>
      <c r="D137" s="1" t="s">
        <v>64</v>
      </c>
      <c r="E137" s="1" t="s">
        <v>13</v>
      </c>
      <c r="F137" s="1"/>
      <c r="G137" s="6" t="s">
        <v>14</v>
      </c>
      <c r="H137" s="7">
        <v>85000</v>
      </c>
      <c r="I137" s="8">
        <v>5.5</v>
      </c>
      <c r="J137" s="1" t="s">
        <v>15</v>
      </c>
    </row>
    <row r="138" spans="1:26" ht="16" x14ac:dyDescent="0.2">
      <c r="A138" s="5">
        <v>45955</v>
      </c>
      <c r="B138" s="1" t="s">
        <v>67</v>
      </c>
      <c r="C138" s="1" t="s">
        <v>1619</v>
      </c>
      <c r="D138" s="1" t="s">
        <v>26</v>
      </c>
      <c r="E138" s="1" t="s">
        <v>19</v>
      </c>
      <c r="F138" s="1"/>
      <c r="G138" s="6" t="s">
        <v>14</v>
      </c>
      <c r="H138" s="7">
        <v>65000</v>
      </c>
      <c r="I138" s="8">
        <v>6.3</v>
      </c>
      <c r="J138" s="1" t="s">
        <v>40</v>
      </c>
    </row>
    <row r="139" spans="1:26" ht="16" x14ac:dyDescent="0.2">
      <c r="A139" s="5">
        <v>45955</v>
      </c>
      <c r="B139" s="1" t="s">
        <v>132</v>
      </c>
      <c r="C139" s="1" t="s">
        <v>133</v>
      </c>
      <c r="D139" s="1" t="s">
        <v>18</v>
      </c>
      <c r="E139" s="1" t="s">
        <v>19</v>
      </c>
      <c r="F139" s="1"/>
      <c r="G139" s="6" t="s">
        <v>14</v>
      </c>
      <c r="H139" s="7" t="s">
        <v>114</v>
      </c>
      <c r="I139" s="8"/>
      <c r="J139" s="1" t="s">
        <v>15</v>
      </c>
    </row>
    <row r="140" spans="1:26" ht="16" x14ac:dyDescent="0.2">
      <c r="A140" s="5">
        <v>45955</v>
      </c>
      <c r="B140" s="1" t="s">
        <v>1620</v>
      </c>
      <c r="C140" s="1" t="s">
        <v>275</v>
      </c>
      <c r="D140" s="1" t="s">
        <v>88</v>
      </c>
      <c r="E140" s="1" t="s">
        <v>13</v>
      </c>
      <c r="F140" s="1"/>
      <c r="G140" s="6" t="s">
        <v>14</v>
      </c>
      <c r="H140" s="7">
        <v>70000</v>
      </c>
      <c r="I140" s="8">
        <v>3.9</v>
      </c>
      <c r="J140" s="1" t="s">
        <v>15</v>
      </c>
    </row>
    <row r="141" spans="1:26" ht="16" x14ac:dyDescent="0.2">
      <c r="A141" s="5">
        <v>45955</v>
      </c>
      <c r="B141" s="1" t="s">
        <v>1620</v>
      </c>
      <c r="C141" s="1" t="s">
        <v>1621</v>
      </c>
      <c r="D141" s="1" t="s">
        <v>88</v>
      </c>
      <c r="E141" s="1" t="s">
        <v>13</v>
      </c>
      <c r="F141" s="1"/>
      <c r="G141" s="6" t="s">
        <v>14</v>
      </c>
      <c r="H141" s="7">
        <v>70000</v>
      </c>
      <c r="I141" s="8">
        <v>8.6</v>
      </c>
      <c r="J141" s="1" t="s">
        <v>37</v>
      </c>
    </row>
    <row r="142" spans="1:26" ht="16" x14ac:dyDescent="0.2">
      <c r="A142" s="5">
        <v>45955</v>
      </c>
      <c r="B142" s="1" t="s">
        <v>1620</v>
      </c>
      <c r="C142" s="1" t="s">
        <v>233</v>
      </c>
      <c r="D142" s="1" t="s">
        <v>88</v>
      </c>
      <c r="E142" s="1" t="s">
        <v>13</v>
      </c>
      <c r="F142" s="1"/>
      <c r="G142" s="6" t="s">
        <v>14</v>
      </c>
      <c r="H142" s="7">
        <v>70000</v>
      </c>
      <c r="I142" s="8">
        <v>7.7</v>
      </c>
      <c r="J142" s="1" t="s">
        <v>37</v>
      </c>
    </row>
    <row r="143" spans="1:26" ht="16" x14ac:dyDescent="0.2">
      <c r="A143" s="5">
        <v>45955</v>
      </c>
      <c r="B143" s="1" t="s">
        <v>1382</v>
      </c>
      <c r="C143" s="1" t="s">
        <v>1383</v>
      </c>
      <c r="D143" s="1" t="s">
        <v>26</v>
      </c>
      <c r="E143" s="1" t="s">
        <v>78</v>
      </c>
      <c r="F143" s="1"/>
      <c r="G143" s="6" t="s">
        <v>14</v>
      </c>
      <c r="H143" s="7">
        <v>70000</v>
      </c>
      <c r="I143" s="1">
        <v>3</v>
      </c>
      <c r="J143" s="1" t="s">
        <v>34</v>
      </c>
    </row>
    <row r="144" spans="1:26" ht="16" x14ac:dyDescent="0.2">
      <c r="A144" s="5">
        <v>45955</v>
      </c>
      <c r="B144" s="1" t="s">
        <v>1622</v>
      </c>
      <c r="C144" s="1" t="s">
        <v>243</v>
      </c>
      <c r="D144" s="1" t="s">
        <v>1229</v>
      </c>
      <c r="E144" s="1" t="s">
        <v>19</v>
      </c>
      <c r="F144" s="1"/>
      <c r="G144" s="6" t="s">
        <v>23</v>
      </c>
      <c r="H144" s="7">
        <v>20000</v>
      </c>
      <c r="I144" s="8"/>
      <c r="J144" s="1" t="s">
        <v>15</v>
      </c>
    </row>
    <row r="145" spans="1:26" ht="16" x14ac:dyDescent="0.2">
      <c r="A145" s="5">
        <v>45955</v>
      </c>
      <c r="B145" s="1" t="s">
        <v>1182</v>
      </c>
      <c r="C145" s="1" t="s">
        <v>764</v>
      </c>
      <c r="D145" s="1" t="s">
        <v>119</v>
      </c>
      <c r="E145" s="1" t="s">
        <v>19</v>
      </c>
      <c r="F145" s="1"/>
      <c r="G145" s="6" t="s">
        <v>14</v>
      </c>
      <c r="H145" s="7">
        <v>55000</v>
      </c>
      <c r="I145" s="8">
        <v>10.5</v>
      </c>
      <c r="J145" s="1"/>
    </row>
    <row r="146" spans="1:26" ht="16" x14ac:dyDescent="0.2">
      <c r="A146" s="20">
        <v>45957</v>
      </c>
      <c r="B146" s="21"/>
      <c r="C146" s="21" t="s">
        <v>625</v>
      </c>
      <c r="D146" s="21" t="s">
        <v>26</v>
      </c>
      <c r="E146" s="21" t="s">
        <v>19</v>
      </c>
      <c r="F146" s="21"/>
      <c r="G146" s="22" t="s">
        <v>14</v>
      </c>
      <c r="H146" s="23">
        <v>65000</v>
      </c>
      <c r="I146" s="24">
        <v>1.8</v>
      </c>
      <c r="J146" s="21" t="s">
        <v>15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6" x14ac:dyDescent="0.2">
      <c r="A147" s="5">
        <v>45957</v>
      </c>
      <c r="B147" s="1" t="s">
        <v>1623</v>
      </c>
      <c r="C147" s="1" t="s">
        <v>1624</v>
      </c>
      <c r="D147" s="1" t="s">
        <v>64</v>
      </c>
      <c r="E147" s="1" t="s">
        <v>13</v>
      </c>
      <c r="F147" s="1"/>
      <c r="G147" s="6" t="s">
        <v>14</v>
      </c>
      <c r="H147" s="7">
        <v>85000</v>
      </c>
      <c r="I147" s="8">
        <v>5.8</v>
      </c>
      <c r="J147" s="1" t="s">
        <v>15</v>
      </c>
      <c r="K147" s="18" t="s">
        <v>1567</v>
      </c>
    </row>
    <row r="148" spans="1:26" ht="16" x14ac:dyDescent="0.2">
      <c r="A148" s="5">
        <v>45957</v>
      </c>
      <c r="B148" s="1" t="s">
        <v>1625</v>
      </c>
      <c r="C148" s="1" t="s">
        <v>1626</v>
      </c>
      <c r="D148" s="1" t="s">
        <v>58</v>
      </c>
      <c r="E148" s="1" t="s">
        <v>59</v>
      </c>
      <c r="F148" s="1"/>
      <c r="G148" s="6" t="s">
        <v>14</v>
      </c>
      <c r="H148" s="7">
        <v>85000</v>
      </c>
      <c r="I148" s="8"/>
      <c r="J148" s="1" t="s">
        <v>15</v>
      </c>
    </row>
    <row r="149" spans="1:26" ht="16" x14ac:dyDescent="0.2">
      <c r="A149" s="20">
        <v>45957</v>
      </c>
      <c r="B149" s="21" t="s">
        <v>1627</v>
      </c>
      <c r="C149" s="21" t="s">
        <v>623</v>
      </c>
      <c r="D149" s="21" t="s">
        <v>165</v>
      </c>
      <c r="E149" s="21" t="s">
        <v>13</v>
      </c>
      <c r="F149" s="21"/>
      <c r="G149" s="22" t="s">
        <v>14</v>
      </c>
      <c r="H149" s="23">
        <v>85000</v>
      </c>
      <c r="I149" s="24">
        <v>2.9</v>
      </c>
      <c r="J149" s="21" t="s">
        <v>15</v>
      </c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6" x14ac:dyDescent="0.2">
      <c r="A150" s="20">
        <v>45957</v>
      </c>
      <c r="B150" s="21" t="s">
        <v>1627</v>
      </c>
      <c r="C150" s="21" t="s">
        <v>1618</v>
      </c>
      <c r="D150" s="21" t="s">
        <v>165</v>
      </c>
      <c r="E150" s="21" t="s">
        <v>13</v>
      </c>
      <c r="F150" s="21"/>
      <c r="G150" s="22" t="s">
        <v>14</v>
      </c>
      <c r="H150" s="23">
        <v>85000</v>
      </c>
      <c r="I150" s="24">
        <v>3.3</v>
      </c>
      <c r="J150" s="21" t="s">
        <v>15</v>
      </c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6" x14ac:dyDescent="0.2">
      <c r="A151" s="5">
        <v>45957</v>
      </c>
      <c r="B151" s="1" t="s">
        <v>312</v>
      </c>
      <c r="C151" s="1" t="s">
        <v>1263</v>
      </c>
      <c r="D151" s="1" t="s">
        <v>196</v>
      </c>
      <c r="E151" s="1" t="s">
        <v>94</v>
      </c>
      <c r="F151" s="1"/>
      <c r="G151" s="6" t="s">
        <v>14</v>
      </c>
      <c r="H151" s="7">
        <v>65000</v>
      </c>
      <c r="I151" s="1">
        <v>18.5</v>
      </c>
      <c r="J151" s="1" t="s">
        <v>37</v>
      </c>
    </row>
    <row r="152" spans="1:26" ht="16" x14ac:dyDescent="0.2">
      <c r="A152" s="5">
        <v>45958</v>
      </c>
      <c r="B152" s="1" t="s">
        <v>1628</v>
      </c>
      <c r="C152" s="1" t="s">
        <v>188</v>
      </c>
      <c r="D152" s="1" t="s">
        <v>26</v>
      </c>
      <c r="E152" s="1" t="s">
        <v>78</v>
      </c>
      <c r="F152" s="1"/>
      <c r="G152" s="6" t="s">
        <v>14</v>
      </c>
      <c r="H152" s="7">
        <v>75000</v>
      </c>
      <c r="I152" s="8">
        <v>6</v>
      </c>
      <c r="J152" s="1" t="s">
        <v>15</v>
      </c>
    </row>
    <row r="153" spans="1:26" ht="16" x14ac:dyDescent="0.2">
      <c r="A153" s="20">
        <v>45958</v>
      </c>
      <c r="B153" s="21" t="s">
        <v>1628</v>
      </c>
      <c r="C153" s="21" t="s">
        <v>444</v>
      </c>
      <c r="D153" s="21" t="s">
        <v>64</v>
      </c>
      <c r="E153" s="21" t="s">
        <v>19</v>
      </c>
      <c r="F153" s="21"/>
      <c r="G153" s="22" t="s">
        <v>23</v>
      </c>
      <c r="H153" s="23">
        <v>40000</v>
      </c>
      <c r="I153" s="24">
        <v>6.3</v>
      </c>
      <c r="J153" s="21" t="s">
        <v>37</v>
      </c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6" x14ac:dyDescent="0.2">
      <c r="A154" s="5">
        <v>45958</v>
      </c>
      <c r="B154" s="1" t="s">
        <v>1629</v>
      </c>
      <c r="C154" s="1" t="s">
        <v>1630</v>
      </c>
      <c r="D154" s="1" t="s">
        <v>64</v>
      </c>
      <c r="E154" s="1" t="s">
        <v>19</v>
      </c>
      <c r="F154" s="1"/>
      <c r="G154" s="6" t="s">
        <v>23</v>
      </c>
      <c r="H154" s="7">
        <v>50000</v>
      </c>
      <c r="I154" s="8">
        <v>6.9</v>
      </c>
      <c r="J154" s="1" t="s">
        <v>15</v>
      </c>
    </row>
    <row r="155" spans="1:26" ht="16" x14ac:dyDescent="0.2">
      <c r="A155" s="5">
        <v>45958</v>
      </c>
      <c r="B155" s="1" t="s">
        <v>1046</v>
      </c>
      <c r="C155" s="1" t="s">
        <v>1047</v>
      </c>
      <c r="D155" s="1" t="s">
        <v>64</v>
      </c>
      <c r="E155" s="1" t="s">
        <v>19</v>
      </c>
      <c r="F155" s="1"/>
      <c r="G155" s="6" t="s">
        <v>23</v>
      </c>
      <c r="H155" s="7">
        <v>60000</v>
      </c>
      <c r="I155" s="8"/>
      <c r="J155" s="1" t="s">
        <v>15</v>
      </c>
    </row>
    <row r="156" spans="1:26" ht="16" x14ac:dyDescent="0.2">
      <c r="A156" s="5">
        <v>45958</v>
      </c>
      <c r="B156" s="1" t="s">
        <v>1631</v>
      </c>
      <c r="C156" s="1" t="s">
        <v>1167</v>
      </c>
      <c r="D156" s="1" t="s">
        <v>196</v>
      </c>
      <c r="E156" s="1" t="s">
        <v>94</v>
      </c>
      <c r="F156" s="1"/>
      <c r="G156" s="6" t="s">
        <v>14</v>
      </c>
      <c r="H156" s="7">
        <v>85000</v>
      </c>
      <c r="I156" s="8">
        <v>24.8</v>
      </c>
      <c r="J156" s="1" t="s">
        <v>15</v>
      </c>
    </row>
    <row r="157" spans="1:26" ht="16" x14ac:dyDescent="0.2">
      <c r="A157" s="5">
        <v>45958</v>
      </c>
      <c r="B157" s="1" t="s">
        <v>1631</v>
      </c>
      <c r="C157" s="1" t="s">
        <v>46</v>
      </c>
      <c r="D157" s="1" t="s">
        <v>26</v>
      </c>
      <c r="E157" s="1" t="s">
        <v>19</v>
      </c>
      <c r="F157" s="1"/>
      <c r="G157" s="6" t="s">
        <v>14</v>
      </c>
      <c r="H157" s="7">
        <v>85000</v>
      </c>
      <c r="I157" s="8">
        <v>8.6</v>
      </c>
      <c r="J157" s="1" t="s">
        <v>15</v>
      </c>
    </row>
    <row r="158" spans="1:26" ht="16" x14ac:dyDescent="0.2">
      <c r="A158" s="5">
        <v>45958</v>
      </c>
      <c r="B158" s="1" t="s">
        <v>1631</v>
      </c>
      <c r="C158" s="1" t="s">
        <v>882</v>
      </c>
      <c r="D158" s="1" t="s">
        <v>64</v>
      </c>
      <c r="E158" s="1" t="s">
        <v>19</v>
      </c>
      <c r="F158" s="1"/>
      <c r="G158" s="6" t="s">
        <v>23</v>
      </c>
      <c r="H158" s="7">
        <v>55000</v>
      </c>
      <c r="I158" s="8">
        <v>15.6</v>
      </c>
      <c r="J158" s="1" t="s">
        <v>15</v>
      </c>
    </row>
    <row r="159" spans="1:26" ht="16" x14ac:dyDescent="0.2">
      <c r="A159" s="5">
        <v>45958</v>
      </c>
      <c r="B159" s="1"/>
      <c r="C159" s="1"/>
      <c r="D159" s="1"/>
      <c r="E159" s="1" t="s">
        <v>61</v>
      </c>
      <c r="F159" s="1"/>
      <c r="G159" s="6"/>
      <c r="H159" s="7">
        <v>15000</v>
      </c>
      <c r="I159" s="8"/>
      <c r="J159" s="1" t="s">
        <v>160</v>
      </c>
    </row>
    <row r="160" spans="1:26" ht="16" x14ac:dyDescent="0.2">
      <c r="A160" s="5">
        <v>45958</v>
      </c>
      <c r="B160" s="1" t="s">
        <v>1632</v>
      </c>
      <c r="C160" s="1" t="s">
        <v>1633</v>
      </c>
      <c r="D160" s="1" t="s">
        <v>32</v>
      </c>
      <c r="E160" s="1" t="s">
        <v>13</v>
      </c>
      <c r="F160" s="1"/>
      <c r="G160" s="6" t="s">
        <v>14</v>
      </c>
      <c r="H160" s="7">
        <v>80000</v>
      </c>
      <c r="I160" s="8">
        <v>4.3</v>
      </c>
      <c r="J160" s="1" t="s">
        <v>15</v>
      </c>
    </row>
    <row r="161" spans="1:26" ht="16" x14ac:dyDescent="0.2">
      <c r="A161" s="5">
        <v>45959</v>
      </c>
      <c r="B161" s="1" t="s">
        <v>659</v>
      </c>
      <c r="C161" s="1" t="s">
        <v>389</v>
      </c>
      <c r="D161" s="1" t="s">
        <v>196</v>
      </c>
      <c r="E161" s="1" t="s">
        <v>94</v>
      </c>
      <c r="F161" s="1"/>
      <c r="G161" s="6" t="s">
        <v>14</v>
      </c>
      <c r="H161" s="7">
        <v>85000</v>
      </c>
      <c r="I161" s="8">
        <v>24.5</v>
      </c>
      <c r="J161" s="1" t="s">
        <v>15</v>
      </c>
    </row>
    <row r="162" spans="1:26" ht="16" x14ac:dyDescent="0.2">
      <c r="A162" s="5">
        <v>45959</v>
      </c>
      <c r="B162" s="1" t="s">
        <v>199</v>
      </c>
      <c r="C162" s="1" t="s">
        <v>63</v>
      </c>
      <c r="D162" s="1" t="s">
        <v>1229</v>
      </c>
      <c r="E162" s="1" t="s">
        <v>19</v>
      </c>
      <c r="F162" s="1"/>
      <c r="G162" s="6" t="s">
        <v>23</v>
      </c>
      <c r="H162" s="7">
        <v>25000</v>
      </c>
      <c r="I162" s="8">
        <v>3.4</v>
      </c>
      <c r="J162" s="1" t="s">
        <v>15</v>
      </c>
    </row>
    <row r="163" spans="1:26" ht="16" x14ac:dyDescent="0.2">
      <c r="A163" s="5">
        <v>45959</v>
      </c>
      <c r="B163" s="1" t="s">
        <v>354</v>
      </c>
      <c r="C163" s="1" t="s">
        <v>53</v>
      </c>
      <c r="D163" s="1" t="s">
        <v>64</v>
      </c>
      <c r="E163" s="1" t="s">
        <v>19</v>
      </c>
      <c r="F163" s="1"/>
      <c r="G163" s="6" t="s">
        <v>23</v>
      </c>
      <c r="H163" s="7">
        <v>50000</v>
      </c>
      <c r="I163" s="8">
        <v>14</v>
      </c>
      <c r="J163" s="1" t="s">
        <v>15</v>
      </c>
    </row>
    <row r="164" spans="1:26" ht="16" x14ac:dyDescent="0.2">
      <c r="A164" s="5">
        <v>45959</v>
      </c>
      <c r="B164" s="1" t="s">
        <v>930</v>
      </c>
      <c r="C164" s="1" t="s">
        <v>63</v>
      </c>
      <c r="D164" s="1" t="s">
        <v>131</v>
      </c>
      <c r="E164" s="1" t="s">
        <v>19</v>
      </c>
      <c r="F164" s="1"/>
      <c r="G164" s="6" t="s">
        <v>14</v>
      </c>
      <c r="H164" s="7">
        <v>80000</v>
      </c>
      <c r="I164" s="8">
        <v>27.1</v>
      </c>
      <c r="J164" s="1" t="s">
        <v>15</v>
      </c>
    </row>
    <row r="165" spans="1:26" ht="16" x14ac:dyDescent="0.2">
      <c r="A165" s="5">
        <v>45959</v>
      </c>
      <c r="B165" s="1" t="s">
        <v>1634</v>
      </c>
      <c r="C165" s="1" t="s">
        <v>1635</v>
      </c>
      <c r="D165" s="1" t="s">
        <v>64</v>
      </c>
      <c r="E165" s="1" t="s">
        <v>19</v>
      </c>
      <c r="F165" s="1"/>
      <c r="G165" s="6" t="s">
        <v>23</v>
      </c>
      <c r="H165" s="7">
        <v>50000</v>
      </c>
      <c r="I165" s="8">
        <v>6.4</v>
      </c>
      <c r="J165" s="1" t="s">
        <v>15</v>
      </c>
    </row>
    <row r="166" spans="1:26" ht="16" x14ac:dyDescent="0.2">
      <c r="A166" s="5">
        <v>45959</v>
      </c>
      <c r="B166" s="1" t="s">
        <v>1636</v>
      </c>
      <c r="C166" s="1" t="s">
        <v>1492</v>
      </c>
      <c r="D166" s="1" t="s">
        <v>32</v>
      </c>
      <c r="E166" s="1" t="s">
        <v>13</v>
      </c>
      <c r="F166" s="1"/>
      <c r="G166" s="6" t="s">
        <v>14</v>
      </c>
      <c r="H166" s="7">
        <v>75000</v>
      </c>
      <c r="I166" s="8">
        <v>3.9</v>
      </c>
      <c r="J166" s="1" t="s">
        <v>34</v>
      </c>
    </row>
    <row r="167" spans="1:26" ht="16" x14ac:dyDescent="0.2">
      <c r="A167" s="5">
        <v>45959</v>
      </c>
      <c r="B167" s="1" t="s">
        <v>143</v>
      </c>
      <c r="C167" s="1" t="s">
        <v>144</v>
      </c>
      <c r="D167" s="1" t="s">
        <v>1229</v>
      </c>
      <c r="E167" s="1" t="s">
        <v>19</v>
      </c>
      <c r="F167" s="1"/>
      <c r="G167" s="6" t="s">
        <v>23</v>
      </c>
      <c r="H167" s="7">
        <v>25000</v>
      </c>
      <c r="I167" s="8">
        <v>3.2</v>
      </c>
      <c r="J167" s="1" t="s">
        <v>15</v>
      </c>
    </row>
    <row r="168" spans="1:26" ht="16" x14ac:dyDescent="0.2">
      <c r="A168" s="5">
        <v>45959</v>
      </c>
      <c r="B168" s="1" t="s">
        <v>1637</v>
      </c>
      <c r="C168" s="1" t="s">
        <v>1638</v>
      </c>
      <c r="D168" s="1" t="s">
        <v>122</v>
      </c>
      <c r="E168" s="1" t="s">
        <v>19</v>
      </c>
      <c r="F168" s="1"/>
      <c r="G168" s="6" t="s">
        <v>14</v>
      </c>
      <c r="H168" s="7">
        <v>120000</v>
      </c>
      <c r="I168" s="8">
        <v>21.7</v>
      </c>
      <c r="J168" s="1" t="s">
        <v>15</v>
      </c>
    </row>
    <row r="169" spans="1:26" ht="16" x14ac:dyDescent="0.2">
      <c r="A169" s="20">
        <v>45959</v>
      </c>
      <c r="B169" s="21" t="s">
        <v>1639</v>
      </c>
      <c r="C169" s="21" t="s">
        <v>46</v>
      </c>
      <c r="D169" s="21" t="s">
        <v>64</v>
      </c>
      <c r="E169" s="21" t="s">
        <v>19</v>
      </c>
      <c r="F169" s="21"/>
      <c r="G169" s="22" t="s">
        <v>23</v>
      </c>
      <c r="H169" s="23">
        <v>55000</v>
      </c>
      <c r="I169" s="24">
        <v>16</v>
      </c>
      <c r="J169" s="21" t="s">
        <v>34</v>
      </c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6" x14ac:dyDescent="0.2">
      <c r="A170" s="5">
        <v>45959</v>
      </c>
      <c r="B170" s="1"/>
      <c r="C170" s="1"/>
      <c r="D170" s="1"/>
      <c r="E170" s="1" t="s">
        <v>61</v>
      </c>
      <c r="F170" s="1"/>
      <c r="G170" s="6" t="s">
        <v>23</v>
      </c>
      <c r="H170" s="7">
        <v>10000</v>
      </c>
      <c r="I170" s="8"/>
      <c r="J170" s="1" t="s">
        <v>160</v>
      </c>
    </row>
    <row r="171" spans="1:26" ht="16" x14ac:dyDescent="0.2">
      <c r="A171" s="5">
        <v>45960</v>
      </c>
      <c r="B171" s="1" t="s">
        <v>833</v>
      </c>
      <c r="C171" s="1" t="s">
        <v>1482</v>
      </c>
      <c r="D171" s="1" t="s">
        <v>1640</v>
      </c>
      <c r="E171" s="1" t="s">
        <v>13</v>
      </c>
      <c r="F171" s="1"/>
      <c r="G171" s="6" t="s">
        <v>14</v>
      </c>
      <c r="H171" s="7">
        <v>72000</v>
      </c>
      <c r="I171" s="8">
        <v>22.8</v>
      </c>
      <c r="J171" s="1" t="s">
        <v>15</v>
      </c>
    </row>
    <row r="172" spans="1:26" ht="16" x14ac:dyDescent="0.2">
      <c r="A172" s="5">
        <v>45960</v>
      </c>
      <c r="B172" s="1" t="s">
        <v>1473</v>
      </c>
      <c r="C172" s="1" t="s">
        <v>159</v>
      </c>
      <c r="D172" s="1" t="s">
        <v>64</v>
      </c>
      <c r="E172" s="1" t="s">
        <v>19</v>
      </c>
      <c r="F172" s="1"/>
      <c r="G172" s="6" t="s">
        <v>23</v>
      </c>
      <c r="H172" s="7">
        <v>70000</v>
      </c>
      <c r="I172" s="8">
        <v>11.3</v>
      </c>
      <c r="J172" s="1" t="s">
        <v>15</v>
      </c>
    </row>
    <row r="173" spans="1:26" ht="16" x14ac:dyDescent="0.2">
      <c r="A173" s="5">
        <v>45960</v>
      </c>
      <c r="B173" s="1" t="s">
        <v>1473</v>
      </c>
      <c r="C173" s="1" t="s">
        <v>309</v>
      </c>
      <c r="D173" s="1" t="s">
        <v>64</v>
      </c>
      <c r="E173" s="1" t="s">
        <v>19</v>
      </c>
      <c r="F173" s="1"/>
      <c r="G173" s="6" t="s">
        <v>23</v>
      </c>
      <c r="H173" s="7">
        <v>60000</v>
      </c>
      <c r="I173" s="8">
        <v>13.8</v>
      </c>
      <c r="J173" s="1" t="s">
        <v>15</v>
      </c>
    </row>
    <row r="174" spans="1:26" ht="16" x14ac:dyDescent="0.2">
      <c r="A174" s="5">
        <v>45960</v>
      </c>
      <c r="B174" s="1" t="s">
        <v>1343</v>
      </c>
      <c r="C174" s="1" t="s">
        <v>301</v>
      </c>
      <c r="D174" s="1" t="s">
        <v>101</v>
      </c>
      <c r="E174" s="1" t="s">
        <v>19</v>
      </c>
      <c r="F174" s="1"/>
      <c r="G174" s="6" t="s">
        <v>14</v>
      </c>
      <c r="H174" s="7">
        <v>65000</v>
      </c>
      <c r="I174" s="8">
        <v>3.88</v>
      </c>
      <c r="J174" s="1" t="s">
        <v>15</v>
      </c>
    </row>
    <row r="175" spans="1:26" ht="16" x14ac:dyDescent="0.2">
      <c r="A175" s="5">
        <v>45960</v>
      </c>
      <c r="B175" s="1" t="s">
        <v>1641</v>
      </c>
      <c r="C175" s="1" t="s">
        <v>382</v>
      </c>
      <c r="D175" s="1" t="s">
        <v>165</v>
      </c>
      <c r="E175" s="1" t="s">
        <v>19</v>
      </c>
      <c r="F175" s="1"/>
      <c r="G175" s="6" t="s">
        <v>14</v>
      </c>
      <c r="H175" s="7">
        <v>65000</v>
      </c>
      <c r="I175" s="8">
        <v>8.6</v>
      </c>
      <c r="J175" s="1" t="s">
        <v>15</v>
      </c>
    </row>
    <row r="176" spans="1:26" ht="16" x14ac:dyDescent="0.2">
      <c r="A176" s="5">
        <v>45960</v>
      </c>
      <c r="B176" s="1" t="s">
        <v>944</v>
      </c>
      <c r="C176" s="1" t="s">
        <v>1642</v>
      </c>
      <c r="D176" s="1" t="s">
        <v>119</v>
      </c>
      <c r="E176" s="1" t="s">
        <v>19</v>
      </c>
      <c r="F176" s="1"/>
      <c r="G176" s="6" t="s">
        <v>23</v>
      </c>
      <c r="H176" s="7">
        <f>50000</f>
        <v>50000</v>
      </c>
      <c r="I176" s="8"/>
      <c r="J176" s="1" t="s">
        <v>15</v>
      </c>
    </row>
    <row r="177" spans="1:10" ht="16" x14ac:dyDescent="0.2">
      <c r="A177" s="5">
        <v>45960</v>
      </c>
      <c r="B177" s="1" t="s">
        <v>1213</v>
      </c>
      <c r="C177" s="1" t="s">
        <v>453</v>
      </c>
      <c r="D177" s="1" t="s">
        <v>494</v>
      </c>
      <c r="E177" s="1" t="s">
        <v>59</v>
      </c>
      <c r="F177" s="1"/>
      <c r="G177" s="6" t="s">
        <v>14</v>
      </c>
      <c r="H177" s="7">
        <v>85000</v>
      </c>
      <c r="I177" s="8"/>
      <c r="J177" s="1" t="s">
        <v>15</v>
      </c>
    </row>
    <row r="178" spans="1:10" ht="16" x14ac:dyDescent="0.2">
      <c r="A178" s="5">
        <v>45960</v>
      </c>
      <c r="B178" s="1" t="s">
        <v>154</v>
      </c>
      <c r="C178" s="1" t="s">
        <v>155</v>
      </c>
      <c r="D178" s="1" t="s">
        <v>26</v>
      </c>
      <c r="E178" s="1" t="s">
        <v>19</v>
      </c>
      <c r="F178" s="1"/>
      <c r="G178" s="6" t="s">
        <v>14</v>
      </c>
      <c r="H178" s="7">
        <v>65000</v>
      </c>
      <c r="I178" s="8">
        <v>6.5</v>
      </c>
      <c r="J178" s="1" t="s">
        <v>15</v>
      </c>
    </row>
    <row r="179" spans="1:10" ht="16" x14ac:dyDescent="0.2">
      <c r="A179" s="5">
        <v>45960</v>
      </c>
      <c r="B179" s="1" t="s">
        <v>1453</v>
      </c>
      <c r="C179" s="1" t="s">
        <v>962</v>
      </c>
      <c r="D179" s="1" t="s">
        <v>26</v>
      </c>
      <c r="E179" s="1" t="s">
        <v>19</v>
      </c>
      <c r="F179" s="1"/>
      <c r="G179" s="6" t="s">
        <v>14</v>
      </c>
      <c r="H179" s="7">
        <v>85000</v>
      </c>
      <c r="I179" s="8">
        <v>5.6</v>
      </c>
      <c r="J179" s="1" t="s">
        <v>37</v>
      </c>
    </row>
    <row r="180" spans="1:10" ht="16" x14ac:dyDescent="0.2">
      <c r="A180" s="5">
        <v>45961</v>
      </c>
      <c r="B180" s="1" t="s">
        <v>230</v>
      </c>
      <c r="C180" s="1" t="s">
        <v>231</v>
      </c>
      <c r="D180" s="1" t="s">
        <v>64</v>
      </c>
      <c r="E180" s="1" t="s">
        <v>13</v>
      </c>
      <c r="F180" s="1"/>
      <c r="G180" s="6" t="s">
        <v>14</v>
      </c>
      <c r="H180" s="7">
        <v>70000</v>
      </c>
      <c r="I180" s="8">
        <v>12.4</v>
      </c>
      <c r="J180" s="1" t="s">
        <v>15</v>
      </c>
    </row>
    <row r="181" spans="1:10" ht="16" x14ac:dyDescent="0.2">
      <c r="A181" s="5">
        <v>45961</v>
      </c>
      <c r="B181" s="1" t="s">
        <v>1643</v>
      </c>
      <c r="C181" s="1" t="s">
        <v>1644</v>
      </c>
      <c r="D181" s="1" t="s">
        <v>18</v>
      </c>
      <c r="E181" s="1" t="s">
        <v>19</v>
      </c>
      <c r="F181" s="1"/>
      <c r="G181" s="6" t="s">
        <v>14</v>
      </c>
      <c r="H181" s="7">
        <v>70000</v>
      </c>
      <c r="I181" s="8">
        <v>16.5</v>
      </c>
      <c r="J181" s="1" t="s">
        <v>15</v>
      </c>
    </row>
    <row r="182" spans="1:10" ht="16" x14ac:dyDescent="0.2">
      <c r="A182" s="5">
        <v>45961</v>
      </c>
      <c r="B182" s="1" t="s">
        <v>831</v>
      </c>
      <c r="C182" s="1" t="s">
        <v>1645</v>
      </c>
      <c r="D182" s="1" t="s">
        <v>122</v>
      </c>
      <c r="E182" s="1" t="s">
        <v>19</v>
      </c>
      <c r="G182" s="6" t="s">
        <v>14</v>
      </c>
      <c r="H182" s="7">
        <v>80000</v>
      </c>
      <c r="I182" s="8">
        <v>19.2</v>
      </c>
      <c r="J182" s="1" t="s">
        <v>15</v>
      </c>
    </row>
    <row r="183" spans="1:10" ht="16" x14ac:dyDescent="0.2">
      <c r="A183" s="5">
        <v>45961</v>
      </c>
      <c r="B183" s="1" t="s">
        <v>601</v>
      </c>
      <c r="C183" s="1" t="s">
        <v>1646</v>
      </c>
      <c r="D183" s="1" t="s">
        <v>18</v>
      </c>
      <c r="E183" s="1" t="s">
        <v>13</v>
      </c>
      <c r="F183" s="1"/>
      <c r="G183" s="6" t="s">
        <v>14</v>
      </c>
      <c r="H183" s="7">
        <v>80000</v>
      </c>
      <c r="I183" s="8">
        <v>12.1</v>
      </c>
      <c r="J183" s="1" t="s">
        <v>15</v>
      </c>
    </row>
    <row r="184" spans="1:10" ht="16" x14ac:dyDescent="0.2">
      <c r="A184" s="5">
        <v>45961</v>
      </c>
      <c r="B184" s="1" t="s">
        <v>693</v>
      </c>
      <c r="C184" s="1" t="s">
        <v>83</v>
      </c>
      <c r="D184" s="1" t="s">
        <v>196</v>
      </c>
      <c r="E184" s="1" t="s">
        <v>94</v>
      </c>
      <c r="F184" s="1"/>
      <c r="G184" s="6" t="s">
        <v>14</v>
      </c>
      <c r="H184" s="7">
        <v>90000</v>
      </c>
      <c r="I184" s="8">
        <v>21</v>
      </c>
      <c r="J184" s="1" t="s">
        <v>15</v>
      </c>
    </row>
    <row r="185" spans="1:10" ht="16" x14ac:dyDescent="0.2">
      <c r="A185" s="5">
        <v>45961</v>
      </c>
      <c r="B185" s="1" t="s">
        <v>1647</v>
      </c>
      <c r="C185" s="1" t="s">
        <v>965</v>
      </c>
      <c r="D185" s="1" t="s">
        <v>88</v>
      </c>
      <c r="E185" s="1" t="s">
        <v>94</v>
      </c>
      <c r="F185" s="1"/>
      <c r="G185" s="6" t="s">
        <v>14</v>
      </c>
      <c r="H185" s="7">
        <v>75000</v>
      </c>
      <c r="I185" s="8">
        <v>4.0999999999999996</v>
      </c>
      <c r="J185" s="1" t="s">
        <v>15</v>
      </c>
    </row>
    <row r="186" spans="1:10" ht="16" x14ac:dyDescent="0.2">
      <c r="A186" s="5">
        <v>45961</v>
      </c>
      <c r="B186" s="1" t="s">
        <v>1491</v>
      </c>
      <c r="C186" s="1" t="s">
        <v>1492</v>
      </c>
      <c r="D186" s="1" t="s">
        <v>1229</v>
      </c>
      <c r="E186" s="1" t="s">
        <v>19</v>
      </c>
      <c r="F186" s="1"/>
      <c r="G186" s="6" t="s">
        <v>23</v>
      </c>
      <c r="H186" s="7">
        <v>30000</v>
      </c>
      <c r="I186" s="8">
        <v>3.6</v>
      </c>
      <c r="J186" s="1" t="s">
        <v>15</v>
      </c>
    </row>
    <row r="187" spans="1:10" ht="16" x14ac:dyDescent="0.2">
      <c r="A187" s="5">
        <v>45961</v>
      </c>
      <c r="B187" s="1" t="s">
        <v>139</v>
      </c>
      <c r="C187" s="1" t="s">
        <v>140</v>
      </c>
      <c r="D187" s="1" t="s">
        <v>26</v>
      </c>
      <c r="E187" s="1" t="s">
        <v>13</v>
      </c>
      <c r="F187" s="1"/>
      <c r="G187" s="6" t="s">
        <v>14</v>
      </c>
      <c r="H187" s="7">
        <v>85000</v>
      </c>
      <c r="I187" s="8">
        <v>5.2</v>
      </c>
      <c r="J187" s="1" t="s">
        <v>15</v>
      </c>
    </row>
    <row r="188" spans="1:10" ht="16" x14ac:dyDescent="0.2">
      <c r="A188" s="5">
        <v>45961</v>
      </c>
      <c r="B188" s="1" t="s">
        <v>111</v>
      </c>
      <c r="C188" s="1" t="s">
        <v>63</v>
      </c>
      <c r="D188" s="1" t="s">
        <v>112</v>
      </c>
      <c r="E188" s="1" t="s">
        <v>113</v>
      </c>
      <c r="F188" s="1"/>
      <c r="G188" s="6"/>
      <c r="H188" s="7" t="s">
        <v>114</v>
      </c>
      <c r="I188" s="8"/>
      <c r="J188" s="1" t="s">
        <v>34</v>
      </c>
    </row>
    <row r="189" spans="1:10" ht="16" x14ac:dyDescent="0.2">
      <c r="A189" s="5">
        <v>45961</v>
      </c>
      <c r="B189" s="1" t="s">
        <v>1241</v>
      </c>
      <c r="C189" s="1" t="s">
        <v>262</v>
      </c>
      <c r="D189" s="1" t="s">
        <v>165</v>
      </c>
      <c r="E189" s="1" t="s">
        <v>13</v>
      </c>
      <c r="F189" s="1"/>
      <c r="G189" s="6" t="s">
        <v>14</v>
      </c>
      <c r="H189" s="7">
        <v>80000</v>
      </c>
      <c r="I189" s="8">
        <v>2.9</v>
      </c>
      <c r="J189" s="1" t="s">
        <v>34</v>
      </c>
    </row>
    <row r="190" spans="1:10" ht="16" x14ac:dyDescent="0.2">
      <c r="A190" s="5"/>
      <c r="B190" s="1"/>
      <c r="C190" s="1"/>
      <c r="D190" s="1"/>
      <c r="E190" s="1"/>
      <c r="F190" s="1"/>
      <c r="G190" s="6"/>
      <c r="H190" s="7"/>
      <c r="I190" s="8"/>
      <c r="J190" s="1"/>
    </row>
    <row r="191" spans="1:10" ht="16" x14ac:dyDescent="0.2">
      <c r="A191" s="5"/>
      <c r="B191" s="1"/>
      <c r="C191" s="1"/>
      <c r="D191" s="1"/>
      <c r="E191" s="1"/>
      <c r="F191" s="1"/>
      <c r="G191" s="6"/>
      <c r="H191" s="7"/>
      <c r="I191" s="8"/>
      <c r="J191" s="1"/>
    </row>
    <row r="192" spans="1:10" ht="16" x14ac:dyDescent="0.2">
      <c r="A192" s="5"/>
      <c r="B192" s="1"/>
      <c r="C192" s="1"/>
      <c r="D192" s="1"/>
      <c r="E192" s="1"/>
      <c r="F192" s="1"/>
      <c r="G192" s="6"/>
      <c r="H192" s="7"/>
      <c r="I192" s="8"/>
      <c r="J192" s="1"/>
    </row>
    <row r="193" spans="1:10" ht="16" x14ac:dyDescent="0.2">
      <c r="A193" s="5"/>
      <c r="B193" s="1"/>
      <c r="C193" s="1"/>
      <c r="D193" s="1"/>
      <c r="E193" s="1"/>
      <c r="F193" s="1"/>
      <c r="G193" s="6"/>
      <c r="H193" s="7"/>
      <c r="I193" s="8"/>
      <c r="J193" s="1"/>
    </row>
    <row r="194" spans="1:10" ht="16" x14ac:dyDescent="0.2">
      <c r="A194" s="5"/>
      <c r="B194" s="1"/>
      <c r="C194" s="1"/>
      <c r="D194" s="1"/>
      <c r="E194" s="1"/>
      <c r="F194" s="1"/>
      <c r="G194" s="6"/>
      <c r="H194" s="7"/>
      <c r="I194" s="8"/>
      <c r="J194" s="1"/>
    </row>
    <row r="195" spans="1:10" ht="16" x14ac:dyDescent="0.2">
      <c r="A195" s="5"/>
      <c r="B195" s="1"/>
      <c r="C195" s="1"/>
      <c r="D195" s="1"/>
      <c r="E195" s="1"/>
      <c r="F195" s="1"/>
      <c r="G195" s="6"/>
      <c r="H195" s="7"/>
      <c r="I195" s="8"/>
      <c r="J195" s="1"/>
    </row>
    <row r="196" spans="1:10" ht="16" x14ac:dyDescent="0.2">
      <c r="A196" s="5"/>
      <c r="B196" s="1"/>
      <c r="C196" s="1"/>
      <c r="D196" s="1"/>
      <c r="E196" s="1"/>
      <c r="F196" s="1"/>
      <c r="G196" s="6"/>
      <c r="H196" s="7"/>
      <c r="I196" s="8"/>
      <c r="J196" s="1"/>
    </row>
    <row r="197" spans="1:10" ht="16" x14ac:dyDescent="0.2">
      <c r="A197" s="5"/>
      <c r="B197" s="1"/>
      <c r="C197" s="1"/>
      <c r="D197" s="1"/>
      <c r="E197" s="1"/>
      <c r="F197" s="1"/>
      <c r="G197" s="6"/>
      <c r="H197" s="7"/>
      <c r="I197" s="8"/>
      <c r="J197" s="1"/>
    </row>
    <row r="198" spans="1:10" ht="16" x14ac:dyDescent="0.2">
      <c r="A198" s="5"/>
      <c r="B198" s="1"/>
      <c r="C198" s="1"/>
      <c r="D198" s="1"/>
      <c r="E198" s="1"/>
      <c r="F198" s="1"/>
      <c r="G198" s="6"/>
      <c r="H198" s="7"/>
      <c r="I198" s="8"/>
      <c r="J198" s="1"/>
    </row>
    <row r="199" spans="1:10" ht="16" x14ac:dyDescent="0.2">
      <c r="A199" s="5"/>
      <c r="B199" s="1"/>
      <c r="C199" s="1"/>
      <c r="D199" s="1"/>
      <c r="E199" s="1"/>
      <c r="F199" s="1"/>
      <c r="G199" s="6"/>
      <c r="H199" s="7"/>
      <c r="I199" s="8"/>
      <c r="J199" s="1"/>
    </row>
    <row r="200" spans="1:10" ht="16" x14ac:dyDescent="0.2">
      <c r="A200" s="5"/>
      <c r="B200" s="1"/>
      <c r="C200" s="1"/>
      <c r="D200" s="1"/>
      <c r="E200" s="1"/>
      <c r="F200" s="1"/>
      <c r="G200" s="6"/>
      <c r="H200" s="7"/>
      <c r="I200" s="8"/>
      <c r="J200" s="1"/>
    </row>
    <row r="201" spans="1:10" ht="16" x14ac:dyDescent="0.2">
      <c r="A201" s="5"/>
      <c r="B201" s="1"/>
      <c r="C201" s="1"/>
      <c r="D201" s="1"/>
      <c r="E201" s="1"/>
      <c r="F201" s="1"/>
      <c r="G201" s="6"/>
      <c r="H201" s="7"/>
      <c r="I201" s="8"/>
      <c r="J201" s="1"/>
    </row>
    <row r="202" spans="1:10" ht="16" x14ac:dyDescent="0.2">
      <c r="A202" s="5"/>
      <c r="B202" s="1"/>
      <c r="C202" s="1"/>
      <c r="D202" s="1"/>
      <c r="E202" s="1"/>
      <c r="F202" s="1"/>
      <c r="G202" s="6"/>
      <c r="H202" s="7"/>
      <c r="I202" s="8"/>
      <c r="J202" s="1"/>
    </row>
    <row r="203" spans="1:10" ht="16" x14ac:dyDescent="0.2">
      <c r="A203" s="5"/>
      <c r="B203" s="1"/>
      <c r="C203" s="1"/>
      <c r="D203" s="1"/>
      <c r="E203" s="1"/>
      <c r="F203" s="1"/>
      <c r="G203" s="6"/>
      <c r="H203" s="7"/>
      <c r="I203" s="8"/>
      <c r="J203" s="1"/>
    </row>
    <row r="204" spans="1:10" ht="16" x14ac:dyDescent="0.2">
      <c r="A204" s="5"/>
      <c r="B204" s="1"/>
      <c r="C204" s="1"/>
      <c r="D204" s="1"/>
      <c r="E204" s="1"/>
      <c r="F204" s="1"/>
      <c r="G204" s="6"/>
      <c r="H204" s="7"/>
      <c r="I204" s="8"/>
      <c r="J204" s="1"/>
    </row>
    <row r="205" spans="1:10" ht="16" x14ac:dyDescent="0.2">
      <c r="A205" s="5"/>
      <c r="B205" s="1"/>
      <c r="C205" s="1"/>
      <c r="D205" s="1"/>
      <c r="E205" s="1"/>
      <c r="F205" s="1"/>
      <c r="G205" s="6"/>
      <c r="H205" s="7"/>
      <c r="I205" s="8"/>
      <c r="J205" s="1"/>
    </row>
    <row r="206" spans="1:10" ht="16" x14ac:dyDescent="0.2">
      <c r="A206" s="5"/>
      <c r="B206" s="1"/>
      <c r="C206" s="1"/>
      <c r="D206" s="1"/>
      <c r="E206" s="1"/>
      <c r="F206" s="1"/>
      <c r="G206" s="6"/>
      <c r="H206" s="7"/>
      <c r="I206" s="8"/>
      <c r="J206" s="1"/>
    </row>
    <row r="207" spans="1:10" ht="16" x14ac:dyDescent="0.2">
      <c r="A207" s="5"/>
      <c r="B207" s="1"/>
      <c r="C207" s="1"/>
      <c r="D207" s="1"/>
      <c r="E207" s="1"/>
      <c r="F207" s="1"/>
      <c r="G207" s="6"/>
      <c r="H207" s="7"/>
      <c r="I207" s="8"/>
      <c r="J207" s="1"/>
    </row>
    <row r="208" spans="1:10" ht="16" x14ac:dyDescent="0.2">
      <c r="A208" s="5"/>
      <c r="B208" s="1"/>
      <c r="C208" s="1"/>
      <c r="D208" s="1"/>
      <c r="E208" s="1"/>
      <c r="F208" s="1"/>
      <c r="G208" s="6"/>
      <c r="H208" s="7"/>
      <c r="I208" s="8"/>
      <c r="J208" s="1"/>
    </row>
    <row r="209" spans="1:10" ht="16" x14ac:dyDescent="0.2">
      <c r="A209" s="5"/>
      <c r="B209" s="1"/>
      <c r="C209" s="1"/>
      <c r="D209" s="1"/>
      <c r="E209" s="1"/>
      <c r="F209" s="1"/>
      <c r="G209" s="6"/>
      <c r="H209" s="7"/>
      <c r="I209" s="8"/>
      <c r="J209" s="1"/>
    </row>
    <row r="210" spans="1:10" ht="16" x14ac:dyDescent="0.2">
      <c r="A210" s="5"/>
      <c r="B210" s="1"/>
      <c r="C210" s="1"/>
      <c r="D210" s="1"/>
      <c r="E210" s="1"/>
      <c r="F210" s="1"/>
      <c r="G210" s="6"/>
      <c r="H210" s="7"/>
      <c r="I210" s="8"/>
      <c r="J210" s="1"/>
    </row>
    <row r="211" spans="1:10" ht="16" x14ac:dyDescent="0.2">
      <c r="A211" s="5"/>
      <c r="B211" s="1"/>
      <c r="C211" s="1"/>
      <c r="D211" s="1"/>
      <c r="E211" s="1"/>
      <c r="F211" s="1"/>
      <c r="G211" s="6"/>
      <c r="H211" s="7"/>
      <c r="I211" s="8"/>
      <c r="J211" s="1"/>
    </row>
    <row r="212" spans="1:10" ht="16" x14ac:dyDescent="0.2">
      <c r="A212" s="5"/>
      <c r="B212" s="1"/>
      <c r="C212" s="1"/>
      <c r="D212" s="1"/>
      <c r="E212" s="1"/>
      <c r="F212" s="1"/>
      <c r="G212" s="6"/>
      <c r="H212" s="7"/>
      <c r="I212" s="8"/>
      <c r="J212" s="1"/>
    </row>
    <row r="213" spans="1:10" ht="16" x14ac:dyDescent="0.2">
      <c r="A213" s="5"/>
      <c r="B213" s="1"/>
      <c r="C213" s="1"/>
      <c r="D213" s="1"/>
      <c r="E213" s="1"/>
      <c r="F213" s="1"/>
      <c r="G213" s="6"/>
      <c r="H213" s="7"/>
      <c r="I213" s="8"/>
      <c r="J213" s="1"/>
    </row>
    <row r="214" spans="1:10" ht="16" x14ac:dyDescent="0.2">
      <c r="A214" s="5"/>
      <c r="B214" s="1"/>
      <c r="C214" s="1"/>
      <c r="D214" s="1"/>
      <c r="E214" s="1"/>
      <c r="F214" s="1"/>
      <c r="G214" s="6"/>
      <c r="H214" s="7"/>
      <c r="I214" s="8"/>
      <c r="J214" s="1"/>
    </row>
    <row r="215" spans="1:10" ht="16" x14ac:dyDescent="0.2">
      <c r="A215" s="5"/>
      <c r="B215" s="17"/>
      <c r="C215" s="17"/>
      <c r="D215" s="1"/>
      <c r="E215" s="1"/>
      <c r="F215" s="17"/>
      <c r="G215" s="6"/>
      <c r="H215" s="7"/>
      <c r="I215" s="17"/>
      <c r="J215" s="17"/>
    </row>
    <row r="216" spans="1:10" ht="16" x14ac:dyDescent="0.2">
      <c r="A216" s="5"/>
      <c r="B216" s="1"/>
      <c r="C216" s="1"/>
      <c r="D216" s="1"/>
      <c r="E216" s="1"/>
      <c r="F216" s="1"/>
      <c r="G216" s="6"/>
      <c r="H216" s="7"/>
      <c r="I216" s="8"/>
      <c r="J216" s="17"/>
    </row>
    <row r="217" spans="1:10" ht="16" x14ac:dyDescent="0.2">
      <c r="A217" s="5"/>
      <c r="B217" s="1"/>
      <c r="C217" s="1"/>
      <c r="D217" s="1"/>
      <c r="E217" s="1"/>
      <c r="F217" s="1"/>
      <c r="G217" s="6"/>
      <c r="H217" s="7"/>
      <c r="I217" s="8"/>
      <c r="J217" s="17"/>
    </row>
    <row r="218" spans="1:10" ht="16" x14ac:dyDescent="0.2">
      <c r="A218" s="5"/>
      <c r="B218" s="1"/>
      <c r="C218" s="1"/>
      <c r="D218" s="1"/>
      <c r="E218" s="1"/>
      <c r="F218" s="1"/>
      <c r="G218" s="6"/>
      <c r="H218" s="7"/>
      <c r="I218" s="8"/>
      <c r="J218" s="17"/>
    </row>
    <row r="219" spans="1:10" ht="16" x14ac:dyDescent="0.2">
      <c r="A219" s="5"/>
      <c r="B219" s="1"/>
      <c r="C219" s="1"/>
      <c r="D219" s="1"/>
      <c r="E219" s="1"/>
      <c r="F219" s="1"/>
      <c r="G219" s="6"/>
      <c r="H219" s="7"/>
      <c r="I219" s="8"/>
      <c r="J219" s="17"/>
    </row>
    <row r="220" spans="1:10" ht="16" x14ac:dyDescent="0.2">
      <c r="A220" s="5"/>
      <c r="B220" s="1"/>
      <c r="C220" s="1"/>
      <c r="D220" s="1"/>
      <c r="E220" s="1"/>
      <c r="F220" s="1"/>
      <c r="G220" s="6"/>
      <c r="H220" s="7"/>
      <c r="I220" s="8"/>
      <c r="J220" s="17"/>
    </row>
    <row r="221" spans="1:10" ht="16" x14ac:dyDescent="0.2">
      <c r="A221" s="5"/>
      <c r="B221" s="1"/>
      <c r="C221" s="1"/>
      <c r="D221" s="1"/>
      <c r="E221" s="1"/>
      <c r="F221" s="1"/>
      <c r="G221" s="6"/>
      <c r="H221" s="7"/>
      <c r="I221" s="8"/>
      <c r="J221" s="17"/>
    </row>
    <row r="226" spans="8:9" ht="26.25" customHeight="1" x14ac:dyDescent="0.15">
      <c r="H226" s="27" t="s">
        <v>1648</v>
      </c>
      <c r="I226" s="28">
        <v>19</v>
      </c>
    </row>
    <row r="227" spans="8:9" ht="13" x14ac:dyDescent="0.15">
      <c r="H227" s="18" t="s">
        <v>1649</v>
      </c>
      <c r="I227" s="18">
        <f>98+3</f>
        <v>101</v>
      </c>
    </row>
    <row r="228" spans="8:9" ht="13" x14ac:dyDescent="0.15">
      <c r="H228" s="18" t="s">
        <v>1650</v>
      </c>
      <c r="I228" s="18">
        <v>50</v>
      </c>
    </row>
    <row r="229" spans="8:9" ht="13" x14ac:dyDescent="0.15">
      <c r="H229" s="18" t="s">
        <v>1651</v>
      </c>
      <c r="I229" s="18">
        <v>7</v>
      </c>
    </row>
    <row r="230" spans="8:9" ht="13" x14ac:dyDescent="0.15">
      <c r="H230" s="18" t="s">
        <v>1652</v>
      </c>
      <c r="I230" s="18">
        <v>3</v>
      </c>
    </row>
    <row r="231" spans="8:9" ht="13" x14ac:dyDescent="0.15">
      <c r="H231" s="18" t="s">
        <v>1653</v>
      </c>
      <c r="I231" s="18">
        <v>4</v>
      </c>
    </row>
    <row r="232" spans="8:9" ht="13" x14ac:dyDescent="0.15">
      <c r="H232" s="18" t="s">
        <v>792</v>
      </c>
      <c r="I232" s="18">
        <v>3</v>
      </c>
    </row>
    <row r="233" spans="8:9" ht="13" x14ac:dyDescent="0.15">
      <c r="H233" s="18" t="s">
        <v>1654</v>
      </c>
      <c r="I233" s="18">
        <v>13</v>
      </c>
    </row>
    <row r="234" spans="8:9" ht="13" x14ac:dyDescent="0.15">
      <c r="H234" s="18" t="s">
        <v>1655</v>
      </c>
      <c r="I234" s="18">
        <v>3</v>
      </c>
    </row>
  </sheetData>
  <autoFilter ref="A1:J189" xr:uid="{00000000-0009-0000-0000-00000A000000}"/>
  <dataValidations count="9">
    <dataValidation type="list" allowBlank="1" showErrorMessage="1" sqref="D172:D173 D198" xr:uid="{00000000-0002-0000-0A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21" xr:uid="{00000000-0002-0000-0A00-000001000000}">
      <formula1>"LARGO,CORTO"</formula1>
    </dataValidation>
    <dataValidation type="list" allowBlank="1" showErrorMessage="1" sqref="E2:E154 E156:E221" xr:uid="{00000000-0002-0000-0A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D104" xr:uid="{00000000-0002-0000-0A00-000003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05" xr:uid="{00000000-0002-0000-0A00-000004000000}">
      <formula1>"MOÑO,MOÑOS,CORBATÍN,PAÑOLETA,NO"</formula1>
    </dataValidation>
    <dataValidation type="list" allowBlank="1" showErrorMessage="1" sqref="D2:D103 D105:D154 D156:D169 D174:D197 D199:D221" xr:uid="{00000000-0002-0000-0A00-000005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  <dataValidation type="list" allowBlank="1" showErrorMessage="1" sqref="D155" xr:uid="{00000000-0002-0000-0A00-000006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FRISE,MUNCHKIN,DOBERMAN,WEIMARANER,SPRINGER SPANIEL"</formula1>
    </dataValidation>
    <dataValidation type="list" allowBlank="1" showErrorMessage="1" sqref="E155" xr:uid="{00000000-0002-0000-0A00-000007000000}">
      <formula1>"BAÑO EVA,FLASH BATH,CAT LOVER,EVA PRIMITIVO,EVA ALTERNATIVO,EVA'S GROOMING,STRIPPING,CORTE DE UÑAS,PEINADO,EVA LISO PERFECTO,SESIÓN DESENREDO"</formula1>
    </dataValidation>
    <dataValidation type="list" allowBlank="1" showErrorMessage="1" sqref="D170:D171" xr:uid="{00000000-0002-0000-0A00-000008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FRISE,MUNCHKIN,DOBERMAN,SPRINGER SPANIEL 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772"/>
  <sheetViews>
    <sheetView workbookViewId="0"/>
  </sheetViews>
  <sheetFormatPr baseColWidth="10" defaultColWidth="12.6640625" defaultRowHeight="15.75" customHeight="1" x14ac:dyDescent="0.15"/>
  <cols>
    <col min="1" max="1" width="12" customWidth="1"/>
    <col min="2" max="2" width="29.1640625" customWidth="1"/>
    <col min="3" max="3" width="19" customWidth="1"/>
    <col min="4" max="4" width="19.33203125" customWidth="1"/>
    <col min="5" max="5" width="26.83203125" customWidth="1"/>
    <col min="6" max="6" width="14" customWidth="1"/>
    <col min="7" max="7" width="15" customWidth="1"/>
    <col min="8" max="8" width="14" customWidth="1"/>
    <col min="9" max="9" width="10.5" customWidth="1"/>
    <col min="10" max="10" width="16.5" customWidth="1"/>
    <col min="11" max="11" width="17.6640625" customWidth="1"/>
  </cols>
  <sheetData>
    <row r="1" spans="1:26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1656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5">
        <v>45962</v>
      </c>
      <c r="B2" s="1" t="s">
        <v>603</v>
      </c>
      <c r="C2" s="1" t="s">
        <v>604</v>
      </c>
      <c r="D2" s="1" t="s">
        <v>18</v>
      </c>
      <c r="E2" s="1" t="s">
        <v>19</v>
      </c>
      <c r="F2" s="1"/>
      <c r="G2" s="1" t="s">
        <v>14</v>
      </c>
      <c r="H2" s="7">
        <v>60000</v>
      </c>
      <c r="I2" s="8">
        <v>12.3</v>
      </c>
      <c r="J2" s="1" t="s">
        <v>15</v>
      </c>
      <c r="K2" s="30" t="s">
        <v>160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5">
        <v>45962</v>
      </c>
      <c r="B3" s="1" t="s">
        <v>234</v>
      </c>
      <c r="C3" s="1" t="s">
        <v>235</v>
      </c>
      <c r="D3" s="1" t="s">
        <v>18</v>
      </c>
      <c r="E3" s="1" t="s">
        <v>19</v>
      </c>
      <c r="F3" s="1"/>
      <c r="G3" s="1" t="s">
        <v>14</v>
      </c>
      <c r="H3" s="7">
        <v>60000</v>
      </c>
      <c r="I3" s="8">
        <v>10</v>
      </c>
      <c r="J3" s="1" t="s">
        <v>37</v>
      </c>
      <c r="K3" s="30" t="s">
        <v>160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5">
        <v>45962</v>
      </c>
      <c r="B4" s="1" t="s">
        <v>1657</v>
      </c>
      <c r="C4" s="1" t="s">
        <v>103</v>
      </c>
      <c r="D4" s="1" t="s">
        <v>64</v>
      </c>
      <c r="E4" s="1" t="s">
        <v>13</v>
      </c>
      <c r="F4" s="1"/>
      <c r="G4" s="1" t="s">
        <v>14</v>
      </c>
      <c r="H4" s="7">
        <v>85000</v>
      </c>
      <c r="I4" s="8">
        <v>8</v>
      </c>
      <c r="J4" s="1" t="s">
        <v>15</v>
      </c>
      <c r="K4" s="30" t="s">
        <v>160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5">
        <v>45962</v>
      </c>
      <c r="B5" s="1" t="s">
        <v>1658</v>
      </c>
      <c r="C5" s="1" t="s">
        <v>869</v>
      </c>
      <c r="D5" s="1" t="s">
        <v>1229</v>
      </c>
      <c r="E5" s="1" t="s">
        <v>19</v>
      </c>
      <c r="F5" s="1"/>
      <c r="G5" s="1" t="s">
        <v>23</v>
      </c>
      <c r="H5" s="7">
        <v>25000</v>
      </c>
      <c r="I5" s="8">
        <v>2.8</v>
      </c>
      <c r="J5" s="1" t="s">
        <v>37</v>
      </c>
      <c r="K5" s="30" t="s">
        <v>160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5">
        <v>45962</v>
      </c>
      <c r="B6" s="1" t="s">
        <v>132</v>
      </c>
      <c r="C6" s="1" t="s">
        <v>36</v>
      </c>
      <c r="D6" s="1" t="s">
        <v>18</v>
      </c>
      <c r="E6" s="1" t="s">
        <v>19</v>
      </c>
      <c r="F6" s="30"/>
      <c r="G6" s="1" t="s">
        <v>14</v>
      </c>
      <c r="H6" s="7" t="s">
        <v>114</v>
      </c>
      <c r="I6" s="8"/>
      <c r="J6" s="1" t="s">
        <v>15</v>
      </c>
      <c r="K6" s="30" t="s">
        <v>160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5">
        <v>45962</v>
      </c>
      <c r="B7" s="1" t="s">
        <v>924</v>
      </c>
      <c r="C7" s="1" t="s">
        <v>130</v>
      </c>
      <c r="D7" s="1" t="s">
        <v>131</v>
      </c>
      <c r="E7" s="1" t="s">
        <v>19</v>
      </c>
      <c r="F7" s="1"/>
      <c r="G7" s="1" t="s">
        <v>14</v>
      </c>
      <c r="H7" s="7" t="s">
        <v>114</v>
      </c>
      <c r="I7" s="8"/>
      <c r="J7" s="1" t="s">
        <v>15</v>
      </c>
      <c r="K7" s="30" t="s">
        <v>160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5">
        <v>45962</v>
      </c>
      <c r="B8" s="1" t="s">
        <v>232</v>
      </c>
      <c r="C8" s="1" t="s">
        <v>1005</v>
      </c>
      <c r="D8" s="1" t="s">
        <v>88</v>
      </c>
      <c r="E8" s="1" t="s">
        <v>13</v>
      </c>
      <c r="F8" s="1"/>
      <c r="G8" s="1" t="s">
        <v>14</v>
      </c>
      <c r="H8" s="7">
        <v>60000</v>
      </c>
      <c r="I8" s="8">
        <v>3.7</v>
      </c>
      <c r="J8" s="1" t="s">
        <v>15</v>
      </c>
      <c r="K8" s="30" t="s">
        <v>160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5">
        <v>45962</v>
      </c>
      <c r="B9" s="1" t="s">
        <v>1108</v>
      </c>
      <c r="C9" s="1" t="s">
        <v>375</v>
      </c>
      <c r="D9" s="1" t="s">
        <v>131</v>
      </c>
      <c r="E9" s="1" t="s">
        <v>19</v>
      </c>
      <c r="F9" s="1"/>
      <c r="G9" s="1" t="s">
        <v>14</v>
      </c>
      <c r="H9" s="7">
        <v>75000</v>
      </c>
      <c r="I9" s="8">
        <v>32</v>
      </c>
      <c r="J9" s="1" t="s">
        <v>15</v>
      </c>
      <c r="K9" s="30" t="s">
        <v>160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5">
        <v>45962</v>
      </c>
      <c r="B10" s="1" t="s">
        <v>1382</v>
      </c>
      <c r="C10" s="1" t="s">
        <v>1383</v>
      </c>
      <c r="D10" s="1" t="s">
        <v>26</v>
      </c>
      <c r="E10" s="1" t="s">
        <v>19</v>
      </c>
      <c r="F10" s="1"/>
      <c r="G10" s="1" t="s">
        <v>14</v>
      </c>
      <c r="H10" s="7">
        <v>70000</v>
      </c>
      <c r="I10" s="8">
        <v>3</v>
      </c>
      <c r="J10" s="1" t="s">
        <v>34</v>
      </c>
      <c r="K10" s="30" t="s">
        <v>160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5">
        <v>45962</v>
      </c>
      <c r="B11" s="1" t="s">
        <v>1659</v>
      </c>
      <c r="C11" s="1" t="s">
        <v>1660</v>
      </c>
      <c r="D11" s="1" t="s">
        <v>12</v>
      </c>
      <c r="E11" s="1" t="s">
        <v>13</v>
      </c>
      <c r="F11" s="1"/>
      <c r="G11" s="1" t="s">
        <v>14</v>
      </c>
      <c r="H11" s="7">
        <v>95000</v>
      </c>
      <c r="I11" s="8">
        <v>7.3</v>
      </c>
      <c r="J11" s="1" t="s">
        <v>37</v>
      </c>
      <c r="K11" s="30" t="s">
        <v>1661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5">
        <v>45962</v>
      </c>
      <c r="B12" s="1" t="s">
        <v>1256</v>
      </c>
      <c r="C12" s="1" t="s">
        <v>130</v>
      </c>
      <c r="D12" s="1" t="s">
        <v>45</v>
      </c>
      <c r="E12" s="1" t="s">
        <v>19</v>
      </c>
      <c r="F12" s="1"/>
      <c r="G12" s="1" t="s">
        <v>23</v>
      </c>
      <c r="H12" s="7">
        <v>55000</v>
      </c>
      <c r="I12" s="8">
        <v>17</v>
      </c>
      <c r="J12" s="1" t="s">
        <v>15</v>
      </c>
      <c r="K12" s="30" t="s">
        <v>160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5">
        <v>45962</v>
      </c>
      <c r="B13" s="1" t="s">
        <v>1662</v>
      </c>
      <c r="C13" s="1" t="s">
        <v>339</v>
      </c>
      <c r="D13" s="1" t="s">
        <v>340</v>
      </c>
      <c r="E13" s="1" t="s">
        <v>19</v>
      </c>
      <c r="F13" s="1"/>
      <c r="G13" s="1" t="s">
        <v>23</v>
      </c>
      <c r="H13" s="7">
        <v>20000</v>
      </c>
      <c r="I13" s="8">
        <v>2.6</v>
      </c>
      <c r="J13" s="1" t="s">
        <v>15</v>
      </c>
      <c r="K13" s="30" t="s">
        <v>160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5">
        <v>45962</v>
      </c>
      <c r="B14" s="1" t="s">
        <v>1395</v>
      </c>
      <c r="C14" s="1" t="s">
        <v>319</v>
      </c>
      <c r="D14" s="1" t="s">
        <v>1229</v>
      </c>
      <c r="E14" s="1" t="s">
        <v>19</v>
      </c>
      <c r="F14" s="1"/>
      <c r="G14" s="1" t="s">
        <v>23</v>
      </c>
      <c r="H14" s="7">
        <v>30000</v>
      </c>
      <c r="I14" s="8">
        <v>1.6</v>
      </c>
      <c r="J14" s="1" t="s">
        <v>15</v>
      </c>
      <c r="K14" s="30" t="s">
        <v>1661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5">
        <v>45962</v>
      </c>
      <c r="B15" s="1" t="s">
        <v>1395</v>
      </c>
      <c r="C15" s="1" t="s">
        <v>1663</v>
      </c>
      <c r="D15" s="1" t="s">
        <v>1229</v>
      </c>
      <c r="E15" s="1" t="s">
        <v>19</v>
      </c>
      <c r="F15" s="1"/>
      <c r="G15" s="1" t="s">
        <v>23</v>
      </c>
      <c r="H15" s="7">
        <v>30000</v>
      </c>
      <c r="I15" s="8">
        <v>2.9</v>
      </c>
      <c r="J15" s="1" t="s">
        <v>15</v>
      </c>
      <c r="K15" s="30" t="s">
        <v>1661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5">
        <v>45965</v>
      </c>
      <c r="B16" s="1" t="s">
        <v>1028</v>
      </c>
      <c r="C16" s="1" t="s">
        <v>1664</v>
      </c>
      <c r="D16" s="1" t="s">
        <v>12</v>
      </c>
      <c r="E16" s="1" t="s">
        <v>13</v>
      </c>
      <c r="F16" s="1" t="s">
        <v>1665</v>
      </c>
      <c r="G16" s="1" t="s">
        <v>14</v>
      </c>
      <c r="H16" s="7">
        <v>90000</v>
      </c>
      <c r="I16" s="8"/>
      <c r="J16" s="1" t="s">
        <v>15</v>
      </c>
      <c r="K16" s="30" t="s">
        <v>160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5">
        <v>45965</v>
      </c>
      <c r="B17" s="1" t="s">
        <v>1028</v>
      </c>
      <c r="C17" s="1" t="s">
        <v>1666</v>
      </c>
      <c r="D17" s="1" t="s">
        <v>12</v>
      </c>
      <c r="E17" s="1" t="s">
        <v>13</v>
      </c>
      <c r="F17" s="1" t="s">
        <v>1665</v>
      </c>
      <c r="G17" s="1" t="s">
        <v>14</v>
      </c>
      <c r="H17" s="7">
        <v>90000</v>
      </c>
      <c r="I17" s="8">
        <v>5.8</v>
      </c>
      <c r="J17" s="1" t="s">
        <v>15</v>
      </c>
      <c r="K17" s="30" t="s">
        <v>160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5">
        <v>45965</v>
      </c>
      <c r="B18" s="1" t="s">
        <v>823</v>
      </c>
      <c r="C18" s="1" t="s">
        <v>1105</v>
      </c>
      <c r="D18" s="1" t="s">
        <v>26</v>
      </c>
      <c r="E18" s="1" t="s">
        <v>13</v>
      </c>
      <c r="F18" s="1"/>
      <c r="G18" s="1" t="s">
        <v>14</v>
      </c>
      <c r="H18" s="7">
        <v>85000</v>
      </c>
      <c r="I18" s="8">
        <v>7.7</v>
      </c>
      <c r="J18" s="1" t="s">
        <v>15</v>
      </c>
      <c r="K18" s="30" t="s">
        <v>160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5">
        <v>45965</v>
      </c>
      <c r="B19" s="1" t="s">
        <v>1278</v>
      </c>
      <c r="C19" s="1" t="s">
        <v>137</v>
      </c>
      <c r="D19" s="1" t="s">
        <v>1229</v>
      </c>
      <c r="E19" s="1" t="s">
        <v>19</v>
      </c>
      <c r="F19" s="1"/>
      <c r="G19" s="1" t="s">
        <v>23</v>
      </c>
      <c r="H19" s="7">
        <v>25000</v>
      </c>
      <c r="I19" s="8">
        <v>2</v>
      </c>
      <c r="J19" s="1" t="s">
        <v>15</v>
      </c>
      <c r="K19" s="30" t="s">
        <v>160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5">
        <v>45965</v>
      </c>
      <c r="B20" s="1" t="s">
        <v>497</v>
      </c>
      <c r="C20" s="1" t="s">
        <v>498</v>
      </c>
      <c r="D20" s="1" t="s">
        <v>26</v>
      </c>
      <c r="E20" s="1" t="s">
        <v>13</v>
      </c>
      <c r="F20" s="1"/>
      <c r="G20" s="1" t="s">
        <v>14</v>
      </c>
      <c r="H20" s="7">
        <v>75000</v>
      </c>
      <c r="I20" s="8">
        <v>4.5</v>
      </c>
      <c r="J20" s="1" t="s">
        <v>34</v>
      </c>
      <c r="K20" s="30" t="s">
        <v>160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5">
        <v>45965</v>
      </c>
      <c r="B21" s="1" t="s">
        <v>1667</v>
      </c>
      <c r="C21" s="1" t="s">
        <v>1668</v>
      </c>
      <c r="D21" s="1" t="s">
        <v>494</v>
      </c>
      <c r="E21" s="1" t="s">
        <v>828</v>
      </c>
      <c r="F21" s="1"/>
      <c r="G21" s="1"/>
      <c r="H21" s="7">
        <v>55000</v>
      </c>
      <c r="I21" s="8">
        <v>3</v>
      </c>
      <c r="J21" s="1" t="s">
        <v>15</v>
      </c>
      <c r="K21" s="30" t="s">
        <v>1661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5">
        <v>45965</v>
      </c>
      <c r="B22" s="1"/>
      <c r="C22" s="1"/>
      <c r="D22" s="1" t="s">
        <v>42</v>
      </c>
      <c r="E22" s="1" t="s">
        <v>61</v>
      </c>
      <c r="F22" s="1"/>
      <c r="G22" s="1"/>
      <c r="H22" s="7">
        <v>10000</v>
      </c>
      <c r="I22" s="8"/>
      <c r="J22" s="1" t="s">
        <v>160</v>
      </c>
      <c r="K22" s="30" t="s">
        <v>160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5">
        <v>45965</v>
      </c>
      <c r="B23" s="1" t="s">
        <v>1669</v>
      </c>
      <c r="C23" s="1" t="s">
        <v>53</v>
      </c>
      <c r="D23" s="1" t="s">
        <v>64</v>
      </c>
      <c r="E23" s="1" t="s">
        <v>19</v>
      </c>
      <c r="F23" s="1"/>
      <c r="G23" s="1" t="s">
        <v>23</v>
      </c>
      <c r="H23" s="7">
        <v>70000</v>
      </c>
      <c r="I23" s="8">
        <v>28.1</v>
      </c>
      <c r="J23" s="1" t="s">
        <v>15</v>
      </c>
      <c r="K23" s="30" t="s">
        <v>160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5">
        <v>45965</v>
      </c>
      <c r="B24" s="1" t="s">
        <v>1670</v>
      </c>
      <c r="C24" s="1" t="s">
        <v>550</v>
      </c>
      <c r="D24" s="1" t="s">
        <v>1229</v>
      </c>
      <c r="E24" s="1" t="s">
        <v>19</v>
      </c>
      <c r="F24" s="1"/>
      <c r="G24" s="1" t="s">
        <v>23</v>
      </c>
      <c r="H24" s="7">
        <v>30000</v>
      </c>
      <c r="I24" s="8">
        <v>5.2</v>
      </c>
      <c r="J24" s="1" t="s">
        <v>15</v>
      </c>
      <c r="K24" s="30" t="s">
        <v>160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5">
        <v>45965</v>
      </c>
      <c r="B25" s="1" t="s">
        <v>1671</v>
      </c>
      <c r="C25" s="1" t="s">
        <v>1393</v>
      </c>
      <c r="D25" s="1" t="s">
        <v>32</v>
      </c>
      <c r="E25" s="1" t="s">
        <v>13</v>
      </c>
      <c r="F25" s="1"/>
      <c r="G25" s="1" t="s">
        <v>14</v>
      </c>
      <c r="H25" s="7">
        <v>65000</v>
      </c>
      <c r="I25" s="8">
        <v>5.8</v>
      </c>
      <c r="J25" s="1" t="s">
        <v>15</v>
      </c>
      <c r="K25" s="30" t="s">
        <v>160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5">
        <v>45966</v>
      </c>
      <c r="B26" s="1" t="s">
        <v>1672</v>
      </c>
      <c r="C26" s="1" t="s">
        <v>391</v>
      </c>
      <c r="D26" s="1" t="s">
        <v>18</v>
      </c>
      <c r="E26" s="1" t="s">
        <v>19</v>
      </c>
      <c r="F26" s="1"/>
      <c r="G26" s="1" t="s">
        <v>14</v>
      </c>
      <c r="H26" s="7">
        <v>75000</v>
      </c>
      <c r="I26" s="8"/>
      <c r="J26" s="1"/>
      <c r="K26" s="30" t="s">
        <v>160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5">
        <v>45966</v>
      </c>
      <c r="B27" s="1" t="s">
        <v>1673</v>
      </c>
      <c r="C27" s="1" t="s">
        <v>172</v>
      </c>
      <c r="D27" s="1" t="s">
        <v>26</v>
      </c>
      <c r="E27" s="1" t="s">
        <v>13</v>
      </c>
      <c r="F27" s="1"/>
      <c r="G27" s="1" t="s">
        <v>14</v>
      </c>
      <c r="H27" s="7">
        <v>95000</v>
      </c>
      <c r="I27" s="8">
        <v>4.3</v>
      </c>
      <c r="J27" s="1"/>
      <c r="K27" s="30" t="s">
        <v>160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5">
        <v>45966</v>
      </c>
      <c r="B28" s="1" t="s">
        <v>1674</v>
      </c>
      <c r="C28" s="1" t="s">
        <v>1675</v>
      </c>
      <c r="D28" s="1" t="s">
        <v>64</v>
      </c>
      <c r="E28" s="1" t="s">
        <v>13</v>
      </c>
      <c r="F28" s="1"/>
      <c r="G28" s="1" t="s">
        <v>14</v>
      </c>
      <c r="H28" s="7">
        <v>80000</v>
      </c>
      <c r="I28" s="8"/>
      <c r="J28" s="1"/>
      <c r="K28" s="30" t="s">
        <v>160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5">
        <v>45966</v>
      </c>
      <c r="B29" s="1" t="s">
        <v>1674</v>
      </c>
      <c r="C29" s="1" t="s">
        <v>526</v>
      </c>
      <c r="D29" s="1" t="s">
        <v>64</v>
      </c>
      <c r="E29" s="1" t="s">
        <v>19</v>
      </c>
      <c r="F29" s="1"/>
      <c r="G29" s="1" t="s">
        <v>23</v>
      </c>
      <c r="H29" s="7">
        <v>65000</v>
      </c>
      <c r="I29" s="8"/>
      <c r="J29" s="1"/>
      <c r="K29" s="30" t="s">
        <v>160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5">
        <v>45966</v>
      </c>
      <c r="B30" s="1" t="s">
        <v>1676</v>
      </c>
      <c r="C30" s="1" t="s">
        <v>484</v>
      </c>
      <c r="D30" s="1" t="s">
        <v>131</v>
      </c>
      <c r="E30" s="1" t="s">
        <v>19</v>
      </c>
      <c r="F30" s="1"/>
      <c r="G30" s="1" t="s">
        <v>14</v>
      </c>
      <c r="H30" s="7">
        <v>85000</v>
      </c>
      <c r="I30" s="8">
        <v>38.200000000000003</v>
      </c>
      <c r="J30" s="1"/>
      <c r="K30" s="30" t="s">
        <v>160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5">
        <v>45966</v>
      </c>
      <c r="B31" s="1" t="s">
        <v>1677</v>
      </c>
      <c r="C31" s="1" t="s">
        <v>486</v>
      </c>
      <c r="D31" s="1"/>
      <c r="E31" s="1" t="s">
        <v>792</v>
      </c>
      <c r="F31" s="1"/>
      <c r="G31" s="1"/>
      <c r="H31" s="7">
        <v>130000</v>
      </c>
      <c r="I31" s="8">
        <v>7</v>
      </c>
      <c r="J31" s="1"/>
      <c r="K31" s="30" t="s">
        <v>1661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5">
        <v>45966</v>
      </c>
      <c r="B32" s="1"/>
      <c r="C32" s="1"/>
      <c r="D32" s="1"/>
      <c r="E32" s="1" t="s">
        <v>61</v>
      </c>
      <c r="F32" s="1"/>
      <c r="G32" s="1" t="s">
        <v>23</v>
      </c>
      <c r="H32" s="7">
        <v>15000</v>
      </c>
      <c r="I32" s="8"/>
      <c r="J32" s="1"/>
      <c r="K32" s="30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5">
        <v>45966</v>
      </c>
      <c r="B33" s="1"/>
      <c r="C33" s="1"/>
      <c r="D33" s="1"/>
      <c r="E33" s="1" t="s">
        <v>61</v>
      </c>
      <c r="F33" s="1"/>
      <c r="G33" s="1" t="s">
        <v>23</v>
      </c>
      <c r="H33" s="7">
        <v>15000</v>
      </c>
      <c r="I33" s="8"/>
      <c r="J33" s="1"/>
      <c r="K33" s="30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5">
        <v>45966</v>
      </c>
      <c r="B34" s="1" t="s">
        <v>1678</v>
      </c>
      <c r="C34" s="1" t="s">
        <v>444</v>
      </c>
      <c r="D34" s="1" t="s">
        <v>32</v>
      </c>
      <c r="E34" s="1" t="s">
        <v>19</v>
      </c>
      <c r="F34" s="1"/>
      <c r="G34" s="1" t="s">
        <v>14</v>
      </c>
      <c r="H34" s="7">
        <v>70000</v>
      </c>
      <c r="I34" s="8"/>
      <c r="J34" s="1"/>
      <c r="K34" s="30" t="s">
        <v>1661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5">
        <v>45967</v>
      </c>
      <c r="B35" s="1" t="s">
        <v>1494</v>
      </c>
      <c r="C35" s="1" t="s">
        <v>1338</v>
      </c>
      <c r="D35" s="1" t="s">
        <v>131</v>
      </c>
      <c r="E35" s="1" t="s">
        <v>19</v>
      </c>
      <c r="F35" s="1"/>
      <c r="G35" s="1" t="s">
        <v>14</v>
      </c>
      <c r="H35" s="7">
        <v>95000</v>
      </c>
      <c r="I35" s="8">
        <v>35</v>
      </c>
      <c r="J35" s="1"/>
      <c r="K35" s="30" t="s">
        <v>160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5">
        <v>45967</v>
      </c>
      <c r="B36" s="1" t="s">
        <v>285</v>
      </c>
      <c r="C36" s="1" t="s">
        <v>173</v>
      </c>
      <c r="D36" s="1" t="s">
        <v>22</v>
      </c>
      <c r="E36" s="1" t="s">
        <v>19</v>
      </c>
      <c r="F36" s="1"/>
      <c r="G36" s="1" t="s">
        <v>23</v>
      </c>
      <c r="H36" s="7">
        <v>50000</v>
      </c>
      <c r="I36" s="8">
        <v>12.6</v>
      </c>
      <c r="J36" s="1"/>
      <c r="K36" s="30" t="s">
        <v>1661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5">
        <v>45967</v>
      </c>
      <c r="B37" s="1" t="s">
        <v>791</v>
      </c>
      <c r="C37" s="1" t="s">
        <v>278</v>
      </c>
      <c r="D37" s="1" t="s">
        <v>18</v>
      </c>
      <c r="E37" s="1" t="s">
        <v>13</v>
      </c>
      <c r="F37" s="1"/>
      <c r="G37" s="1" t="s">
        <v>14</v>
      </c>
      <c r="H37" s="7">
        <v>65000</v>
      </c>
      <c r="I37" s="8"/>
      <c r="J37" s="1"/>
      <c r="K37" s="30" t="s">
        <v>160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5">
        <v>45967</v>
      </c>
      <c r="B38" s="1" t="s">
        <v>186</v>
      </c>
      <c r="C38" s="1" t="s">
        <v>187</v>
      </c>
      <c r="D38" s="1" t="s">
        <v>32</v>
      </c>
      <c r="E38" s="1" t="s">
        <v>19</v>
      </c>
      <c r="F38" s="1"/>
      <c r="G38" s="1" t="s">
        <v>14</v>
      </c>
      <c r="H38" s="7">
        <v>45000</v>
      </c>
      <c r="I38" s="8">
        <v>3.1</v>
      </c>
      <c r="J38" s="1"/>
      <c r="K38" s="30" t="s">
        <v>160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5">
        <v>45967</v>
      </c>
      <c r="B39" s="1" t="s">
        <v>186</v>
      </c>
      <c r="C39" s="1" t="s">
        <v>190</v>
      </c>
      <c r="D39" s="1" t="s">
        <v>32</v>
      </c>
      <c r="E39" s="1" t="s">
        <v>19</v>
      </c>
      <c r="F39" s="30"/>
      <c r="G39" s="1" t="s">
        <v>14</v>
      </c>
      <c r="H39" s="7">
        <v>45000</v>
      </c>
      <c r="I39" s="8">
        <v>4.0999999999999996</v>
      </c>
      <c r="J39" s="1"/>
      <c r="K39" s="30" t="s">
        <v>160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5">
        <v>45967</v>
      </c>
      <c r="B40" s="1" t="s">
        <v>1147</v>
      </c>
      <c r="C40" s="1" t="s">
        <v>148</v>
      </c>
      <c r="D40" s="1" t="s">
        <v>32</v>
      </c>
      <c r="E40" s="1" t="s">
        <v>19</v>
      </c>
      <c r="F40" s="1"/>
      <c r="G40" s="1" t="s">
        <v>14</v>
      </c>
      <c r="H40" s="7">
        <v>65000</v>
      </c>
      <c r="I40" s="8">
        <v>5.6</v>
      </c>
      <c r="J40" s="1"/>
      <c r="K40" s="30" t="s">
        <v>160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5">
        <v>45967</v>
      </c>
      <c r="B41" s="1" t="s">
        <v>1679</v>
      </c>
      <c r="C41" s="1" t="s">
        <v>1680</v>
      </c>
      <c r="D41" s="1" t="s">
        <v>26</v>
      </c>
      <c r="E41" s="1" t="s">
        <v>19</v>
      </c>
      <c r="F41" s="1" t="s">
        <v>1020</v>
      </c>
      <c r="G41" s="1" t="s">
        <v>14</v>
      </c>
      <c r="H41" s="7" t="s">
        <v>114</v>
      </c>
      <c r="I41" s="8"/>
      <c r="J41" s="1"/>
      <c r="K41" s="30" t="s">
        <v>1661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5">
        <v>45967</v>
      </c>
      <c r="B42" s="1"/>
      <c r="C42" s="1"/>
      <c r="D42" s="1"/>
      <c r="E42" s="1" t="s">
        <v>61</v>
      </c>
      <c r="F42" s="1"/>
      <c r="G42" s="1" t="s">
        <v>23</v>
      </c>
      <c r="H42" s="7">
        <v>10000</v>
      </c>
      <c r="I42" s="8"/>
      <c r="J42" s="1"/>
      <c r="K42" s="30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5">
        <v>45967</v>
      </c>
      <c r="B43" s="1"/>
      <c r="C43" s="1"/>
      <c r="D43" s="1"/>
      <c r="E43" s="1" t="s">
        <v>61</v>
      </c>
      <c r="F43" s="1"/>
      <c r="G43" s="1" t="s">
        <v>23</v>
      </c>
      <c r="H43" s="7">
        <v>10000</v>
      </c>
      <c r="I43" s="8"/>
      <c r="J43" s="1"/>
      <c r="K43" s="30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5">
        <v>45968</v>
      </c>
      <c r="B44" s="1" t="s">
        <v>1681</v>
      </c>
      <c r="C44" s="1" t="s">
        <v>704</v>
      </c>
      <c r="D44" s="1" t="s">
        <v>32</v>
      </c>
      <c r="E44" s="1" t="s">
        <v>13</v>
      </c>
      <c r="F44" s="1"/>
      <c r="G44" s="1" t="s">
        <v>14</v>
      </c>
      <c r="H44" s="7">
        <v>85000</v>
      </c>
      <c r="I44" s="8">
        <v>2.6</v>
      </c>
      <c r="J44" s="1"/>
      <c r="K44" s="30" t="s">
        <v>1661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5">
        <v>45968</v>
      </c>
      <c r="B45" s="1" t="s">
        <v>928</v>
      </c>
      <c r="C45" s="1" t="s">
        <v>433</v>
      </c>
      <c r="D45" s="1" t="s">
        <v>18</v>
      </c>
      <c r="E45" s="1" t="s">
        <v>13</v>
      </c>
      <c r="F45" s="1"/>
      <c r="G45" s="1" t="s">
        <v>14</v>
      </c>
      <c r="H45" s="7">
        <v>80000</v>
      </c>
      <c r="I45" s="8">
        <v>16.5</v>
      </c>
      <c r="J45" s="1"/>
      <c r="K45" s="30" t="s">
        <v>160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5">
        <v>45968</v>
      </c>
      <c r="B46" s="1" t="s">
        <v>928</v>
      </c>
      <c r="C46" s="1" t="s">
        <v>929</v>
      </c>
      <c r="D46" s="1" t="s">
        <v>64</v>
      </c>
      <c r="E46" s="1" t="s">
        <v>13</v>
      </c>
      <c r="F46" s="1"/>
      <c r="G46" s="1" t="s">
        <v>14</v>
      </c>
      <c r="H46" s="7">
        <v>70000</v>
      </c>
      <c r="I46" s="8">
        <v>14.9</v>
      </c>
      <c r="J46" s="1"/>
      <c r="K46" s="30" t="s">
        <v>160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5">
        <v>45968</v>
      </c>
      <c r="B47" s="1" t="s">
        <v>182</v>
      </c>
      <c r="C47" s="1" t="s">
        <v>183</v>
      </c>
      <c r="D47" s="1" t="s">
        <v>26</v>
      </c>
      <c r="E47" s="1" t="s">
        <v>19</v>
      </c>
      <c r="F47" s="1"/>
      <c r="G47" s="1" t="s">
        <v>14</v>
      </c>
      <c r="H47" s="7">
        <v>65000</v>
      </c>
      <c r="I47" s="8">
        <v>6.4</v>
      </c>
      <c r="J47" s="1"/>
      <c r="K47" s="30" t="s">
        <v>160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5">
        <v>45968</v>
      </c>
      <c r="B48" s="1" t="s">
        <v>186</v>
      </c>
      <c r="C48" s="1" t="s">
        <v>1682</v>
      </c>
      <c r="D48" s="1" t="s">
        <v>32</v>
      </c>
      <c r="E48" s="1" t="s">
        <v>19</v>
      </c>
      <c r="F48" s="1"/>
      <c r="G48" s="1" t="s">
        <v>14</v>
      </c>
      <c r="H48" s="7">
        <v>60000</v>
      </c>
      <c r="I48" s="8">
        <v>7.8</v>
      </c>
      <c r="J48" s="1"/>
      <c r="K48" s="30" t="s">
        <v>160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5">
        <v>45968</v>
      </c>
      <c r="B49" s="1" t="s">
        <v>186</v>
      </c>
      <c r="C49" s="1" t="s">
        <v>189</v>
      </c>
      <c r="D49" s="1" t="s">
        <v>32</v>
      </c>
      <c r="E49" s="1" t="s">
        <v>19</v>
      </c>
      <c r="F49" s="1"/>
      <c r="G49" s="1" t="s">
        <v>14</v>
      </c>
      <c r="H49" s="7">
        <v>50000</v>
      </c>
      <c r="I49" s="8">
        <v>4.4000000000000004</v>
      </c>
      <c r="J49" s="1"/>
      <c r="K49" s="30" t="s">
        <v>160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5">
        <v>45968</v>
      </c>
      <c r="B50" s="1" t="s">
        <v>263</v>
      </c>
      <c r="C50" s="1" t="s">
        <v>264</v>
      </c>
      <c r="D50" s="1" t="s">
        <v>88</v>
      </c>
      <c r="E50" s="1" t="s">
        <v>13</v>
      </c>
      <c r="F50" s="1"/>
      <c r="G50" s="1" t="s">
        <v>14</v>
      </c>
      <c r="H50" s="7">
        <v>85000</v>
      </c>
      <c r="I50" s="8">
        <v>3.9</v>
      </c>
      <c r="J50" s="1"/>
      <c r="K50" s="30" t="s">
        <v>160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5">
        <v>45968</v>
      </c>
      <c r="B51" s="1" t="s">
        <v>481</v>
      </c>
      <c r="C51" s="1" t="s">
        <v>482</v>
      </c>
      <c r="D51" s="1" t="s">
        <v>371</v>
      </c>
      <c r="E51" s="1" t="s">
        <v>19</v>
      </c>
      <c r="F51" s="1"/>
      <c r="G51" s="1" t="s">
        <v>23</v>
      </c>
      <c r="H51" s="7">
        <v>60000</v>
      </c>
      <c r="I51" s="8"/>
      <c r="J51" s="1"/>
      <c r="K51" s="30" t="s">
        <v>160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5">
        <v>45968</v>
      </c>
      <c r="B52" s="1" t="s">
        <v>397</v>
      </c>
      <c r="C52" s="1" t="s">
        <v>398</v>
      </c>
      <c r="D52" s="1" t="s">
        <v>112</v>
      </c>
      <c r="E52" s="1" t="s">
        <v>19</v>
      </c>
      <c r="F52" s="1"/>
      <c r="G52" s="1" t="s">
        <v>14</v>
      </c>
      <c r="H52" s="7" t="s">
        <v>114</v>
      </c>
      <c r="I52" s="8"/>
      <c r="J52" s="1"/>
      <c r="K52" s="30" t="s">
        <v>160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5">
        <v>45968</v>
      </c>
      <c r="B53" s="1"/>
      <c r="C53" s="1"/>
      <c r="D53" s="1"/>
      <c r="E53" s="1" t="s">
        <v>61</v>
      </c>
      <c r="F53" s="1"/>
      <c r="G53" s="1" t="s">
        <v>14</v>
      </c>
      <c r="H53" s="7">
        <v>12000</v>
      </c>
      <c r="I53" s="8"/>
      <c r="J53" s="1"/>
      <c r="K53" s="30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5">
        <v>45969</v>
      </c>
      <c r="B54" s="1" t="s">
        <v>1683</v>
      </c>
      <c r="C54" s="1" t="s">
        <v>41</v>
      </c>
      <c r="D54" s="1" t="s">
        <v>64</v>
      </c>
      <c r="E54" s="1" t="s">
        <v>13</v>
      </c>
      <c r="F54" s="1"/>
      <c r="G54" s="1" t="s">
        <v>14</v>
      </c>
      <c r="H54" s="7">
        <v>80000</v>
      </c>
      <c r="I54" s="8">
        <v>3.7</v>
      </c>
      <c r="J54" s="1"/>
      <c r="K54" s="30" t="s">
        <v>160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5">
        <v>45969</v>
      </c>
      <c r="B55" s="1" t="s">
        <v>741</v>
      </c>
      <c r="C55" s="1" t="s">
        <v>1684</v>
      </c>
      <c r="D55" s="1" t="s">
        <v>64</v>
      </c>
      <c r="E55" s="1" t="s">
        <v>19</v>
      </c>
      <c r="F55" s="1"/>
      <c r="G55" s="1" t="s">
        <v>23</v>
      </c>
      <c r="H55" s="7">
        <v>70000</v>
      </c>
      <c r="I55" s="8">
        <v>23.6</v>
      </c>
      <c r="J55" s="1"/>
      <c r="K55" s="30" t="s">
        <v>1661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5">
        <v>45969</v>
      </c>
      <c r="B56" s="1" t="s">
        <v>741</v>
      </c>
      <c r="C56" s="1" t="s">
        <v>1098</v>
      </c>
      <c r="D56" s="1" t="s">
        <v>45</v>
      </c>
      <c r="E56" s="1" t="s">
        <v>19</v>
      </c>
      <c r="F56" s="1"/>
      <c r="G56" s="1" t="s">
        <v>23</v>
      </c>
      <c r="H56" s="7">
        <v>60000</v>
      </c>
      <c r="I56" s="8">
        <v>15</v>
      </c>
      <c r="J56" s="1"/>
      <c r="K56" s="30" t="s">
        <v>160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5">
        <v>45969</v>
      </c>
      <c r="B57" s="1" t="s">
        <v>924</v>
      </c>
      <c r="C57" s="1" t="s">
        <v>484</v>
      </c>
      <c r="D57" s="1" t="s">
        <v>131</v>
      </c>
      <c r="E57" s="1" t="s">
        <v>19</v>
      </c>
      <c r="F57" s="1"/>
      <c r="G57" s="1" t="s">
        <v>23</v>
      </c>
      <c r="H57" s="7" t="s">
        <v>114</v>
      </c>
      <c r="I57" s="8">
        <v>37.799999999999997</v>
      </c>
      <c r="J57" s="1"/>
      <c r="K57" s="30" t="s">
        <v>160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5">
        <v>45969</v>
      </c>
      <c r="B58" s="1" t="s">
        <v>1685</v>
      </c>
      <c r="C58" s="1" t="s">
        <v>31</v>
      </c>
      <c r="D58" s="1" t="s">
        <v>88</v>
      </c>
      <c r="E58" s="1" t="s">
        <v>13</v>
      </c>
      <c r="F58" s="1"/>
      <c r="G58" s="1" t="s">
        <v>14</v>
      </c>
      <c r="H58" s="7">
        <v>85000</v>
      </c>
      <c r="I58" s="8">
        <v>2.7</v>
      </c>
      <c r="J58" s="1"/>
      <c r="K58" s="30" t="s">
        <v>1661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5">
        <v>45969</v>
      </c>
      <c r="B59" s="1" t="s">
        <v>35</v>
      </c>
      <c r="C59" s="1" t="s">
        <v>36</v>
      </c>
      <c r="D59" s="1" t="s">
        <v>18</v>
      </c>
      <c r="E59" s="1" t="s">
        <v>19</v>
      </c>
      <c r="F59" s="1"/>
      <c r="G59" s="1" t="s">
        <v>14</v>
      </c>
      <c r="H59" s="7" t="s">
        <v>114</v>
      </c>
      <c r="I59" s="8"/>
      <c r="J59" s="1"/>
      <c r="K59" s="30" t="s">
        <v>160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5">
        <v>45969</v>
      </c>
      <c r="B60" s="1" t="s">
        <v>1686</v>
      </c>
      <c r="C60" s="1" t="s">
        <v>1509</v>
      </c>
      <c r="D60" s="1" t="s">
        <v>26</v>
      </c>
      <c r="E60" s="1" t="s">
        <v>1010</v>
      </c>
      <c r="F60" s="1"/>
      <c r="G60" s="1" t="s">
        <v>14</v>
      </c>
      <c r="H60" s="7">
        <v>70000</v>
      </c>
      <c r="I60" s="8">
        <v>2.9</v>
      </c>
      <c r="J60" s="1"/>
      <c r="K60" s="30" t="s">
        <v>160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5">
        <v>45969</v>
      </c>
      <c r="B61" s="1" t="s">
        <v>1687</v>
      </c>
      <c r="C61" s="1" t="s">
        <v>349</v>
      </c>
      <c r="D61" s="1" t="s">
        <v>26</v>
      </c>
      <c r="E61" s="1" t="s">
        <v>13</v>
      </c>
      <c r="F61" s="1"/>
      <c r="G61" s="1" t="s">
        <v>14</v>
      </c>
      <c r="H61" s="7">
        <v>80000</v>
      </c>
      <c r="I61" s="8">
        <v>6.8</v>
      </c>
      <c r="J61" s="1"/>
      <c r="K61" s="30" t="s">
        <v>160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5">
        <v>45969</v>
      </c>
      <c r="B62" s="1" t="s">
        <v>511</v>
      </c>
      <c r="C62" s="1" t="s">
        <v>512</v>
      </c>
      <c r="D62" s="1" t="s">
        <v>32</v>
      </c>
      <c r="E62" s="1" t="s">
        <v>19</v>
      </c>
      <c r="F62" s="1"/>
      <c r="G62" s="1" t="s">
        <v>14</v>
      </c>
      <c r="H62" s="7">
        <v>85000</v>
      </c>
      <c r="I62" s="8">
        <v>8.4</v>
      </c>
      <c r="J62" s="1"/>
      <c r="K62" s="30" t="s">
        <v>160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5">
        <v>45969</v>
      </c>
      <c r="B63" s="1" t="s">
        <v>400</v>
      </c>
      <c r="C63" s="1" t="s">
        <v>401</v>
      </c>
      <c r="D63" s="1" t="s">
        <v>119</v>
      </c>
      <c r="E63" s="1" t="s">
        <v>19</v>
      </c>
      <c r="F63" s="1"/>
      <c r="G63" s="1" t="s">
        <v>23</v>
      </c>
      <c r="H63" s="7">
        <v>60000</v>
      </c>
      <c r="I63" s="8">
        <v>15</v>
      </c>
      <c r="J63" s="1"/>
      <c r="K63" s="30" t="s">
        <v>160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5">
        <v>45969</v>
      </c>
      <c r="B64" s="1" t="s">
        <v>1179</v>
      </c>
      <c r="C64" s="1" t="s">
        <v>321</v>
      </c>
      <c r="D64" s="1" t="s">
        <v>64</v>
      </c>
      <c r="E64" s="1" t="s">
        <v>792</v>
      </c>
      <c r="F64" s="1"/>
      <c r="G64" s="1" t="s">
        <v>23</v>
      </c>
      <c r="H64" s="7">
        <v>120000</v>
      </c>
      <c r="I64" s="8"/>
      <c r="J64" s="1"/>
      <c r="K64" s="30" t="s">
        <v>160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5">
        <v>45969</v>
      </c>
      <c r="B65" s="1" t="s">
        <v>1241</v>
      </c>
      <c r="C65" s="1" t="s">
        <v>253</v>
      </c>
      <c r="D65" s="1" t="s">
        <v>88</v>
      </c>
      <c r="E65" s="1" t="s">
        <v>19</v>
      </c>
      <c r="F65" s="1"/>
      <c r="G65" s="1" t="s">
        <v>14</v>
      </c>
      <c r="H65" s="7">
        <v>75000</v>
      </c>
      <c r="I65" s="8">
        <v>4.5999999999999996</v>
      </c>
      <c r="J65" s="1"/>
      <c r="K65" s="30" t="s">
        <v>160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5">
        <v>45969</v>
      </c>
      <c r="B66" s="1" t="s">
        <v>1092</v>
      </c>
      <c r="C66" s="1" t="s">
        <v>526</v>
      </c>
      <c r="D66" s="1" t="s">
        <v>22</v>
      </c>
      <c r="E66" s="1" t="s">
        <v>19</v>
      </c>
      <c r="F66" s="1"/>
      <c r="G66" s="1" t="s">
        <v>23</v>
      </c>
      <c r="H66" s="7">
        <v>55000</v>
      </c>
      <c r="I66" s="8"/>
      <c r="J66" s="1"/>
      <c r="K66" s="30" t="s">
        <v>160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5">
        <v>45969</v>
      </c>
      <c r="B67" s="1" t="s">
        <v>1688</v>
      </c>
      <c r="C67" s="1" t="s">
        <v>1298</v>
      </c>
      <c r="D67" s="1" t="s">
        <v>1229</v>
      </c>
      <c r="E67" s="1" t="s">
        <v>19</v>
      </c>
      <c r="F67" s="1"/>
      <c r="G67" s="1" t="s">
        <v>23</v>
      </c>
      <c r="H67" s="7">
        <v>35000</v>
      </c>
      <c r="I67" s="8">
        <v>3</v>
      </c>
      <c r="J67" s="1"/>
      <c r="K67" s="30" t="s">
        <v>160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5">
        <v>45969</v>
      </c>
      <c r="B68" s="1" t="s">
        <v>1688</v>
      </c>
      <c r="C68" s="1" t="s">
        <v>742</v>
      </c>
      <c r="D68" s="1" t="s">
        <v>1229</v>
      </c>
      <c r="E68" s="1" t="s">
        <v>19</v>
      </c>
      <c r="F68" s="1"/>
      <c r="G68" s="1" t="s">
        <v>23</v>
      </c>
      <c r="H68" s="7">
        <v>35000</v>
      </c>
      <c r="I68" s="8">
        <v>5.4</v>
      </c>
      <c r="J68" s="1"/>
      <c r="K68" s="30" t="s">
        <v>160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5">
        <v>45971</v>
      </c>
      <c r="B69" s="1" t="s">
        <v>1689</v>
      </c>
      <c r="C69" s="1" t="s">
        <v>185</v>
      </c>
      <c r="D69" s="1" t="s">
        <v>32</v>
      </c>
      <c r="E69" s="1" t="s">
        <v>13</v>
      </c>
      <c r="F69" s="1" t="s">
        <v>1690</v>
      </c>
      <c r="G69" s="1" t="s">
        <v>14</v>
      </c>
      <c r="H69" s="7">
        <f>70000+120000</f>
        <v>190000</v>
      </c>
      <c r="I69" s="8">
        <v>2</v>
      </c>
      <c r="J69" s="1" t="s">
        <v>34</v>
      </c>
      <c r="K69" s="30" t="s">
        <v>160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5">
        <v>45971</v>
      </c>
      <c r="B70" s="1" t="s">
        <v>470</v>
      </c>
      <c r="C70" s="1" t="s">
        <v>303</v>
      </c>
      <c r="D70" s="1" t="s">
        <v>101</v>
      </c>
      <c r="E70" s="1" t="s">
        <v>13</v>
      </c>
      <c r="F70" s="1"/>
      <c r="G70" s="1" t="s">
        <v>14</v>
      </c>
      <c r="H70" s="7">
        <v>75000</v>
      </c>
      <c r="I70" s="8">
        <v>9.1</v>
      </c>
      <c r="J70" s="1" t="s">
        <v>15</v>
      </c>
      <c r="K70" s="30" t="s">
        <v>160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5">
        <v>45971</v>
      </c>
      <c r="B71" s="1" t="s">
        <v>757</v>
      </c>
      <c r="C71" s="1" t="s">
        <v>57</v>
      </c>
      <c r="D71" s="1" t="s">
        <v>88</v>
      </c>
      <c r="E71" s="1" t="s">
        <v>94</v>
      </c>
      <c r="F71" s="1"/>
      <c r="G71" s="1" t="s">
        <v>14</v>
      </c>
      <c r="H71" s="7">
        <v>65000</v>
      </c>
      <c r="I71" s="8">
        <v>3.7</v>
      </c>
      <c r="J71" s="1" t="s">
        <v>15</v>
      </c>
      <c r="K71" s="30" t="s">
        <v>160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5">
        <v>45971</v>
      </c>
      <c r="B72" s="1" t="s">
        <v>1691</v>
      </c>
      <c r="C72" s="1" t="s">
        <v>1201</v>
      </c>
      <c r="D72" s="1" t="s">
        <v>1202</v>
      </c>
      <c r="E72" s="1" t="s">
        <v>19</v>
      </c>
      <c r="F72" s="1"/>
      <c r="G72" s="1" t="s">
        <v>14</v>
      </c>
      <c r="H72" s="7">
        <v>95000</v>
      </c>
      <c r="I72" s="8">
        <v>39.9</v>
      </c>
      <c r="J72" s="1" t="s">
        <v>15</v>
      </c>
      <c r="K72" s="30" t="s">
        <v>160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5">
        <v>45971</v>
      </c>
      <c r="B73" s="1" t="s">
        <v>1691</v>
      </c>
      <c r="C73" s="1" t="s">
        <v>249</v>
      </c>
      <c r="D73" s="1" t="s">
        <v>1202</v>
      </c>
      <c r="E73" s="1" t="s">
        <v>19</v>
      </c>
      <c r="F73" s="1"/>
      <c r="G73" s="1" t="s">
        <v>14</v>
      </c>
      <c r="H73" s="7">
        <v>95000</v>
      </c>
      <c r="I73" s="8">
        <v>31.8</v>
      </c>
      <c r="J73" s="1" t="s">
        <v>15</v>
      </c>
      <c r="K73" s="30" t="s">
        <v>160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5">
        <v>45972</v>
      </c>
      <c r="B74" s="1" t="s">
        <v>1692</v>
      </c>
      <c r="C74" s="1" t="s">
        <v>1693</v>
      </c>
      <c r="D74" s="1" t="s">
        <v>688</v>
      </c>
      <c r="E74" s="1" t="s">
        <v>19</v>
      </c>
      <c r="F74" s="1"/>
      <c r="G74" s="1" t="s">
        <v>14</v>
      </c>
      <c r="H74" s="7">
        <v>100000</v>
      </c>
      <c r="I74" s="8">
        <v>24</v>
      </c>
      <c r="J74" s="1" t="s">
        <v>15</v>
      </c>
      <c r="K74" s="30" t="s">
        <v>160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5">
        <v>45972</v>
      </c>
      <c r="B75" s="1" t="s">
        <v>939</v>
      </c>
      <c r="C75" s="1" t="s">
        <v>940</v>
      </c>
      <c r="D75" s="1" t="s">
        <v>122</v>
      </c>
      <c r="E75" s="1" t="s">
        <v>19</v>
      </c>
      <c r="F75" s="1"/>
      <c r="G75" s="1" t="s">
        <v>14</v>
      </c>
      <c r="H75" s="7">
        <v>85000</v>
      </c>
      <c r="I75" s="8">
        <v>21.6</v>
      </c>
      <c r="J75" s="1" t="s">
        <v>15</v>
      </c>
      <c r="K75" s="30" t="s">
        <v>160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5">
        <v>45972</v>
      </c>
      <c r="B76" s="15" t="s">
        <v>1694</v>
      </c>
      <c r="C76" s="15" t="s">
        <v>1455</v>
      </c>
      <c r="D76" s="15" t="s">
        <v>32</v>
      </c>
      <c r="E76" s="15" t="s">
        <v>13</v>
      </c>
      <c r="F76" s="15"/>
      <c r="G76" s="15" t="s">
        <v>14</v>
      </c>
      <c r="H76" s="31">
        <v>85000</v>
      </c>
      <c r="I76" s="32">
        <v>4.7</v>
      </c>
      <c r="J76" s="15" t="s">
        <v>15</v>
      </c>
      <c r="K76" s="30" t="s">
        <v>160</v>
      </c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x14ac:dyDescent="0.2">
      <c r="A77" s="5">
        <v>45972</v>
      </c>
      <c r="B77" s="15" t="s">
        <v>636</v>
      </c>
      <c r="C77" s="15" t="s">
        <v>275</v>
      </c>
      <c r="D77" s="15" t="s">
        <v>165</v>
      </c>
      <c r="E77" s="15" t="s">
        <v>19</v>
      </c>
      <c r="F77" s="15"/>
      <c r="G77" s="15" t="s">
        <v>14</v>
      </c>
      <c r="H77" s="31">
        <v>65000</v>
      </c>
      <c r="I77" s="15">
        <v>7.6</v>
      </c>
      <c r="J77" s="15" t="s">
        <v>15</v>
      </c>
      <c r="K77" s="30" t="s">
        <v>160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x14ac:dyDescent="0.2">
      <c r="A78" s="5">
        <v>45972</v>
      </c>
      <c r="B78" s="15" t="s">
        <v>636</v>
      </c>
      <c r="C78" s="15" t="s">
        <v>637</v>
      </c>
      <c r="D78" s="15" t="s">
        <v>165</v>
      </c>
      <c r="E78" s="15" t="s">
        <v>19</v>
      </c>
      <c r="F78" s="15"/>
      <c r="G78" s="15" t="s">
        <v>14</v>
      </c>
      <c r="H78" s="31">
        <v>65000</v>
      </c>
      <c r="I78" s="15">
        <v>7.5</v>
      </c>
      <c r="J78" s="15" t="s">
        <v>15</v>
      </c>
      <c r="K78" s="30" t="s">
        <v>160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x14ac:dyDescent="0.2">
      <c r="A79" s="5">
        <v>45973</v>
      </c>
      <c r="B79" s="15" t="s">
        <v>344</v>
      </c>
      <c r="C79" s="15" t="s">
        <v>345</v>
      </c>
      <c r="D79" s="15" t="s">
        <v>26</v>
      </c>
      <c r="E79" s="15" t="s">
        <v>13</v>
      </c>
      <c r="F79" s="15"/>
      <c r="G79" s="15" t="s">
        <v>14</v>
      </c>
      <c r="H79" s="31">
        <v>85000</v>
      </c>
      <c r="I79" s="15">
        <v>7.7</v>
      </c>
      <c r="J79" s="15" t="s">
        <v>15</v>
      </c>
      <c r="K79" s="30" t="s">
        <v>160</v>
      </c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x14ac:dyDescent="0.2">
      <c r="A80" s="5">
        <v>45973</v>
      </c>
      <c r="B80" s="15" t="s">
        <v>344</v>
      </c>
      <c r="C80" s="15" t="s">
        <v>301</v>
      </c>
      <c r="D80" s="15" t="s">
        <v>64</v>
      </c>
      <c r="E80" s="15" t="s">
        <v>19</v>
      </c>
      <c r="F80" s="15"/>
      <c r="G80" s="15" t="s">
        <v>23</v>
      </c>
      <c r="H80" s="31">
        <v>60000</v>
      </c>
      <c r="I80" s="15">
        <v>13.6</v>
      </c>
      <c r="J80" s="15" t="s">
        <v>15</v>
      </c>
      <c r="K80" s="30" t="s">
        <v>160</v>
      </c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x14ac:dyDescent="0.2">
      <c r="A81" s="5">
        <v>45973</v>
      </c>
      <c r="B81" s="15" t="s">
        <v>1490</v>
      </c>
      <c r="C81" s="15" t="s">
        <v>962</v>
      </c>
      <c r="D81" s="15" t="s">
        <v>26</v>
      </c>
      <c r="E81" s="15" t="s">
        <v>19</v>
      </c>
      <c r="F81" s="15"/>
      <c r="G81" s="15" t="s">
        <v>14</v>
      </c>
      <c r="H81" s="31">
        <v>85000</v>
      </c>
      <c r="I81" s="15">
        <v>6</v>
      </c>
      <c r="J81" s="15" t="s">
        <v>15</v>
      </c>
      <c r="K81" s="30" t="s">
        <v>160</v>
      </c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x14ac:dyDescent="0.2">
      <c r="A82" s="5">
        <v>45973</v>
      </c>
      <c r="B82" s="15" t="s">
        <v>1695</v>
      </c>
      <c r="C82" s="15" t="s">
        <v>737</v>
      </c>
      <c r="D82" s="15" t="s">
        <v>26</v>
      </c>
      <c r="E82" s="15" t="s">
        <v>13</v>
      </c>
      <c r="F82" s="15"/>
      <c r="G82" s="15" t="s">
        <v>14</v>
      </c>
      <c r="H82" s="31">
        <v>85000</v>
      </c>
      <c r="I82" s="15">
        <v>4.5</v>
      </c>
      <c r="J82" s="15" t="s">
        <v>34</v>
      </c>
      <c r="K82" s="15" t="s">
        <v>1661</v>
      </c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x14ac:dyDescent="0.2">
      <c r="A83" s="5">
        <v>45973</v>
      </c>
      <c r="B83" s="15" t="s">
        <v>1696</v>
      </c>
      <c r="C83" s="15" t="s">
        <v>512</v>
      </c>
      <c r="D83" s="15" t="s">
        <v>32</v>
      </c>
      <c r="E83" s="15" t="s">
        <v>13</v>
      </c>
      <c r="F83" s="15"/>
      <c r="G83" s="15" t="s">
        <v>14</v>
      </c>
      <c r="H83" s="31">
        <v>75000</v>
      </c>
      <c r="I83" s="15">
        <v>3.4</v>
      </c>
      <c r="J83" s="15" t="s">
        <v>15</v>
      </c>
      <c r="K83" s="15" t="s">
        <v>160</v>
      </c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x14ac:dyDescent="0.2">
      <c r="A84" s="5">
        <v>45973</v>
      </c>
      <c r="B84" s="15"/>
      <c r="C84" s="15"/>
      <c r="D84" s="15"/>
      <c r="E84" s="15" t="s">
        <v>61</v>
      </c>
      <c r="F84" s="15"/>
      <c r="G84" s="15"/>
      <c r="H84" s="7">
        <v>15000</v>
      </c>
      <c r="I84" s="15" t="s">
        <v>114</v>
      </c>
      <c r="J84" s="15" t="s">
        <v>160</v>
      </c>
      <c r="K84" s="15" t="s">
        <v>1661</v>
      </c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x14ac:dyDescent="0.2">
      <c r="A85" s="5">
        <v>45973</v>
      </c>
      <c r="B85" s="15"/>
      <c r="C85" s="15"/>
      <c r="D85" s="15"/>
      <c r="E85" s="15" t="s">
        <v>61</v>
      </c>
      <c r="F85" s="15"/>
      <c r="G85" s="15"/>
      <c r="H85" s="31">
        <v>15000</v>
      </c>
      <c r="I85" s="15" t="s">
        <v>114</v>
      </c>
      <c r="J85" s="15" t="s">
        <v>160</v>
      </c>
      <c r="K85" s="15" t="s">
        <v>1661</v>
      </c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x14ac:dyDescent="0.2">
      <c r="A86" s="5">
        <v>45973</v>
      </c>
      <c r="B86" s="15"/>
      <c r="C86" s="15"/>
      <c r="D86" s="15"/>
      <c r="E86" s="15" t="s">
        <v>61</v>
      </c>
      <c r="F86" s="15"/>
      <c r="G86" s="15"/>
      <c r="H86" s="31">
        <v>15000</v>
      </c>
      <c r="I86" s="15" t="s">
        <v>114</v>
      </c>
      <c r="J86" s="15" t="s">
        <v>160</v>
      </c>
      <c r="K86" s="15" t="s">
        <v>1661</v>
      </c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x14ac:dyDescent="0.2">
      <c r="A87" s="5">
        <v>45973</v>
      </c>
      <c r="B87" s="15"/>
      <c r="C87" s="15"/>
      <c r="D87" s="15"/>
      <c r="E87" s="15" t="s">
        <v>61</v>
      </c>
      <c r="F87" s="15"/>
      <c r="G87" s="15"/>
      <c r="H87" s="31">
        <v>15000</v>
      </c>
      <c r="I87" s="15" t="s">
        <v>114</v>
      </c>
      <c r="J87" s="15" t="s">
        <v>160</v>
      </c>
      <c r="K87" s="15" t="s">
        <v>1661</v>
      </c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x14ac:dyDescent="0.2">
      <c r="A88" s="5">
        <v>45973</v>
      </c>
      <c r="B88" s="15"/>
      <c r="C88" s="15"/>
      <c r="D88" s="15"/>
      <c r="E88" s="15" t="s">
        <v>61</v>
      </c>
      <c r="F88" s="15"/>
      <c r="G88" s="15"/>
      <c r="H88" s="31">
        <v>15000</v>
      </c>
      <c r="I88" s="15" t="s">
        <v>114</v>
      </c>
      <c r="J88" s="15" t="s">
        <v>160</v>
      </c>
      <c r="K88" s="15" t="s">
        <v>1661</v>
      </c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x14ac:dyDescent="0.2">
      <c r="A89" s="34">
        <v>45974</v>
      </c>
      <c r="B89" s="15" t="s">
        <v>888</v>
      </c>
      <c r="C89" s="15" t="s">
        <v>890</v>
      </c>
      <c r="D89" s="15" t="s">
        <v>26</v>
      </c>
      <c r="E89" s="15" t="s">
        <v>13</v>
      </c>
      <c r="F89" s="15" t="s">
        <v>1697</v>
      </c>
      <c r="G89" s="15" t="s">
        <v>14</v>
      </c>
      <c r="H89" s="31">
        <v>60000</v>
      </c>
      <c r="I89" s="15">
        <v>6.1</v>
      </c>
      <c r="J89" s="15" t="s">
        <v>15</v>
      </c>
      <c r="K89" s="15" t="s">
        <v>160</v>
      </c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x14ac:dyDescent="0.2">
      <c r="A90" s="34">
        <v>45974</v>
      </c>
      <c r="B90" s="15" t="s">
        <v>888</v>
      </c>
      <c r="C90" s="15" t="s">
        <v>889</v>
      </c>
      <c r="D90" s="15" t="s">
        <v>165</v>
      </c>
      <c r="E90" s="15" t="s">
        <v>13</v>
      </c>
      <c r="F90" s="15" t="s">
        <v>1697</v>
      </c>
      <c r="G90" s="15" t="s">
        <v>14</v>
      </c>
      <c r="H90" s="31">
        <v>60000</v>
      </c>
      <c r="I90" s="15">
        <v>7.8</v>
      </c>
      <c r="J90" s="15" t="s">
        <v>15</v>
      </c>
      <c r="K90" s="15" t="s">
        <v>160</v>
      </c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x14ac:dyDescent="0.2">
      <c r="A91" s="34">
        <v>45974</v>
      </c>
      <c r="B91" s="15" t="s">
        <v>290</v>
      </c>
      <c r="C91" s="15" t="s">
        <v>291</v>
      </c>
      <c r="D91" s="15" t="s">
        <v>26</v>
      </c>
      <c r="E91" s="15" t="s">
        <v>78</v>
      </c>
      <c r="F91" s="15"/>
      <c r="G91" s="15" t="s">
        <v>14</v>
      </c>
      <c r="H91" s="31">
        <v>80000</v>
      </c>
      <c r="I91" s="15">
        <v>4.7</v>
      </c>
      <c r="J91" s="15" t="s">
        <v>34</v>
      </c>
      <c r="K91" s="15" t="s">
        <v>160</v>
      </c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x14ac:dyDescent="0.2">
      <c r="A92" s="34">
        <v>45974</v>
      </c>
      <c r="B92" s="15" t="s">
        <v>1698</v>
      </c>
      <c r="C92" s="15" t="s">
        <v>750</v>
      </c>
      <c r="D92" s="15" t="s">
        <v>42</v>
      </c>
      <c r="E92" s="15" t="s">
        <v>19</v>
      </c>
      <c r="F92" s="15"/>
      <c r="G92" s="15" t="s">
        <v>23</v>
      </c>
      <c r="H92" s="31">
        <v>50000</v>
      </c>
      <c r="I92" s="15">
        <v>3</v>
      </c>
      <c r="J92" s="15" t="s">
        <v>15</v>
      </c>
      <c r="K92" s="15" t="s">
        <v>1661</v>
      </c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x14ac:dyDescent="0.2">
      <c r="A93" s="34">
        <v>45974</v>
      </c>
      <c r="B93" s="15" t="s">
        <v>1698</v>
      </c>
      <c r="C93" s="15" t="s">
        <v>275</v>
      </c>
      <c r="D93" s="15" t="s">
        <v>340</v>
      </c>
      <c r="E93" s="15" t="s">
        <v>19</v>
      </c>
      <c r="F93" s="15"/>
      <c r="G93" s="15" t="s">
        <v>23</v>
      </c>
      <c r="H93" s="31">
        <v>30000</v>
      </c>
      <c r="I93" s="15">
        <v>2.7</v>
      </c>
      <c r="J93" s="15" t="s">
        <v>15</v>
      </c>
      <c r="K93" s="15" t="s">
        <v>1661</v>
      </c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x14ac:dyDescent="0.2">
      <c r="A94" s="34">
        <v>45974</v>
      </c>
      <c r="B94" s="15" t="s">
        <v>802</v>
      </c>
      <c r="C94" s="15" t="s">
        <v>803</v>
      </c>
      <c r="D94" s="15" t="s">
        <v>32</v>
      </c>
      <c r="E94" s="15" t="s">
        <v>19</v>
      </c>
      <c r="F94" s="15"/>
      <c r="G94" s="15" t="s">
        <v>14</v>
      </c>
      <c r="H94" s="31">
        <v>75000</v>
      </c>
      <c r="I94" s="15">
        <v>2.9</v>
      </c>
      <c r="J94" s="15" t="s">
        <v>15</v>
      </c>
      <c r="K94" s="15" t="s">
        <v>160</v>
      </c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x14ac:dyDescent="0.2">
      <c r="A95" s="34">
        <v>45974</v>
      </c>
      <c r="B95" s="15" t="s">
        <v>1699</v>
      </c>
      <c r="C95" s="15" t="s">
        <v>1700</v>
      </c>
      <c r="D95" s="15" t="s">
        <v>26</v>
      </c>
      <c r="E95" s="15" t="s">
        <v>19</v>
      </c>
      <c r="F95" s="15"/>
      <c r="G95" s="15" t="s">
        <v>14</v>
      </c>
      <c r="H95" s="31">
        <v>65000</v>
      </c>
      <c r="I95" s="15">
        <v>2.4</v>
      </c>
      <c r="J95" s="15" t="s">
        <v>15</v>
      </c>
      <c r="K95" s="15" t="s">
        <v>160</v>
      </c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x14ac:dyDescent="0.2">
      <c r="A96" s="34">
        <v>45974</v>
      </c>
      <c r="B96" s="15"/>
      <c r="C96" s="15"/>
      <c r="D96" s="15"/>
      <c r="E96" s="15" t="s">
        <v>61</v>
      </c>
      <c r="F96" s="15"/>
      <c r="G96" s="15"/>
      <c r="H96" s="31">
        <v>15000</v>
      </c>
      <c r="I96" s="15" t="s">
        <v>114</v>
      </c>
      <c r="J96" s="15" t="s">
        <v>160</v>
      </c>
      <c r="K96" s="15" t="s">
        <v>1661</v>
      </c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x14ac:dyDescent="0.2">
      <c r="A97" s="34">
        <v>45975</v>
      </c>
      <c r="B97" s="15" t="s">
        <v>1435</v>
      </c>
      <c r="C97" s="15" t="s">
        <v>63</v>
      </c>
      <c r="D97" s="15" t="s">
        <v>26</v>
      </c>
      <c r="E97" s="15" t="s">
        <v>78</v>
      </c>
      <c r="F97" s="15"/>
      <c r="G97" s="15" t="s">
        <v>14</v>
      </c>
      <c r="H97" s="31">
        <v>80000</v>
      </c>
      <c r="I97" s="15">
        <v>6.3</v>
      </c>
      <c r="J97" s="15" t="s">
        <v>34</v>
      </c>
      <c r="K97" s="15" t="s">
        <v>160</v>
      </c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x14ac:dyDescent="0.2">
      <c r="A98" s="34">
        <v>45975</v>
      </c>
      <c r="B98" s="15" t="s">
        <v>618</v>
      </c>
      <c r="C98" s="15" t="s">
        <v>51</v>
      </c>
      <c r="D98" s="15" t="s">
        <v>88</v>
      </c>
      <c r="E98" s="15" t="s">
        <v>13</v>
      </c>
      <c r="F98" s="15"/>
      <c r="G98" s="15" t="s">
        <v>14</v>
      </c>
      <c r="H98" s="31">
        <v>80000</v>
      </c>
      <c r="I98" s="15">
        <v>6</v>
      </c>
      <c r="J98" s="15" t="s">
        <v>15</v>
      </c>
      <c r="K98" s="15" t="s">
        <v>160</v>
      </c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x14ac:dyDescent="0.2">
      <c r="A99" s="34">
        <v>45975</v>
      </c>
      <c r="B99" s="15" t="s">
        <v>1063</v>
      </c>
      <c r="C99" s="15" t="s">
        <v>1260</v>
      </c>
      <c r="D99" s="15" t="s">
        <v>119</v>
      </c>
      <c r="E99" s="15" t="s">
        <v>19</v>
      </c>
      <c r="F99" s="15"/>
      <c r="G99" s="15" t="s">
        <v>23</v>
      </c>
      <c r="H99" s="31">
        <v>55000</v>
      </c>
      <c r="I99" s="15">
        <v>12.3</v>
      </c>
      <c r="J99" s="15" t="s">
        <v>15</v>
      </c>
      <c r="K99" s="15" t="s">
        <v>160</v>
      </c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x14ac:dyDescent="0.2">
      <c r="A100" s="34">
        <v>45975</v>
      </c>
      <c r="B100" s="15" t="s">
        <v>1213</v>
      </c>
      <c r="C100" s="15" t="s">
        <v>74</v>
      </c>
      <c r="D100" s="15" t="s">
        <v>58</v>
      </c>
      <c r="E100" s="15" t="s">
        <v>59</v>
      </c>
      <c r="F100" s="15"/>
      <c r="G100" s="15" t="s">
        <v>14</v>
      </c>
      <c r="H100" s="31">
        <v>80000</v>
      </c>
      <c r="I100" s="15"/>
      <c r="J100" s="15" t="s">
        <v>15</v>
      </c>
      <c r="K100" s="15" t="s">
        <v>160</v>
      </c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x14ac:dyDescent="0.2">
      <c r="A101" s="34">
        <v>45975</v>
      </c>
      <c r="B101" s="15" t="s">
        <v>1213</v>
      </c>
      <c r="C101" s="15" t="s">
        <v>604</v>
      </c>
      <c r="D101" s="15" t="s">
        <v>58</v>
      </c>
      <c r="E101" s="15" t="s">
        <v>59</v>
      </c>
      <c r="F101" s="15"/>
      <c r="G101" s="15" t="s">
        <v>14</v>
      </c>
      <c r="H101" s="31">
        <v>80000</v>
      </c>
      <c r="I101" s="15"/>
      <c r="J101" s="15" t="s">
        <v>15</v>
      </c>
      <c r="K101" s="15" t="s">
        <v>160</v>
      </c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x14ac:dyDescent="0.2">
      <c r="A102" s="34">
        <v>45975</v>
      </c>
      <c r="B102" s="15" t="s">
        <v>111</v>
      </c>
      <c r="C102" s="15" t="s">
        <v>63</v>
      </c>
      <c r="D102" s="15" t="s">
        <v>112</v>
      </c>
      <c r="E102" s="15" t="s">
        <v>113</v>
      </c>
      <c r="F102" s="15"/>
      <c r="G102" s="15" t="s">
        <v>14</v>
      </c>
      <c r="H102" s="15" t="s">
        <v>114</v>
      </c>
      <c r="I102" s="15"/>
      <c r="J102" s="15" t="s">
        <v>34</v>
      </c>
      <c r="K102" s="15" t="s">
        <v>160</v>
      </c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x14ac:dyDescent="0.2">
      <c r="A103" s="34">
        <v>45975</v>
      </c>
      <c r="B103" s="15" t="s">
        <v>1701</v>
      </c>
      <c r="C103" s="15" t="s">
        <v>604</v>
      </c>
      <c r="D103" s="15" t="s">
        <v>119</v>
      </c>
      <c r="E103" s="15" t="s">
        <v>19</v>
      </c>
      <c r="F103" s="15"/>
      <c r="G103" s="15" t="s">
        <v>23</v>
      </c>
      <c r="H103" s="31">
        <v>50000</v>
      </c>
      <c r="I103" s="15">
        <v>7</v>
      </c>
      <c r="J103" s="15" t="s">
        <v>37</v>
      </c>
      <c r="K103" s="15" t="s">
        <v>1661</v>
      </c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x14ac:dyDescent="0.2">
      <c r="A104" s="34">
        <v>45976</v>
      </c>
      <c r="B104" s="15" t="s">
        <v>569</v>
      </c>
      <c r="C104" s="15" t="s">
        <v>216</v>
      </c>
      <c r="D104" s="15" t="s">
        <v>165</v>
      </c>
      <c r="E104" s="15" t="s">
        <v>13</v>
      </c>
      <c r="F104" s="15"/>
      <c r="G104" s="15" t="s">
        <v>14</v>
      </c>
      <c r="H104" s="31">
        <v>60000</v>
      </c>
      <c r="I104" s="15">
        <v>4.5999999999999996</v>
      </c>
      <c r="J104" s="15" t="s">
        <v>15</v>
      </c>
      <c r="K104" s="15" t="s">
        <v>160</v>
      </c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x14ac:dyDescent="0.2">
      <c r="A105" s="34">
        <v>45976</v>
      </c>
      <c r="B105" s="15" t="s">
        <v>318</v>
      </c>
      <c r="C105" s="15" t="s">
        <v>319</v>
      </c>
      <c r="D105" s="15" t="s">
        <v>88</v>
      </c>
      <c r="E105" s="15" t="s">
        <v>19</v>
      </c>
      <c r="F105" s="15"/>
      <c r="G105" s="15" t="s">
        <v>14</v>
      </c>
      <c r="H105" s="31">
        <v>55000</v>
      </c>
      <c r="I105" s="15">
        <v>4</v>
      </c>
      <c r="J105" s="15" t="s">
        <v>15</v>
      </c>
      <c r="K105" s="15" t="s">
        <v>160</v>
      </c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x14ac:dyDescent="0.2">
      <c r="A106" s="34">
        <v>45976</v>
      </c>
      <c r="B106" s="15" t="s">
        <v>318</v>
      </c>
      <c r="C106" s="15" t="s">
        <v>1118</v>
      </c>
      <c r="D106" s="15" t="s">
        <v>88</v>
      </c>
      <c r="E106" s="15" t="s">
        <v>19</v>
      </c>
      <c r="F106" s="15"/>
      <c r="G106" s="15" t="s">
        <v>14</v>
      </c>
      <c r="H106" s="31">
        <v>50000</v>
      </c>
      <c r="I106" s="15">
        <v>3.4</v>
      </c>
      <c r="J106" s="15" t="s">
        <v>15</v>
      </c>
      <c r="K106" s="15" t="s">
        <v>160</v>
      </c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x14ac:dyDescent="0.2">
      <c r="A107" s="34">
        <v>45976</v>
      </c>
      <c r="B107" s="15" t="s">
        <v>129</v>
      </c>
      <c r="C107" s="15" t="s">
        <v>130</v>
      </c>
      <c r="D107" s="15" t="s">
        <v>131</v>
      </c>
      <c r="E107" s="15" t="s">
        <v>19</v>
      </c>
      <c r="F107" s="15"/>
      <c r="G107" s="15" t="s">
        <v>14</v>
      </c>
      <c r="H107" s="31" t="s">
        <v>114</v>
      </c>
      <c r="I107" s="15">
        <v>38</v>
      </c>
      <c r="J107" s="15" t="s">
        <v>15</v>
      </c>
      <c r="K107" s="15" t="s">
        <v>160</v>
      </c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x14ac:dyDescent="0.2">
      <c r="A108" s="34">
        <v>45976</v>
      </c>
      <c r="B108" s="15" t="s">
        <v>809</v>
      </c>
      <c r="C108" s="15" t="s">
        <v>21</v>
      </c>
      <c r="D108" s="15" t="s">
        <v>18</v>
      </c>
      <c r="E108" s="15" t="s">
        <v>13</v>
      </c>
      <c r="F108" s="15"/>
      <c r="G108" s="15" t="s">
        <v>14</v>
      </c>
      <c r="H108" s="31">
        <v>70000</v>
      </c>
      <c r="I108" s="15"/>
      <c r="J108" s="15" t="s">
        <v>15</v>
      </c>
      <c r="K108" s="15" t="s">
        <v>160</v>
      </c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x14ac:dyDescent="0.2">
      <c r="A109" s="34">
        <v>45976</v>
      </c>
      <c r="B109" s="15" t="s">
        <v>1258</v>
      </c>
      <c r="C109" s="15" t="s">
        <v>801</v>
      </c>
      <c r="D109" s="15" t="s">
        <v>371</v>
      </c>
      <c r="E109" s="15" t="s">
        <v>19</v>
      </c>
      <c r="F109" s="15"/>
      <c r="G109" s="15" t="s">
        <v>23</v>
      </c>
      <c r="H109" s="31">
        <v>80000</v>
      </c>
      <c r="I109" s="15"/>
      <c r="J109" s="15" t="s">
        <v>15</v>
      </c>
      <c r="K109" s="15" t="s">
        <v>160</v>
      </c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x14ac:dyDescent="0.2">
      <c r="A110" s="34">
        <v>45976</v>
      </c>
      <c r="B110" s="15" t="s">
        <v>1258</v>
      </c>
      <c r="C110" s="15" t="s">
        <v>1270</v>
      </c>
      <c r="D110" s="15" t="s">
        <v>18</v>
      </c>
      <c r="E110" s="15" t="s">
        <v>13</v>
      </c>
      <c r="F110" s="15"/>
      <c r="G110" s="15" t="s">
        <v>14</v>
      </c>
      <c r="H110" s="31">
        <v>85000</v>
      </c>
      <c r="I110" s="15">
        <v>15</v>
      </c>
      <c r="J110" s="15" t="s">
        <v>15</v>
      </c>
      <c r="K110" s="15" t="s">
        <v>160</v>
      </c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x14ac:dyDescent="0.2">
      <c r="A111" s="34">
        <v>45976</v>
      </c>
      <c r="B111" s="15" t="s">
        <v>314</v>
      </c>
      <c r="C111" s="15" t="s">
        <v>315</v>
      </c>
      <c r="D111" s="15" t="s">
        <v>26</v>
      </c>
      <c r="E111" s="15" t="s">
        <v>19</v>
      </c>
      <c r="F111" s="15"/>
      <c r="G111" s="15" t="s">
        <v>14</v>
      </c>
      <c r="H111" s="7">
        <v>75000</v>
      </c>
      <c r="I111" s="15"/>
      <c r="J111" s="15" t="s">
        <v>37</v>
      </c>
      <c r="K111" s="15" t="s">
        <v>160</v>
      </c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x14ac:dyDescent="0.2">
      <c r="A112" s="34">
        <v>45976</v>
      </c>
      <c r="B112" s="15" t="s">
        <v>1702</v>
      </c>
      <c r="C112" s="15" t="s">
        <v>1703</v>
      </c>
      <c r="D112" s="15" t="s">
        <v>64</v>
      </c>
      <c r="E112" s="15" t="s">
        <v>19</v>
      </c>
      <c r="F112" s="15"/>
      <c r="G112" s="15" t="s">
        <v>23</v>
      </c>
      <c r="H112" s="7">
        <v>60000</v>
      </c>
      <c r="I112" s="15">
        <v>13.3</v>
      </c>
      <c r="J112" s="15" t="s">
        <v>15</v>
      </c>
      <c r="K112" s="15" t="s">
        <v>160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x14ac:dyDescent="0.2">
      <c r="A113" s="34">
        <v>45976</v>
      </c>
      <c r="B113" s="15" t="s">
        <v>132</v>
      </c>
      <c r="C113" s="15" t="s">
        <v>133</v>
      </c>
      <c r="D113" s="15" t="s">
        <v>18</v>
      </c>
      <c r="E113" s="15" t="s">
        <v>13</v>
      </c>
      <c r="F113" s="15"/>
      <c r="G113" s="15" t="s">
        <v>14</v>
      </c>
      <c r="H113" s="31">
        <v>200000</v>
      </c>
      <c r="I113" s="15">
        <v>14.5</v>
      </c>
      <c r="J113" s="15" t="s">
        <v>15</v>
      </c>
      <c r="K113" s="15" t="s">
        <v>160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x14ac:dyDescent="0.2">
      <c r="A114" s="34">
        <v>45976</v>
      </c>
      <c r="B114" s="1" t="s">
        <v>504</v>
      </c>
      <c r="C114" s="1" t="s">
        <v>124</v>
      </c>
      <c r="D114" s="1" t="s">
        <v>64</v>
      </c>
      <c r="E114" s="1" t="s">
        <v>19</v>
      </c>
      <c r="F114" s="1"/>
      <c r="G114" s="6" t="s">
        <v>23</v>
      </c>
      <c r="H114" s="7">
        <v>60000</v>
      </c>
      <c r="I114" s="15">
        <v>15.9</v>
      </c>
      <c r="J114" s="15" t="s">
        <v>15</v>
      </c>
      <c r="K114" s="15" t="s">
        <v>160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x14ac:dyDescent="0.2">
      <c r="A115" s="34">
        <v>45976</v>
      </c>
      <c r="B115" s="15"/>
      <c r="C115" s="15"/>
      <c r="D115" s="15"/>
      <c r="E115" s="15" t="s">
        <v>61</v>
      </c>
      <c r="F115" s="15"/>
      <c r="G115" s="15"/>
      <c r="H115" s="31">
        <v>10000</v>
      </c>
      <c r="I115" s="15"/>
      <c r="J115" s="15" t="s">
        <v>160</v>
      </c>
      <c r="K115" s="15" t="s">
        <v>160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x14ac:dyDescent="0.2">
      <c r="A116" s="34">
        <v>45976</v>
      </c>
      <c r="B116" s="15"/>
      <c r="C116" s="15"/>
      <c r="D116" s="15"/>
      <c r="E116" s="15" t="s">
        <v>61</v>
      </c>
      <c r="F116" s="15"/>
      <c r="G116" s="15"/>
      <c r="H116" s="31">
        <v>10000</v>
      </c>
      <c r="I116" s="15"/>
      <c r="J116" s="15" t="s">
        <v>160</v>
      </c>
      <c r="K116" s="15" t="s">
        <v>160</v>
      </c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x14ac:dyDescent="0.2">
      <c r="A117" s="34">
        <v>45976</v>
      </c>
      <c r="B117" s="15"/>
      <c r="C117" s="15"/>
      <c r="D117" s="15"/>
      <c r="E117" s="15" t="s">
        <v>61</v>
      </c>
      <c r="F117" s="15"/>
      <c r="G117" s="15"/>
      <c r="H117" s="31">
        <v>10000</v>
      </c>
      <c r="I117" s="15"/>
      <c r="J117" s="15" t="s">
        <v>160</v>
      </c>
      <c r="K117" s="15" t="s">
        <v>160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x14ac:dyDescent="0.2">
      <c r="A118" s="34">
        <v>45976</v>
      </c>
      <c r="B118" s="15"/>
      <c r="C118" s="15"/>
      <c r="D118" s="15"/>
      <c r="E118" s="15" t="s">
        <v>61</v>
      </c>
      <c r="F118" s="15"/>
      <c r="G118" s="15"/>
      <c r="H118" s="31">
        <v>10000</v>
      </c>
      <c r="I118" s="15"/>
      <c r="J118" s="15" t="s">
        <v>160</v>
      </c>
      <c r="K118" s="15" t="s">
        <v>160</v>
      </c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x14ac:dyDescent="0.2">
      <c r="A119" s="34">
        <v>45976</v>
      </c>
      <c r="B119" s="15"/>
      <c r="C119" s="15"/>
      <c r="D119" s="15"/>
      <c r="E119" s="15" t="s">
        <v>61</v>
      </c>
      <c r="F119" s="15"/>
      <c r="G119" s="15"/>
      <c r="H119" s="31">
        <v>15000</v>
      </c>
      <c r="I119" s="15"/>
      <c r="J119" s="15" t="s">
        <v>160</v>
      </c>
      <c r="K119" s="15" t="s">
        <v>1661</v>
      </c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x14ac:dyDescent="0.2">
      <c r="A120" s="34">
        <v>45979</v>
      </c>
      <c r="B120" s="15" t="s">
        <v>633</v>
      </c>
      <c r="C120" s="15" t="s">
        <v>469</v>
      </c>
      <c r="D120" s="15" t="s">
        <v>26</v>
      </c>
      <c r="E120" s="15" t="s">
        <v>19</v>
      </c>
      <c r="F120" s="15"/>
      <c r="G120" s="15" t="s">
        <v>14</v>
      </c>
      <c r="H120" s="31">
        <v>65000</v>
      </c>
      <c r="I120" s="15">
        <v>6.8</v>
      </c>
      <c r="J120" s="15" t="s">
        <v>37</v>
      </c>
      <c r="K120" s="15" t="s">
        <v>160</v>
      </c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x14ac:dyDescent="0.2">
      <c r="A121" s="34">
        <v>45979</v>
      </c>
      <c r="B121" s="15" t="s">
        <v>633</v>
      </c>
      <c r="C121" s="15" t="s">
        <v>634</v>
      </c>
      <c r="D121" s="15" t="s">
        <v>26</v>
      </c>
      <c r="E121" s="15" t="s">
        <v>13</v>
      </c>
      <c r="F121" s="15"/>
      <c r="G121" s="15" t="s">
        <v>14</v>
      </c>
      <c r="H121" s="31">
        <v>85000</v>
      </c>
      <c r="I121" s="15">
        <v>7.1</v>
      </c>
      <c r="J121" s="15" t="s">
        <v>37</v>
      </c>
      <c r="K121" s="15" t="s">
        <v>160</v>
      </c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x14ac:dyDescent="0.2">
      <c r="A122" s="34">
        <v>45979</v>
      </c>
      <c r="B122" s="15" t="s">
        <v>1704</v>
      </c>
      <c r="C122" s="15" t="s">
        <v>1705</v>
      </c>
      <c r="D122" s="15" t="s">
        <v>229</v>
      </c>
      <c r="E122" s="15" t="s">
        <v>19</v>
      </c>
      <c r="F122" s="15"/>
      <c r="G122" s="15" t="s">
        <v>14</v>
      </c>
      <c r="H122" s="31" t="s">
        <v>1020</v>
      </c>
      <c r="I122" s="15">
        <v>39.9</v>
      </c>
      <c r="J122" s="15" t="s">
        <v>15</v>
      </c>
      <c r="K122" s="15" t="s">
        <v>1661</v>
      </c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x14ac:dyDescent="0.2">
      <c r="A123" s="34">
        <v>45979</v>
      </c>
      <c r="B123" s="15" t="s">
        <v>1375</v>
      </c>
      <c r="C123" s="15" t="s">
        <v>1376</v>
      </c>
      <c r="D123" s="15" t="s">
        <v>307</v>
      </c>
      <c r="E123" s="15" t="s">
        <v>94</v>
      </c>
      <c r="F123" s="15"/>
      <c r="G123" s="15" t="s">
        <v>14</v>
      </c>
      <c r="H123" s="31">
        <v>90000</v>
      </c>
      <c r="I123" s="15">
        <v>21.3</v>
      </c>
      <c r="J123" s="15" t="s">
        <v>15</v>
      </c>
      <c r="K123" s="15" t="s">
        <v>160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x14ac:dyDescent="0.2">
      <c r="A124" s="34">
        <v>45979</v>
      </c>
      <c r="B124" s="15" t="s">
        <v>1706</v>
      </c>
      <c r="C124" s="15" t="s">
        <v>1707</v>
      </c>
      <c r="D124" s="15" t="s">
        <v>64</v>
      </c>
      <c r="E124" s="15" t="s">
        <v>792</v>
      </c>
      <c r="F124" s="15"/>
      <c r="G124" s="15" t="s">
        <v>23</v>
      </c>
      <c r="H124" s="31">
        <v>120000</v>
      </c>
      <c r="I124" s="15"/>
      <c r="J124" s="15" t="s">
        <v>160</v>
      </c>
      <c r="K124" s="15" t="s">
        <v>1661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x14ac:dyDescent="0.2">
      <c r="A125" s="34">
        <v>45979</v>
      </c>
      <c r="B125" s="15"/>
      <c r="C125" s="15"/>
      <c r="D125" s="15"/>
      <c r="E125" s="15" t="s">
        <v>61</v>
      </c>
      <c r="F125" s="15"/>
      <c r="G125" s="15"/>
      <c r="H125" s="31">
        <v>10000</v>
      </c>
      <c r="I125" s="15"/>
      <c r="J125" s="15" t="s">
        <v>160</v>
      </c>
      <c r="K125" s="15" t="s">
        <v>160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x14ac:dyDescent="0.2">
      <c r="A126" s="34">
        <v>45980</v>
      </c>
      <c r="B126" s="15" t="s">
        <v>564</v>
      </c>
      <c r="C126" s="15" t="s">
        <v>565</v>
      </c>
      <c r="D126" s="15" t="s">
        <v>196</v>
      </c>
      <c r="E126" s="15" t="s">
        <v>94</v>
      </c>
      <c r="F126" s="15"/>
      <c r="G126" s="15" t="s">
        <v>14</v>
      </c>
      <c r="H126" s="31">
        <v>90000</v>
      </c>
      <c r="I126" s="15">
        <v>28</v>
      </c>
      <c r="J126" s="15" t="s">
        <v>15</v>
      </c>
      <c r="K126" s="15" t="s">
        <v>160</v>
      </c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x14ac:dyDescent="0.2">
      <c r="A127" s="34">
        <v>45980</v>
      </c>
      <c r="B127" s="15" t="s">
        <v>1708</v>
      </c>
      <c r="C127" s="15" t="s">
        <v>1709</v>
      </c>
      <c r="D127" s="15" t="s">
        <v>64</v>
      </c>
      <c r="E127" s="15" t="s">
        <v>792</v>
      </c>
      <c r="F127" s="15"/>
      <c r="G127" s="15" t="s">
        <v>23</v>
      </c>
      <c r="H127" s="31">
        <v>90000</v>
      </c>
      <c r="I127" s="15"/>
      <c r="J127" s="15" t="s">
        <v>160</v>
      </c>
      <c r="K127" s="15" t="s">
        <v>1661</v>
      </c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x14ac:dyDescent="0.2">
      <c r="A128" s="34">
        <v>45980</v>
      </c>
      <c r="B128" s="15" t="s">
        <v>1070</v>
      </c>
      <c r="C128" s="15" t="s">
        <v>1462</v>
      </c>
      <c r="D128" s="15" t="s">
        <v>340</v>
      </c>
      <c r="E128" s="15" t="s">
        <v>19</v>
      </c>
      <c r="F128" s="15"/>
      <c r="G128" s="15" t="s">
        <v>23</v>
      </c>
      <c r="H128" s="31">
        <v>30000</v>
      </c>
      <c r="I128" s="15"/>
      <c r="J128" s="15" t="s">
        <v>15</v>
      </c>
      <c r="K128" s="15" t="s">
        <v>160</v>
      </c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x14ac:dyDescent="0.2">
      <c r="A129" s="34">
        <v>45980</v>
      </c>
      <c r="B129" s="15" t="s">
        <v>1154</v>
      </c>
      <c r="C129" s="15" t="s">
        <v>382</v>
      </c>
      <c r="D129" s="15" t="s">
        <v>32</v>
      </c>
      <c r="E129" s="15" t="s">
        <v>19</v>
      </c>
      <c r="F129" s="15"/>
      <c r="G129" s="15" t="s">
        <v>14</v>
      </c>
      <c r="H129" s="31">
        <v>75000</v>
      </c>
      <c r="I129" s="15">
        <v>2.2000000000000002</v>
      </c>
      <c r="J129" s="15" t="s">
        <v>15</v>
      </c>
      <c r="K129" s="15" t="s">
        <v>160</v>
      </c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x14ac:dyDescent="0.2">
      <c r="A130" s="34">
        <v>45980</v>
      </c>
      <c r="B130" s="15" t="s">
        <v>1040</v>
      </c>
      <c r="C130" s="15" t="s">
        <v>1244</v>
      </c>
      <c r="D130" s="15" t="s">
        <v>119</v>
      </c>
      <c r="E130" s="15" t="s">
        <v>19</v>
      </c>
      <c r="F130" s="15"/>
      <c r="G130" s="15" t="s">
        <v>23</v>
      </c>
      <c r="H130" s="31">
        <v>60000</v>
      </c>
      <c r="I130" s="15">
        <v>13.7</v>
      </c>
      <c r="J130" s="15" t="s">
        <v>15</v>
      </c>
      <c r="K130" s="15" t="s">
        <v>160</v>
      </c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x14ac:dyDescent="0.2">
      <c r="A131" s="34">
        <v>45980</v>
      </c>
      <c r="B131" s="15" t="s">
        <v>115</v>
      </c>
      <c r="C131" s="15" t="s">
        <v>116</v>
      </c>
      <c r="D131" s="15" t="s">
        <v>32</v>
      </c>
      <c r="E131" s="15" t="s">
        <v>19</v>
      </c>
      <c r="F131" s="15"/>
      <c r="G131" s="15" t="s">
        <v>14</v>
      </c>
      <c r="H131" s="31">
        <v>70000</v>
      </c>
      <c r="I131" s="15">
        <v>5</v>
      </c>
      <c r="J131" s="15" t="s">
        <v>160</v>
      </c>
      <c r="K131" s="15" t="s">
        <v>160</v>
      </c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x14ac:dyDescent="0.2">
      <c r="A132" s="34">
        <v>45980</v>
      </c>
      <c r="B132" s="15" t="s">
        <v>1710</v>
      </c>
      <c r="C132" s="15" t="s">
        <v>1711</v>
      </c>
      <c r="D132" s="15" t="s">
        <v>494</v>
      </c>
      <c r="E132" s="15" t="s">
        <v>59</v>
      </c>
      <c r="F132" s="15"/>
      <c r="G132" s="15" t="s">
        <v>23</v>
      </c>
      <c r="H132" s="31">
        <v>70000</v>
      </c>
      <c r="I132" s="15"/>
      <c r="J132" s="15" t="s">
        <v>15</v>
      </c>
      <c r="K132" s="15" t="s">
        <v>160</v>
      </c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x14ac:dyDescent="0.2">
      <c r="A133" s="34">
        <v>45981</v>
      </c>
      <c r="B133" s="15" t="s">
        <v>1712</v>
      </c>
      <c r="C133" s="15" t="s">
        <v>31</v>
      </c>
      <c r="D133" s="15" t="s">
        <v>1229</v>
      </c>
      <c r="E133" s="15" t="s">
        <v>19</v>
      </c>
      <c r="F133" s="15"/>
      <c r="G133" s="15" t="s">
        <v>23</v>
      </c>
      <c r="H133" s="31">
        <v>30000</v>
      </c>
      <c r="I133" s="15">
        <v>3.5</v>
      </c>
      <c r="J133" s="15" t="s">
        <v>15</v>
      </c>
      <c r="K133" s="15" t="s">
        <v>1661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x14ac:dyDescent="0.2">
      <c r="A134" s="34">
        <v>45981</v>
      </c>
      <c r="B134" s="15" t="s">
        <v>283</v>
      </c>
      <c r="C134" s="15" t="s">
        <v>284</v>
      </c>
      <c r="D134" s="15" t="s">
        <v>32</v>
      </c>
      <c r="E134" s="15" t="s">
        <v>13</v>
      </c>
      <c r="F134" s="15"/>
      <c r="G134" s="15" t="s">
        <v>14</v>
      </c>
      <c r="H134" s="31">
        <v>90000</v>
      </c>
      <c r="I134" s="15">
        <v>8.3000000000000007</v>
      </c>
      <c r="J134" s="15" t="s">
        <v>34</v>
      </c>
      <c r="K134" s="15" t="s">
        <v>160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x14ac:dyDescent="0.2">
      <c r="A135" s="34">
        <v>45981</v>
      </c>
      <c r="B135" s="15" t="s">
        <v>837</v>
      </c>
      <c r="C135" s="15" t="s">
        <v>282</v>
      </c>
      <c r="D135" s="15" t="s">
        <v>307</v>
      </c>
      <c r="E135" s="15" t="s">
        <v>94</v>
      </c>
      <c r="F135" s="15"/>
      <c r="G135" s="15" t="s">
        <v>14</v>
      </c>
      <c r="H135" s="31">
        <v>90000</v>
      </c>
      <c r="I135" s="15">
        <v>30.5</v>
      </c>
      <c r="J135" s="15" t="s">
        <v>15</v>
      </c>
      <c r="K135" s="15" t="s">
        <v>160</v>
      </c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x14ac:dyDescent="0.2">
      <c r="A136" s="34">
        <v>45981</v>
      </c>
      <c r="B136" s="15" t="s">
        <v>1713</v>
      </c>
      <c r="C136" s="15" t="s">
        <v>981</v>
      </c>
      <c r="D136" s="15" t="s">
        <v>64</v>
      </c>
      <c r="E136" s="15" t="s">
        <v>13</v>
      </c>
      <c r="F136" s="15" t="s">
        <v>1020</v>
      </c>
      <c r="G136" s="15" t="s">
        <v>14</v>
      </c>
      <c r="H136" s="31">
        <v>30000</v>
      </c>
      <c r="I136" s="15">
        <v>2.5</v>
      </c>
      <c r="J136" s="15" t="s">
        <v>15</v>
      </c>
      <c r="K136" s="15" t="s">
        <v>1661</v>
      </c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x14ac:dyDescent="0.2">
      <c r="A137" s="34">
        <v>45981</v>
      </c>
      <c r="B137" s="15" t="s">
        <v>471</v>
      </c>
      <c r="C137" s="15" t="s">
        <v>472</v>
      </c>
      <c r="D137" s="15" t="s">
        <v>88</v>
      </c>
      <c r="E137" s="15" t="s">
        <v>13</v>
      </c>
      <c r="F137" s="15"/>
      <c r="G137" s="15" t="s">
        <v>14</v>
      </c>
      <c r="H137" s="31">
        <v>70000</v>
      </c>
      <c r="I137" s="15">
        <v>5.7</v>
      </c>
      <c r="J137" s="15" t="s">
        <v>15</v>
      </c>
      <c r="K137" s="15" t="s">
        <v>160</v>
      </c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x14ac:dyDescent="0.2">
      <c r="A138" s="34">
        <v>45981</v>
      </c>
      <c r="B138" s="15" t="s">
        <v>1714</v>
      </c>
      <c r="C138" s="15" t="s">
        <v>910</v>
      </c>
      <c r="D138" s="15" t="s">
        <v>97</v>
      </c>
      <c r="E138" s="15" t="s">
        <v>13</v>
      </c>
      <c r="F138" s="15"/>
      <c r="G138" s="15" t="s">
        <v>14</v>
      </c>
      <c r="H138" s="31">
        <v>85000</v>
      </c>
      <c r="I138" s="15">
        <v>9</v>
      </c>
      <c r="J138" s="15" t="s">
        <v>15</v>
      </c>
      <c r="K138" s="15" t="s">
        <v>160</v>
      </c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x14ac:dyDescent="0.2">
      <c r="A139" s="34">
        <v>45982</v>
      </c>
      <c r="B139" s="15" t="s">
        <v>959</v>
      </c>
      <c r="C139" s="15" t="s">
        <v>960</v>
      </c>
      <c r="D139" s="15" t="s">
        <v>165</v>
      </c>
      <c r="E139" s="15" t="s">
        <v>13</v>
      </c>
      <c r="F139" s="15"/>
      <c r="G139" s="15" t="s">
        <v>14</v>
      </c>
      <c r="H139" s="31">
        <v>75000</v>
      </c>
      <c r="I139" s="15">
        <v>4.3</v>
      </c>
      <c r="J139" s="15" t="s">
        <v>15</v>
      </c>
      <c r="K139" s="15" t="s">
        <v>160</v>
      </c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x14ac:dyDescent="0.2">
      <c r="A140" s="34">
        <v>45982</v>
      </c>
      <c r="B140" s="15" t="s">
        <v>1625</v>
      </c>
      <c r="C140" s="15" t="s">
        <v>1626</v>
      </c>
      <c r="D140" s="15" t="s">
        <v>58</v>
      </c>
      <c r="E140" s="15" t="s">
        <v>59</v>
      </c>
      <c r="F140" s="15"/>
      <c r="G140" s="15" t="s">
        <v>14</v>
      </c>
      <c r="H140" s="31">
        <v>85000</v>
      </c>
      <c r="I140" s="15"/>
      <c r="J140" s="15" t="s">
        <v>15</v>
      </c>
      <c r="K140" s="15" t="s">
        <v>160</v>
      </c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x14ac:dyDescent="0.2">
      <c r="A141" s="34">
        <v>45982</v>
      </c>
      <c r="B141" s="15" t="s">
        <v>111</v>
      </c>
      <c r="C141" s="15" t="s">
        <v>63</v>
      </c>
      <c r="D141" s="15" t="s">
        <v>112</v>
      </c>
      <c r="E141" s="15" t="s">
        <v>19</v>
      </c>
      <c r="F141" s="15"/>
      <c r="G141" s="15" t="s">
        <v>14</v>
      </c>
      <c r="H141" s="31" t="s">
        <v>114</v>
      </c>
      <c r="I141" s="15"/>
      <c r="J141" s="15" t="s">
        <v>34</v>
      </c>
      <c r="K141" s="15" t="s">
        <v>160</v>
      </c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x14ac:dyDescent="0.2">
      <c r="A142" s="34">
        <v>45982</v>
      </c>
      <c r="B142" s="15" t="s">
        <v>1343</v>
      </c>
      <c r="C142" s="15" t="s">
        <v>301</v>
      </c>
      <c r="D142" s="15" t="s">
        <v>101</v>
      </c>
      <c r="E142" s="15" t="s">
        <v>19</v>
      </c>
      <c r="F142" s="15"/>
      <c r="G142" s="15" t="s">
        <v>14</v>
      </c>
      <c r="H142" s="31">
        <v>65000</v>
      </c>
      <c r="I142" s="15">
        <v>3.7</v>
      </c>
      <c r="J142" s="15" t="s">
        <v>15</v>
      </c>
      <c r="K142" s="15" t="s">
        <v>160</v>
      </c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x14ac:dyDescent="0.2">
      <c r="A143" s="34">
        <v>45983</v>
      </c>
      <c r="B143" s="15" t="s">
        <v>1231</v>
      </c>
      <c r="C143" s="15" t="s">
        <v>486</v>
      </c>
      <c r="D143" s="15" t="s">
        <v>32</v>
      </c>
      <c r="E143" s="15" t="s">
        <v>19</v>
      </c>
      <c r="F143" s="15"/>
      <c r="G143" s="15"/>
      <c r="H143" s="31">
        <v>80000</v>
      </c>
      <c r="I143" s="15">
        <v>4.3</v>
      </c>
      <c r="J143" s="15" t="s">
        <v>160</v>
      </c>
      <c r="K143" s="15" t="s">
        <v>160</v>
      </c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x14ac:dyDescent="0.2">
      <c r="A144" s="34">
        <v>45983</v>
      </c>
      <c r="B144" s="15" t="s">
        <v>129</v>
      </c>
      <c r="C144" s="15" t="s">
        <v>130</v>
      </c>
      <c r="D144" s="15" t="s">
        <v>131</v>
      </c>
      <c r="E144" s="15" t="s">
        <v>19</v>
      </c>
      <c r="F144" s="15"/>
      <c r="G144" s="15"/>
      <c r="H144" s="15" t="s">
        <v>114</v>
      </c>
      <c r="I144" s="15"/>
      <c r="J144" s="15" t="s">
        <v>15</v>
      </c>
      <c r="K144" s="15" t="s">
        <v>160</v>
      </c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x14ac:dyDescent="0.2">
      <c r="A145" s="34">
        <v>45983</v>
      </c>
      <c r="B145" s="15" t="s">
        <v>1715</v>
      </c>
      <c r="C145" s="15" t="s">
        <v>133</v>
      </c>
      <c r="D145" s="15" t="s">
        <v>18</v>
      </c>
      <c r="E145" s="15" t="s">
        <v>19</v>
      </c>
      <c r="F145" s="15"/>
      <c r="G145" s="15"/>
      <c r="H145" s="15" t="s">
        <v>114</v>
      </c>
      <c r="I145" s="15"/>
      <c r="J145" s="15" t="s">
        <v>15</v>
      </c>
      <c r="K145" s="15" t="s">
        <v>160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x14ac:dyDescent="0.2">
      <c r="A146" s="34">
        <v>45983</v>
      </c>
      <c r="B146" s="15" t="s">
        <v>985</v>
      </c>
      <c r="C146" s="15" t="s">
        <v>548</v>
      </c>
      <c r="D146" s="15" t="s">
        <v>18</v>
      </c>
      <c r="E146" s="15" t="s">
        <v>13</v>
      </c>
      <c r="F146" s="15"/>
      <c r="G146" s="15"/>
      <c r="H146" s="31">
        <v>70000</v>
      </c>
      <c r="I146" s="15">
        <v>17.3</v>
      </c>
      <c r="J146" s="15" t="s">
        <v>15</v>
      </c>
      <c r="K146" s="15" t="s">
        <v>160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x14ac:dyDescent="0.2">
      <c r="A147" s="34">
        <v>45983</v>
      </c>
      <c r="B147" s="15" t="s">
        <v>1148</v>
      </c>
      <c r="C147" s="15" t="s">
        <v>330</v>
      </c>
      <c r="D147" s="15" t="s">
        <v>119</v>
      </c>
      <c r="E147" s="15" t="s">
        <v>19</v>
      </c>
      <c r="F147" s="15"/>
      <c r="G147" s="15"/>
      <c r="H147" s="31">
        <v>55000</v>
      </c>
      <c r="I147" s="15">
        <v>9.6</v>
      </c>
      <c r="J147" s="15" t="s">
        <v>37</v>
      </c>
      <c r="K147" s="15" t="s">
        <v>160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x14ac:dyDescent="0.2">
      <c r="A148" s="34">
        <v>45983</v>
      </c>
      <c r="B148" s="15" t="s">
        <v>1148</v>
      </c>
      <c r="C148" s="15" t="s">
        <v>137</v>
      </c>
      <c r="D148" s="15" t="s">
        <v>119</v>
      </c>
      <c r="E148" s="15" t="s">
        <v>19</v>
      </c>
      <c r="F148" s="15"/>
      <c r="G148" s="15"/>
      <c r="H148" s="31">
        <v>55000</v>
      </c>
      <c r="I148" s="15">
        <v>8.3000000000000007</v>
      </c>
      <c r="J148" s="15" t="s">
        <v>37</v>
      </c>
      <c r="K148" s="15" t="s">
        <v>160</v>
      </c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x14ac:dyDescent="0.2">
      <c r="A149" s="34">
        <v>45983</v>
      </c>
      <c r="B149" s="15" t="s">
        <v>1716</v>
      </c>
      <c r="C149" s="15" t="s">
        <v>916</v>
      </c>
      <c r="D149" s="15" t="s">
        <v>1229</v>
      </c>
      <c r="E149" s="15" t="s">
        <v>19</v>
      </c>
      <c r="F149" s="15"/>
      <c r="G149" s="15" t="s">
        <v>23</v>
      </c>
      <c r="H149" s="31">
        <v>30000</v>
      </c>
      <c r="I149" s="15">
        <v>2.6</v>
      </c>
      <c r="J149" s="15" t="s">
        <v>15</v>
      </c>
      <c r="K149" s="15" t="s">
        <v>1661</v>
      </c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x14ac:dyDescent="0.2">
      <c r="A150" s="34">
        <v>45983</v>
      </c>
      <c r="B150" s="15" t="s">
        <v>154</v>
      </c>
      <c r="C150" s="15" t="s">
        <v>155</v>
      </c>
      <c r="D150" s="15" t="s">
        <v>26</v>
      </c>
      <c r="E150" s="15" t="s">
        <v>19</v>
      </c>
      <c r="F150" s="15"/>
      <c r="G150" s="15" t="s">
        <v>14</v>
      </c>
      <c r="H150" s="31">
        <v>65000</v>
      </c>
      <c r="I150" s="15">
        <v>7.1</v>
      </c>
      <c r="J150" s="15" t="s">
        <v>15</v>
      </c>
      <c r="K150" s="15" t="s">
        <v>160</v>
      </c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x14ac:dyDescent="0.2">
      <c r="A151" s="34">
        <v>45983</v>
      </c>
      <c r="B151" s="15" t="s">
        <v>1490</v>
      </c>
      <c r="C151" s="15" t="s">
        <v>962</v>
      </c>
      <c r="D151" s="15" t="s">
        <v>26</v>
      </c>
      <c r="E151" s="15" t="s">
        <v>13</v>
      </c>
      <c r="F151" s="15"/>
      <c r="G151" s="15" t="s">
        <v>14</v>
      </c>
      <c r="H151" s="31">
        <v>95000</v>
      </c>
      <c r="I151" s="15">
        <v>5.3</v>
      </c>
      <c r="J151" s="15" t="s">
        <v>15</v>
      </c>
      <c r="K151" s="15" t="s">
        <v>160</v>
      </c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x14ac:dyDescent="0.2">
      <c r="A152" s="34">
        <v>45983</v>
      </c>
      <c r="B152" s="15"/>
      <c r="C152" s="15"/>
      <c r="D152" s="15"/>
      <c r="E152" s="15" t="s">
        <v>61</v>
      </c>
      <c r="F152" s="15"/>
      <c r="G152" s="15"/>
      <c r="H152" s="31">
        <v>15000</v>
      </c>
      <c r="I152" s="15"/>
      <c r="J152" s="15" t="s">
        <v>160</v>
      </c>
      <c r="K152" s="15" t="s">
        <v>160</v>
      </c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x14ac:dyDescent="0.2">
      <c r="A153" s="34">
        <v>45983</v>
      </c>
      <c r="B153" s="15"/>
      <c r="C153" s="15"/>
      <c r="D153" s="15"/>
      <c r="E153" s="15" t="s">
        <v>61</v>
      </c>
      <c r="F153" s="15"/>
      <c r="G153" s="15"/>
      <c r="H153" s="31">
        <v>15000</v>
      </c>
      <c r="I153" s="15"/>
      <c r="J153" s="15" t="s">
        <v>160</v>
      </c>
      <c r="K153" s="15" t="s">
        <v>160</v>
      </c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x14ac:dyDescent="0.2">
      <c r="A154" s="34">
        <v>45985</v>
      </c>
      <c r="B154" s="15" t="s">
        <v>1526</v>
      </c>
      <c r="C154" s="15" t="s">
        <v>185</v>
      </c>
      <c r="D154" s="15" t="s">
        <v>32</v>
      </c>
      <c r="E154" s="15" t="s">
        <v>19</v>
      </c>
      <c r="F154" s="15"/>
      <c r="G154" s="15" t="s">
        <v>14</v>
      </c>
      <c r="H154" s="31">
        <v>65000</v>
      </c>
      <c r="I154" s="15"/>
      <c r="J154" s="15" t="s">
        <v>34</v>
      </c>
      <c r="K154" s="15" t="s">
        <v>160</v>
      </c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x14ac:dyDescent="0.2">
      <c r="A155" s="34">
        <v>45985</v>
      </c>
      <c r="B155" s="15" t="s">
        <v>369</v>
      </c>
      <c r="C155" s="15" t="s">
        <v>370</v>
      </c>
      <c r="D155" s="15" t="s">
        <v>371</v>
      </c>
      <c r="E155" s="15" t="s">
        <v>19</v>
      </c>
      <c r="F155" s="15"/>
      <c r="G155" s="15" t="s">
        <v>23</v>
      </c>
      <c r="H155" s="31">
        <v>70000</v>
      </c>
      <c r="I155" s="15"/>
      <c r="J155" s="15" t="s">
        <v>15</v>
      </c>
      <c r="K155" s="15" t="s">
        <v>160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x14ac:dyDescent="0.2">
      <c r="A156" s="34">
        <v>45985</v>
      </c>
      <c r="B156" s="15" t="s">
        <v>1717</v>
      </c>
      <c r="C156" s="15" t="s">
        <v>1718</v>
      </c>
      <c r="D156" s="15" t="s">
        <v>64</v>
      </c>
      <c r="E156" s="15" t="s">
        <v>19</v>
      </c>
      <c r="F156" s="15"/>
      <c r="G156" s="15" t="s">
        <v>23</v>
      </c>
      <c r="H156" s="15" t="s">
        <v>1719</v>
      </c>
      <c r="I156" s="15"/>
      <c r="J156" s="15" t="s">
        <v>15</v>
      </c>
      <c r="K156" s="15" t="s">
        <v>1661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x14ac:dyDescent="0.2">
      <c r="A157" s="34">
        <v>45985</v>
      </c>
      <c r="B157" s="15" t="s">
        <v>728</v>
      </c>
      <c r="C157" s="15" t="s">
        <v>313</v>
      </c>
      <c r="D157" s="15" t="s">
        <v>196</v>
      </c>
      <c r="E157" s="15" t="s">
        <v>19</v>
      </c>
      <c r="F157" s="15"/>
      <c r="G157" s="15" t="s">
        <v>14</v>
      </c>
      <c r="H157" s="31">
        <v>65000</v>
      </c>
      <c r="I157" s="15"/>
      <c r="J157" s="15" t="s">
        <v>15</v>
      </c>
      <c r="K157" s="15" t="s">
        <v>160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x14ac:dyDescent="0.2">
      <c r="A158" s="34">
        <v>45985</v>
      </c>
      <c r="B158" s="15" t="s">
        <v>1720</v>
      </c>
      <c r="C158" s="15" t="s">
        <v>1449</v>
      </c>
      <c r="D158" s="15" t="s">
        <v>64</v>
      </c>
      <c r="E158" s="15" t="s">
        <v>19</v>
      </c>
      <c r="F158" s="15"/>
      <c r="G158" s="15" t="s">
        <v>23</v>
      </c>
      <c r="H158" s="31">
        <v>55000</v>
      </c>
      <c r="I158" s="15"/>
      <c r="J158" s="15" t="s">
        <v>15</v>
      </c>
      <c r="K158" s="15" t="s">
        <v>160</v>
      </c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x14ac:dyDescent="0.2">
      <c r="A159" s="34">
        <v>45986</v>
      </c>
      <c r="B159" s="15" t="s">
        <v>139</v>
      </c>
      <c r="C159" s="15" t="s">
        <v>740</v>
      </c>
      <c r="D159" s="15" t="s">
        <v>26</v>
      </c>
      <c r="E159" s="15" t="s">
        <v>19</v>
      </c>
      <c r="F159" s="15"/>
      <c r="G159" s="15" t="s">
        <v>14</v>
      </c>
      <c r="H159" s="31">
        <v>70000</v>
      </c>
      <c r="I159" s="15"/>
      <c r="J159" s="15" t="s">
        <v>37</v>
      </c>
      <c r="K159" s="15" t="s">
        <v>160</v>
      </c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x14ac:dyDescent="0.2">
      <c r="A160" s="34">
        <v>45986</v>
      </c>
      <c r="B160" s="15" t="s">
        <v>1168</v>
      </c>
      <c r="C160" s="15" t="s">
        <v>506</v>
      </c>
      <c r="D160" s="15" t="s">
        <v>88</v>
      </c>
      <c r="E160" s="15" t="s">
        <v>94</v>
      </c>
      <c r="F160" s="15"/>
      <c r="G160" s="15" t="s">
        <v>14</v>
      </c>
      <c r="H160" s="31">
        <v>65000</v>
      </c>
      <c r="I160" s="15">
        <v>6</v>
      </c>
      <c r="J160" s="15" t="s">
        <v>15</v>
      </c>
      <c r="K160" s="15" t="s">
        <v>160</v>
      </c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x14ac:dyDescent="0.2">
      <c r="A161" s="34">
        <v>45986</v>
      </c>
      <c r="B161" s="15" t="s">
        <v>1721</v>
      </c>
      <c r="C161" s="15" t="s">
        <v>126</v>
      </c>
      <c r="D161" s="15" t="s">
        <v>58</v>
      </c>
      <c r="E161" s="15" t="s">
        <v>59</v>
      </c>
      <c r="F161" s="15"/>
      <c r="G161" s="15" t="s">
        <v>14</v>
      </c>
      <c r="H161" s="31">
        <v>85000</v>
      </c>
      <c r="I161" s="15"/>
      <c r="J161" s="15" t="s">
        <v>15</v>
      </c>
      <c r="K161" s="15" t="s">
        <v>160</v>
      </c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x14ac:dyDescent="0.2">
      <c r="A162" s="34">
        <v>45986</v>
      </c>
      <c r="B162" s="15" t="s">
        <v>1721</v>
      </c>
      <c r="C162" s="15" t="s">
        <v>1413</v>
      </c>
      <c r="D162" s="15" t="s">
        <v>58</v>
      </c>
      <c r="E162" s="15" t="s">
        <v>59</v>
      </c>
      <c r="F162" s="15"/>
      <c r="G162" s="15" t="s">
        <v>14</v>
      </c>
      <c r="H162" s="31">
        <v>85000</v>
      </c>
      <c r="I162" s="15"/>
      <c r="J162" s="15" t="s">
        <v>15</v>
      </c>
      <c r="K162" s="15" t="s">
        <v>160</v>
      </c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x14ac:dyDescent="0.2">
      <c r="A163" s="34">
        <v>45986</v>
      </c>
      <c r="B163" s="15" t="s">
        <v>1301</v>
      </c>
      <c r="C163" s="15" t="s">
        <v>51</v>
      </c>
      <c r="D163" s="15" t="s">
        <v>26</v>
      </c>
      <c r="E163" s="15" t="s">
        <v>19</v>
      </c>
      <c r="F163" s="15"/>
      <c r="G163" s="15" t="s">
        <v>14</v>
      </c>
      <c r="H163" s="31">
        <v>70000</v>
      </c>
      <c r="I163" s="15"/>
      <c r="J163" s="15" t="s">
        <v>15</v>
      </c>
      <c r="K163" s="15" t="s">
        <v>160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x14ac:dyDescent="0.2">
      <c r="A164" s="34">
        <v>45987</v>
      </c>
      <c r="B164" s="15" t="s">
        <v>1631</v>
      </c>
      <c r="C164" s="15" t="s">
        <v>46</v>
      </c>
      <c r="D164" s="15" t="s">
        <v>26</v>
      </c>
      <c r="E164" s="15" t="s">
        <v>13</v>
      </c>
      <c r="F164" s="15"/>
      <c r="G164" s="15" t="s">
        <v>14</v>
      </c>
      <c r="H164" s="31">
        <v>85000</v>
      </c>
      <c r="I164" s="15">
        <v>9</v>
      </c>
      <c r="J164" s="15" t="s">
        <v>15</v>
      </c>
      <c r="K164" s="15" t="s">
        <v>160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x14ac:dyDescent="0.2">
      <c r="A165" s="34">
        <v>45987</v>
      </c>
      <c r="B165" s="15" t="s">
        <v>694</v>
      </c>
      <c r="C165" s="15" t="s">
        <v>1722</v>
      </c>
      <c r="D165" s="15" t="s">
        <v>131</v>
      </c>
      <c r="E165" s="15" t="s">
        <v>19</v>
      </c>
      <c r="F165" s="15"/>
      <c r="G165" s="15" t="s">
        <v>14</v>
      </c>
      <c r="H165" s="31">
        <v>80000</v>
      </c>
      <c r="I165" s="15">
        <v>35.700000000000003</v>
      </c>
      <c r="J165" s="15" t="s">
        <v>37</v>
      </c>
      <c r="K165" s="15" t="s">
        <v>160</v>
      </c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x14ac:dyDescent="0.2">
      <c r="A166" s="34">
        <v>45987</v>
      </c>
      <c r="B166" s="15" t="s">
        <v>1723</v>
      </c>
      <c r="C166" s="15" t="s">
        <v>262</v>
      </c>
      <c r="D166" s="15" t="s">
        <v>32</v>
      </c>
      <c r="E166" s="15" t="s">
        <v>13</v>
      </c>
      <c r="F166" s="15"/>
      <c r="G166" s="15" t="s">
        <v>14</v>
      </c>
      <c r="H166" s="31">
        <v>30000</v>
      </c>
      <c r="I166" s="15">
        <v>2.6</v>
      </c>
      <c r="J166" s="15" t="s">
        <v>34</v>
      </c>
      <c r="K166" s="15" t="s">
        <v>1661</v>
      </c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x14ac:dyDescent="0.2">
      <c r="A167" s="34">
        <v>45987</v>
      </c>
      <c r="B167" s="15"/>
      <c r="C167" s="15" t="s">
        <v>1724</v>
      </c>
      <c r="D167" s="15" t="s">
        <v>32</v>
      </c>
      <c r="E167" s="15" t="s">
        <v>61</v>
      </c>
      <c r="F167" s="15"/>
      <c r="G167" s="15"/>
      <c r="H167" s="31">
        <v>12000</v>
      </c>
      <c r="I167" s="15"/>
      <c r="J167" s="15" t="s">
        <v>160</v>
      </c>
      <c r="K167" s="15" t="s">
        <v>160</v>
      </c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x14ac:dyDescent="0.2">
      <c r="A168" s="34">
        <v>45987</v>
      </c>
      <c r="B168" s="15"/>
      <c r="C168" s="15"/>
      <c r="D168" s="15"/>
      <c r="E168" s="15" t="s">
        <v>61</v>
      </c>
      <c r="F168" s="15"/>
      <c r="G168" s="15"/>
      <c r="H168" s="31">
        <v>10000</v>
      </c>
      <c r="I168" s="15"/>
      <c r="J168" s="15" t="s">
        <v>160</v>
      </c>
      <c r="K168" s="15" t="s">
        <v>160</v>
      </c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x14ac:dyDescent="0.2">
      <c r="A169" s="34">
        <v>45987</v>
      </c>
      <c r="B169" s="15" t="s">
        <v>67</v>
      </c>
      <c r="C169" s="15" t="s">
        <v>68</v>
      </c>
      <c r="D169" s="15" t="s">
        <v>26</v>
      </c>
      <c r="E169" s="15" t="s">
        <v>19</v>
      </c>
      <c r="F169" s="15"/>
      <c r="G169" s="15" t="s">
        <v>14</v>
      </c>
      <c r="H169" s="31">
        <v>65000</v>
      </c>
      <c r="I169" s="15">
        <v>6.4</v>
      </c>
      <c r="J169" s="15" t="s">
        <v>40</v>
      </c>
      <c r="K169" s="15" t="s">
        <v>160</v>
      </c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x14ac:dyDescent="0.2">
      <c r="A170" s="34">
        <v>45987</v>
      </c>
      <c r="B170" s="15" t="s">
        <v>62</v>
      </c>
      <c r="C170" s="15" t="s">
        <v>63</v>
      </c>
      <c r="D170" s="15" t="s">
        <v>64</v>
      </c>
      <c r="E170" s="15" t="s">
        <v>19</v>
      </c>
      <c r="F170" s="15" t="s">
        <v>1342</v>
      </c>
      <c r="G170" s="15" t="s">
        <v>14</v>
      </c>
      <c r="H170" s="31">
        <f>70000+120000</f>
        <v>190000</v>
      </c>
      <c r="I170" s="15">
        <v>6.9</v>
      </c>
      <c r="J170" s="15" t="s">
        <v>37</v>
      </c>
      <c r="K170" s="15" t="s">
        <v>160</v>
      </c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x14ac:dyDescent="0.2">
      <c r="A171" s="34">
        <v>45988</v>
      </c>
      <c r="B171" s="15" t="s">
        <v>833</v>
      </c>
      <c r="C171" s="15" t="s">
        <v>516</v>
      </c>
      <c r="D171" s="15" t="s">
        <v>834</v>
      </c>
      <c r="E171" s="15" t="s">
        <v>13</v>
      </c>
      <c r="F171" s="15"/>
      <c r="G171" s="15" t="s">
        <v>14</v>
      </c>
      <c r="H171" s="31">
        <v>72000</v>
      </c>
      <c r="I171" s="15">
        <v>22.6</v>
      </c>
      <c r="J171" s="15"/>
      <c r="K171" s="15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x14ac:dyDescent="0.2">
      <c r="A172" s="34">
        <v>45988</v>
      </c>
      <c r="B172" s="15" t="s">
        <v>344</v>
      </c>
      <c r="C172" s="15" t="s">
        <v>345</v>
      </c>
      <c r="D172" s="15" t="s">
        <v>26</v>
      </c>
      <c r="E172" s="15" t="s">
        <v>19</v>
      </c>
      <c r="F172" s="15"/>
      <c r="G172" s="15" t="s">
        <v>14</v>
      </c>
      <c r="H172" s="31">
        <v>65000</v>
      </c>
      <c r="I172" s="15">
        <v>6.6</v>
      </c>
      <c r="J172" s="15"/>
      <c r="K172" s="15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x14ac:dyDescent="0.2">
      <c r="A173" s="34">
        <v>45988</v>
      </c>
      <c r="B173" s="15" t="s">
        <v>344</v>
      </c>
      <c r="C173" s="15" t="s">
        <v>31</v>
      </c>
      <c r="D173" s="15" t="s">
        <v>64</v>
      </c>
      <c r="E173" s="15" t="s">
        <v>19</v>
      </c>
      <c r="F173" s="15"/>
      <c r="G173" s="15" t="s">
        <v>23</v>
      </c>
      <c r="H173" s="31">
        <v>60000</v>
      </c>
      <c r="I173" s="15">
        <v>13</v>
      </c>
      <c r="J173" s="15"/>
      <c r="K173" s="15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x14ac:dyDescent="0.2">
      <c r="A174" s="34">
        <v>45988</v>
      </c>
      <c r="B174" s="15" t="s">
        <v>608</v>
      </c>
      <c r="C174" s="15" t="s">
        <v>609</v>
      </c>
      <c r="D174" s="15" t="s">
        <v>18</v>
      </c>
      <c r="E174" s="15" t="s">
        <v>19</v>
      </c>
      <c r="F174" s="15"/>
      <c r="G174" s="15" t="s">
        <v>14</v>
      </c>
      <c r="H174" s="31">
        <v>65000</v>
      </c>
      <c r="I174" s="15">
        <v>7.1</v>
      </c>
      <c r="J174" s="15"/>
      <c r="K174" s="15"/>
      <c r="L174" s="15"/>
      <c r="M174" s="15"/>
      <c r="N174" s="15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x14ac:dyDescent="0.2">
      <c r="A175" s="34">
        <v>45988</v>
      </c>
      <c r="B175" s="15" t="s">
        <v>305</v>
      </c>
      <c r="C175" s="15" t="s">
        <v>382</v>
      </c>
      <c r="D175" s="15" t="s">
        <v>88</v>
      </c>
      <c r="E175" s="15" t="s">
        <v>13</v>
      </c>
      <c r="F175" s="15"/>
      <c r="G175" s="15" t="s">
        <v>14</v>
      </c>
      <c r="H175" s="31">
        <v>85000</v>
      </c>
      <c r="I175" s="15">
        <v>4.3</v>
      </c>
      <c r="J175" s="15"/>
      <c r="K175" s="15"/>
      <c r="L175" s="15"/>
      <c r="M175" s="15"/>
      <c r="N175" s="15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x14ac:dyDescent="0.2">
      <c r="A176" s="34">
        <v>45988</v>
      </c>
      <c r="B176" s="15" t="s">
        <v>1200</v>
      </c>
      <c r="C176" s="15" t="s">
        <v>249</v>
      </c>
      <c r="D176" s="15" t="s">
        <v>1202</v>
      </c>
      <c r="E176" s="15" t="s">
        <v>19</v>
      </c>
      <c r="F176" s="15"/>
      <c r="G176" s="15" t="s">
        <v>14</v>
      </c>
      <c r="H176" s="31">
        <v>95000</v>
      </c>
      <c r="I176" s="15">
        <v>30.9</v>
      </c>
      <c r="J176" s="15"/>
      <c r="K176" s="15"/>
      <c r="L176" s="15"/>
      <c r="M176" s="15"/>
      <c r="N176" s="15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x14ac:dyDescent="0.2">
      <c r="A177" s="34">
        <v>45988</v>
      </c>
      <c r="B177" s="15" t="s">
        <v>944</v>
      </c>
      <c r="C177" s="15" t="s">
        <v>233</v>
      </c>
      <c r="D177" s="15" t="s">
        <v>165</v>
      </c>
      <c r="E177" s="15" t="s">
        <v>19</v>
      </c>
      <c r="F177" s="15"/>
      <c r="G177" s="15" t="s">
        <v>14</v>
      </c>
      <c r="H177" s="31">
        <v>65000</v>
      </c>
      <c r="I177" s="15">
        <v>8.9</v>
      </c>
      <c r="J177" s="15"/>
      <c r="K177" s="15"/>
      <c r="L177" s="15"/>
      <c r="M177" s="15"/>
      <c r="N177" s="15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x14ac:dyDescent="0.2">
      <c r="A178" s="34">
        <v>45988</v>
      </c>
      <c r="B178" s="15" t="s">
        <v>576</v>
      </c>
      <c r="C178" s="15" t="s">
        <v>63</v>
      </c>
      <c r="D178" s="15" t="s">
        <v>1229</v>
      </c>
      <c r="E178" s="15" t="s">
        <v>61</v>
      </c>
      <c r="F178" s="15"/>
      <c r="G178" s="15" t="s">
        <v>23</v>
      </c>
      <c r="H178" s="31">
        <v>10000</v>
      </c>
      <c r="I178" s="15"/>
      <c r="J178" s="15"/>
      <c r="K178" s="15"/>
      <c r="L178" s="15"/>
      <c r="M178" s="15"/>
      <c r="N178" s="15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x14ac:dyDescent="0.2">
      <c r="A179" s="34">
        <v>45989</v>
      </c>
      <c r="B179" s="15" t="s">
        <v>659</v>
      </c>
      <c r="C179" s="15" t="s">
        <v>389</v>
      </c>
      <c r="D179" s="15" t="s">
        <v>196</v>
      </c>
      <c r="E179" s="15" t="s">
        <v>94</v>
      </c>
      <c r="F179" s="15"/>
      <c r="G179" s="15"/>
      <c r="H179" s="31">
        <v>85000</v>
      </c>
      <c r="I179" s="15">
        <v>24.8</v>
      </c>
      <c r="J179" s="15"/>
      <c r="K179" s="15"/>
      <c r="L179" s="15"/>
      <c r="M179" s="15"/>
      <c r="N179" s="15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x14ac:dyDescent="0.2">
      <c r="A180" s="34">
        <v>45989</v>
      </c>
      <c r="B180" s="15" t="s">
        <v>1725</v>
      </c>
      <c r="C180" s="15" t="s">
        <v>1726</v>
      </c>
      <c r="D180" s="15" t="s">
        <v>64</v>
      </c>
      <c r="E180" s="15" t="s">
        <v>19</v>
      </c>
      <c r="F180" s="15"/>
      <c r="G180" s="15"/>
      <c r="H180" s="31">
        <v>65000</v>
      </c>
      <c r="I180" s="15">
        <v>27</v>
      </c>
      <c r="J180" s="15"/>
      <c r="K180" s="15"/>
      <c r="L180" s="15"/>
      <c r="M180" s="15"/>
      <c r="N180" s="15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x14ac:dyDescent="0.2">
      <c r="A181" s="34">
        <v>45989</v>
      </c>
      <c r="B181" s="15" t="s">
        <v>1727</v>
      </c>
      <c r="C181" s="15" t="s">
        <v>157</v>
      </c>
      <c r="D181" s="15" t="s">
        <v>18</v>
      </c>
      <c r="E181" s="15"/>
      <c r="F181" s="15"/>
      <c r="G181" s="15"/>
      <c r="H181" s="31">
        <v>150000</v>
      </c>
      <c r="I181" s="15">
        <v>11.9</v>
      </c>
      <c r="J181" s="15"/>
      <c r="K181" s="15"/>
      <c r="L181" s="15"/>
      <c r="M181" s="15"/>
      <c r="N181" s="15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x14ac:dyDescent="0.2">
      <c r="A182" s="34">
        <v>45989</v>
      </c>
      <c r="B182" s="15" t="s">
        <v>111</v>
      </c>
      <c r="C182" s="15" t="s">
        <v>63</v>
      </c>
      <c r="D182" s="15"/>
      <c r="E182" s="15" t="s">
        <v>113</v>
      </c>
      <c r="F182" s="15"/>
      <c r="G182" s="15"/>
      <c r="H182" s="31" t="s">
        <v>114</v>
      </c>
      <c r="I182" s="15"/>
      <c r="J182" s="15"/>
      <c r="K182" s="15"/>
      <c r="L182" s="15"/>
      <c r="M182" s="15"/>
      <c r="N182" s="15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x14ac:dyDescent="0.2">
      <c r="A183" s="34">
        <v>45990</v>
      </c>
      <c r="B183" s="15" t="s">
        <v>1514</v>
      </c>
      <c r="C183" s="15" t="s">
        <v>604</v>
      </c>
      <c r="D183" s="15" t="s">
        <v>18</v>
      </c>
      <c r="E183" s="15" t="s">
        <v>19</v>
      </c>
      <c r="F183" s="15"/>
      <c r="G183" s="15"/>
      <c r="H183" s="31">
        <v>60000</v>
      </c>
      <c r="I183" s="15">
        <v>11.6</v>
      </c>
      <c r="J183" s="15"/>
      <c r="K183" s="15"/>
      <c r="L183" s="15"/>
      <c r="M183" s="15"/>
      <c r="N183" s="15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x14ac:dyDescent="0.2">
      <c r="A184" s="34">
        <v>45990</v>
      </c>
      <c r="B184" s="15" t="s">
        <v>234</v>
      </c>
      <c r="C184" s="15" t="s">
        <v>235</v>
      </c>
      <c r="D184" s="15" t="s">
        <v>18</v>
      </c>
      <c r="E184" s="15"/>
      <c r="F184" s="15"/>
      <c r="G184" s="15"/>
      <c r="H184" s="31">
        <v>75000</v>
      </c>
      <c r="I184" s="15">
        <v>11.3</v>
      </c>
      <c r="J184" s="15"/>
      <c r="K184" s="15"/>
      <c r="L184" s="15"/>
      <c r="M184" s="15"/>
      <c r="N184" s="15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x14ac:dyDescent="0.2">
      <c r="A185" s="34">
        <v>45990</v>
      </c>
      <c r="B185" s="15" t="s">
        <v>129</v>
      </c>
      <c r="C185" s="15" t="s">
        <v>130</v>
      </c>
      <c r="D185" s="15" t="s">
        <v>131</v>
      </c>
      <c r="E185" s="15" t="s">
        <v>19</v>
      </c>
      <c r="F185" s="15"/>
      <c r="G185" s="15"/>
      <c r="H185" s="31" t="s">
        <v>114</v>
      </c>
      <c r="I185" s="15"/>
      <c r="J185" s="15"/>
      <c r="K185" s="15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x14ac:dyDescent="0.2">
      <c r="A186" s="34">
        <v>45990</v>
      </c>
      <c r="B186" s="15" t="s">
        <v>132</v>
      </c>
      <c r="C186" s="15" t="s">
        <v>133</v>
      </c>
      <c r="D186" s="15" t="s">
        <v>18</v>
      </c>
      <c r="E186" s="15" t="s">
        <v>19</v>
      </c>
      <c r="F186" s="15"/>
      <c r="G186" s="15"/>
      <c r="H186" s="31" t="s">
        <v>114</v>
      </c>
      <c r="I186" s="15"/>
      <c r="J186" s="15"/>
      <c r="K186" s="15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x14ac:dyDescent="0.2">
      <c r="A187" s="34">
        <v>45990</v>
      </c>
      <c r="B187" s="15" t="s">
        <v>1196</v>
      </c>
      <c r="C187" s="15" t="s">
        <v>1728</v>
      </c>
      <c r="D187" s="15" t="s">
        <v>18</v>
      </c>
      <c r="E187" s="15" t="s">
        <v>13</v>
      </c>
      <c r="F187" s="15"/>
      <c r="G187" s="15"/>
      <c r="H187" s="31">
        <v>90000</v>
      </c>
      <c r="I187" s="15"/>
      <c r="J187" s="15"/>
      <c r="K187" s="15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x14ac:dyDescent="0.2">
      <c r="A188" s="34">
        <v>45990</v>
      </c>
      <c r="B188" s="15" t="s">
        <v>1729</v>
      </c>
      <c r="C188" s="15" t="s">
        <v>1730</v>
      </c>
      <c r="D188" s="15" t="s">
        <v>371</v>
      </c>
      <c r="E188" s="15" t="s">
        <v>19</v>
      </c>
      <c r="F188" s="15"/>
      <c r="G188" s="15"/>
      <c r="H188" s="31">
        <v>70000</v>
      </c>
      <c r="I188" s="15"/>
      <c r="J188" s="15"/>
      <c r="K188" s="15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x14ac:dyDescent="0.2">
      <c r="A189" s="34">
        <v>45990</v>
      </c>
      <c r="B189" s="15" t="s">
        <v>542</v>
      </c>
      <c r="C189" s="15" t="s">
        <v>301</v>
      </c>
      <c r="D189" s="15" t="s">
        <v>32</v>
      </c>
      <c r="E189" s="15" t="s">
        <v>78</v>
      </c>
      <c r="F189" s="15"/>
      <c r="G189" s="15"/>
      <c r="H189" s="31">
        <v>70000</v>
      </c>
      <c r="I189" s="15">
        <v>3.9</v>
      </c>
      <c r="J189" s="15"/>
      <c r="K189" s="15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x14ac:dyDescent="0.2">
      <c r="A190" s="34">
        <v>45990</v>
      </c>
      <c r="B190" s="15"/>
      <c r="C190" s="15"/>
      <c r="D190" s="15"/>
      <c r="E190" s="15" t="s">
        <v>61</v>
      </c>
      <c r="F190" s="15"/>
      <c r="G190" s="15"/>
      <c r="H190" s="31">
        <v>15000</v>
      </c>
      <c r="I190" s="15"/>
      <c r="J190" s="15"/>
      <c r="K190" s="15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x14ac:dyDescent="0.2">
      <c r="A191" s="34">
        <v>45990</v>
      </c>
      <c r="B191" s="15"/>
      <c r="C191" s="15"/>
      <c r="D191" s="15"/>
      <c r="E191" s="15" t="s">
        <v>61</v>
      </c>
      <c r="F191" s="15"/>
      <c r="G191" s="15"/>
      <c r="H191" s="31">
        <v>15000</v>
      </c>
      <c r="I191" s="15"/>
      <c r="J191" s="15"/>
      <c r="K191" s="15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x14ac:dyDescent="0.2">
      <c r="A192" s="34">
        <v>45990</v>
      </c>
      <c r="B192" s="15"/>
      <c r="C192" s="15" t="s">
        <v>398</v>
      </c>
      <c r="D192" s="15" t="s">
        <v>1229</v>
      </c>
      <c r="E192" s="15" t="s">
        <v>19</v>
      </c>
      <c r="F192" s="15"/>
      <c r="G192" s="15"/>
      <c r="H192" s="31">
        <v>30000</v>
      </c>
      <c r="I192" s="15"/>
      <c r="J192" s="15"/>
      <c r="K192" s="15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x14ac:dyDescent="0.2">
      <c r="A193" s="15"/>
      <c r="B193" s="15" t="s">
        <v>1731</v>
      </c>
      <c r="C193" s="15" t="s">
        <v>1700</v>
      </c>
      <c r="D193" s="15" t="s">
        <v>26</v>
      </c>
      <c r="E193" s="15" t="s">
        <v>19</v>
      </c>
      <c r="F193" s="15"/>
      <c r="G193" s="15"/>
      <c r="H193" s="31">
        <v>65000</v>
      </c>
      <c r="I193" s="15"/>
      <c r="J193" s="15"/>
      <c r="K193" s="15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x14ac:dyDescent="0.2">
      <c r="A194" s="15"/>
      <c r="B194" s="15"/>
      <c r="C194" s="15"/>
      <c r="D194" s="15"/>
      <c r="E194" s="15"/>
      <c r="F194" s="15"/>
      <c r="G194" s="15"/>
      <c r="H194" s="31"/>
      <c r="I194" s="15"/>
      <c r="J194" s="15"/>
      <c r="K194" s="15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x14ac:dyDescent="0.2">
      <c r="A219" s="30"/>
      <c r="B219" s="30"/>
      <c r="C219" s="30"/>
      <c r="D219" s="15"/>
      <c r="E219" s="15"/>
      <c r="F219" s="30"/>
      <c r="G219" s="15"/>
      <c r="H219" s="30"/>
      <c r="I219" s="30"/>
      <c r="J219" s="15"/>
      <c r="K219" s="15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30"/>
      <c r="B220" s="30"/>
      <c r="C220" s="30"/>
      <c r="D220" s="15"/>
      <c r="E220" s="15"/>
      <c r="F220" s="30"/>
      <c r="G220" s="15"/>
      <c r="H220" s="30"/>
      <c r="I220" s="30"/>
      <c r="J220" s="15"/>
      <c r="K220" s="15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30"/>
      <c r="B221" s="30"/>
      <c r="C221" s="30"/>
      <c r="D221" s="15"/>
      <c r="E221" s="15"/>
      <c r="F221" s="30"/>
      <c r="G221" s="15"/>
      <c r="H221" s="30"/>
      <c r="I221" s="30"/>
      <c r="J221" s="15"/>
      <c r="K221" s="15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30"/>
      <c r="B222" s="30"/>
      <c r="C222" s="30"/>
      <c r="D222" s="15"/>
      <c r="E222" s="15"/>
      <c r="F222" s="30"/>
      <c r="G222" s="15"/>
      <c r="H222" s="30"/>
      <c r="I222" s="30"/>
      <c r="J222" s="15"/>
      <c r="K222" s="15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30"/>
      <c r="B223" s="30"/>
      <c r="C223" s="30"/>
      <c r="D223" s="15"/>
      <c r="E223" s="15"/>
      <c r="F223" s="30"/>
      <c r="G223" s="15"/>
      <c r="H223" s="30"/>
      <c r="I223" s="30"/>
      <c r="J223" s="15"/>
      <c r="K223" s="15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30"/>
      <c r="B224" s="30"/>
      <c r="C224" s="30"/>
      <c r="D224" s="15"/>
      <c r="E224" s="15"/>
      <c r="F224" s="30"/>
      <c r="G224" s="15"/>
      <c r="H224" s="30"/>
      <c r="I224" s="30"/>
      <c r="J224" s="15"/>
      <c r="K224" s="15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30"/>
      <c r="B225" s="30"/>
      <c r="C225" s="30"/>
      <c r="D225" s="15"/>
      <c r="E225" s="15"/>
      <c r="F225" s="30"/>
      <c r="G225" s="15"/>
      <c r="H225" s="30"/>
      <c r="I225" s="30"/>
      <c r="J225" s="15"/>
      <c r="K225" s="15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30"/>
      <c r="B226" s="30"/>
      <c r="C226" s="30"/>
      <c r="D226" s="15"/>
      <c r="E226" s="15"/>
      <c r="F226" s="30"/>
      <c r="G226" s="15"/>
      <c r="H226" s="30"/>
      <c r="I226" s="30"/>
      <c r="J226" s="15"/>
      <c r="K226" s="15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30"/>
      <c r="B227" s="30"/>
      <c r="C227" s="30"/>
      <c r="D227" s="15"/>
      <c r="E227" s="15"/>
      <c r="F227" s="30"/>
      <c r="G227" s="15"/>
      <c r="H227" s="30"/>
      <c r="I227" s="30"/>
      <c r="J227" s="15"/>
      <c r="K227" s="15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30"/>
      <c r="B228" s="30"/>
      <c r="C228" s="30"/>
      <c r="D228" s="15"/>
      <c r="E228" s="15"/>
      <c r="F228" s="30"/>
      <c r="G228" s="15"/>
      <c r="H228" s="30"/>
      <c r="I228" s="30"/>
      <c r="J228" s="15"/>
      <c r="K228" s="15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30"/>
      <c r="B229" s="30"/>
      <c r="C229" s="30"/>
      <c r="D229" s="15"/>
      <c r="E229" s="15"/>
      <c r="F229" s="30"/>
      <c r="G229" s="15"/>
      <c r="H229" s="30"/>
      <c r="I229" s="30"/>
      <c r="J229" s="15"/>
      <c r="K229" s="15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30"/>
      <c r="B230" s="30"/>
      <c r="C230" s="30"/>
      <c r="D230" s="15"/>
      <c r="E230" s="15"/>
      <c r="F230" s="30"/>
      <c r="G230" s="15"/>
      <c r="H230" s="30"/>
      <c r="I230" s="30"/>
      <c r="J230" s="15"/>
      <c r="K230" s="15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30"/>
      <c r="B231" s="30"/>
      <c r="C231" s="30"/>
      <c r="D231" s="15"/>
      <c r="E231" s="15"/>
      <c r="F231" s="30"/>
      <c r="G231" s="15"/>
      <c r="H231" s="30"/>
      <c r="I231" s="30"/>
      <c r="J231" s="15"/>
      <c r="K231" s="15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30"/>
      <c r="B232" s="30"/>
      <c r="C232" s="30"/>
      <c r="D232" s="15"/>
      <c r="E232" s="15"/>
      <c r="F232" s="30"/>
      <c r="G232" s="15"/>
      <c r="H232" s="30"/>
      <c r="I232" s="30"/>
      <c r="J232" s="15"/>
      <c r="K232" s="15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 x14ac:dyDescent="0.1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30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 x14ac:dyDescent="0.1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30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 x14ac:dyDescent="0.1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30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 x14ac:dyDescent="0.1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30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 x14ac:dyDescent="0.1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30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 x14ac:dyDescent="0.1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30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 x14ac:dyDescent="0.1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30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 x14ac:dyDescent="0.1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30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 x14ac:dyDescent="0.1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30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 x14ac:dyDescent="0.1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30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 x14ac:dyDescent="0.1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30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 x14ac:dyDescent="0.1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30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 x14ac:dyDescent="0.1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30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 x14ac:dyDescent="0.1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30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 x14ac:dyDescent="0.1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30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 x14ac:dyDescent="0.1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30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 x14ac:dyDescent="0.1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30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 x14ac:dyDescent="0.1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30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 x14ac:dyDescent="0.1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30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 x14ac:dyDescent="0.1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30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 x14ac:dyDescent="0.1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30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 x14ac:dyDescent="0.1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30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 x14ac:dyDescent="0.1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30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 x14ac:dyDescent="0.1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30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 x14ac:dyDescent="0.1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30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 x14ac:dyDescent="0.1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30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 x14ac:dyDescent="0.1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30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 x14ac:dyDescent="0.1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30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 x14ac:dyDescent="0.1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30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 x14ac:dyDescent="0.1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30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 x14ac:dyDescent="0.1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30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 x14ac:dyDescent="0.1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30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 x14ac:dyDescent="0.1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30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 x14ac:dyDescent="0.1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30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 x14ac:dyDescent="0.1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30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 x14ac:dyDescent="0.1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30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 x14ac:dyDescent="0.1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30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 x14ac:dyDescent="0.1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30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 x14ac:dyDescent="0.1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30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 x14ac:dyDescent="0.1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30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 x14ac:dyDescent="0.1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30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 x14ac:dyDescent="0.1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30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 x14ac:dyDescent="0.1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30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 x14ac:dyDescent="0.1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30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 x14ac:dyDescent="0.1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30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 x14ac:dyDescent="0.1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30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 x14ac:dyDescent="0.1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30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 x14ac:dyDescent="0.1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30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 x14ac:dyDescent="0.1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30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 x14ac:dyDescent="0.1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30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 x14ac:dyDescent="0.1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30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 x14ac:dyDescent="0.1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30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 x14ac:dyDescent="0.1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30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 x14ac:dyDescent="0.1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30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 x14ac:dyDescent="0.1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30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 x14ac:dyDescent="0.1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30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 x14ac:dyDescent="0.1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30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 x14ac:dyDescent="0.1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30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 x14ac:dyDescent="0.1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30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 x14ac:dyDescent="0.1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30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 x14ac:dyDescent="0.1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30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 x14ac:dyDescent="0.1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30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 x14ac:dyDescent="0.1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30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 x14ac:dyDescent="0.1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30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 x14ac:dyDescent="0.1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30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 x14ac:dyDescent="0.1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30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 x14ac:dyDescent="0.1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30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 x14ac:dyDescent="0.1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30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 x14ac:dyDescent="0.1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30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 x14ac:dyDescent="0.1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30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 x14ac:dyDescent="0.1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30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 x14ac:dyDescent="0.1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30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 x14ac:dyDescent="0.1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30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 x14ac:dyDescent="0.1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30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 x14ac:dyDescent="0.1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30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 x14ac:dyDescent="0.1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30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 x14ac:dyDescent="0.1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30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 x14ac:dyDescent="0.1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30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 x14ac:dyDescent="0.1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30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 x14ac:dyDescent="0.1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30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 x14ac:dyDescent="0.1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30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 x14ac:dyDescent="0.1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30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 x14ac:dyDescent="0.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30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 x14ac:dyDescent="0.1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30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 x14ac:dyDescent="0.1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30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 x14ac:dyDescent="0.1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30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 x14ac:dyDescent="0.1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30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 x14ac:dyDescent="0.1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30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 x14ac:dyDescent="0.1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30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 x14ac:dyDescent="0.1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30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 x14ac:dyDescent="0.1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30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 x14ac:dyDescent="0.1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30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 x14ac:dyDescent="0.1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30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 x14ac:dyDescent="0.1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30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 x14ac:dyDescent="0.1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30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 x14ac:dyDescent="0.1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30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 x14ac:dyDescent="0.1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30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 x14ac:dyDescent="0.1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30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 x14ac:dyDescent="0.1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30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 x14ac:dyDescent="0.1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30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 x14ac:dyDescent="0.1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30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 x14ac:dyDescent="0.1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30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 x14ac:dyDescent="0.1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30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 x14ac:dyDescent="0.1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30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 x14ac:dyDescent="0.1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30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 x14ac:dyDescent="0.1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30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 x14ac:dyDescent="0.1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30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 x14ac:dyDescent="0.1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30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 x14ac:dyDescent="0.1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30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 x14ac:dyDescent="0.1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30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 x14ac:dyDescent="0.1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30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 x14ac:dyDescent="0.1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30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 x14ac:dyDescent="0.1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30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 x14ac:dyDescent="0.1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30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 x14ac:dyDescent="0.1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30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 x14ac:dyDescent="0.1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30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 x14ac:dyDescent="0.1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30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 x14ac:dyDescent="0.1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30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 x14ac:dyDescent="0.1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30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 x14ac:dyDescent="0.1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30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 x14ac:dyDescent="0.1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30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 x14ac:dyDescent="0.1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30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 x14ac:dyDescent="0.1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30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 x14ac:dyDescent="0.1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30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 x14ac:dyDescent="0.1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30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 x14ac:dyDescent="0.1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30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 x14ac:dyDescent="0.1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30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 x14ac:dyDescent="0.1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30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 x14ac:dyDescent="0.1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30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 x14ac:dyDescent="0.1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30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 x14ac:dyDescent="0.1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30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 x14ac:dyDescent="0.1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30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 x14ac:dyDescent="0.1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30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 x14ac:dyDescent="0.1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30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 x14ac:dyDescent="0.1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30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 x14ac:dyDescent="0.1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30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 x14ac:dyDescent="0.1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30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 x14ac:dyDescent="0.1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30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 x14ac:dyDescent="0.1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30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 x14ac:dyDescent="0.1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30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 x14ac:dyDescent="0.1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30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 x14ac:dyDescent="0.1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30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 x14ac:dyDescent="0.1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30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 x14ac:dyDescent="0.1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30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 x14ac:dyDescent="0.1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30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 x14ac:dyDescent="0.1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30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 x14ac:dyDescent="0.1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30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 x14ac:dyDescent="0.1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30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 x14ac:dyDescent="0.1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30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 x14ac:dyDescent="0.1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30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 x14ac:dyDescent="0.1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30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 x14ac:dyDescent="0.1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30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 x14ac:dyDescent="0.1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30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 x14ac:dyDescent="0.1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30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 x14ac:dyDescent="0.1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30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 x14ac:dyDescent="0.1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30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 x14ac:dyDescent="0.1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30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 x14ac:dyDescent="0.1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30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 x14ac:dyDescent="0.1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30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 x14ac:dyDescent="0.1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30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 x14ac:dyDescent="0.1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30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 x14ac:dyDescent="0.1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30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 x14ac:dyDescent="0.1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30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 x14ac:dyDescent="0.1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30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 x14ac:dyDescent="0.1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30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 x14ac:dyDescent="0.1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30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 x14ac:dyDescent="0.1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30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 x14ac:dyDescent="0.1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30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 x14ac:dyDescent="0.1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30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 x14ac:dyDescent="0.1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30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 x14ac:dyDescent="0.1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30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 x14ac:dyDescent="0.1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30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 x14ac:dyDescent="0.1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30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 x14ac:dyDescent="0.1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30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 x14ac:dyDescent="0.1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30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 x14ac:dyDescent="0.1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30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 x14ac:dyDescent="0.1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30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 x14ac:dyDescent="0.1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30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 x14ac:dyDescent="0.1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30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 x14ac:dyDescent="0.1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30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 x14ac:dyDescent="0.1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30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 x14ac:dyDescent="0.1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30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 x14ac:dyDescent="0.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30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 x14ac:dyDescent="0.1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30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 x14ac:dyDescent="0.1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30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 x14ac:dyDescent="0.1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30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 x14ac:dyDescent="0.1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30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 x14ac:dyDescent="0.1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30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 x14ac:dyDescent="0.1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30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 x14ac:dyDescent="0.1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30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 x14ac:dyDescent="0.1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30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 x14ac:dyDescent="0.1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30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 x14ac:dyDescent="0.1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30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 x14ac:dyDescent="0.1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30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 x14ac:dyDescent="0.1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30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 x14ac:dyDescent="0.1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30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 x14ac:dyDescent="0.1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30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 x14ac:dyDescent="0.1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30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 x14ac:dyDescent="0.1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30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 x14ac:dyDescent="0.1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30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 x14ac:dyDescent="0.1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30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 x14ac:dyDescent="0.1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30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 x14ac:dyDescent="0.1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30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 x14ac:dyDescent="0.1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30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 x14ac:dyDescent="0.1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30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 x14ac:dyDescent="0.1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30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 x14ac:dyDescent="0.1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30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 x14ac:dyDescent="0.1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30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 x14ac:dyDescent="0.1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30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 x14ac:dyDescent="0.1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30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 x14ac:dyDescent="0.1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30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 x14ac:dyDescent="0.1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30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 x14ac:dyDescent="0.1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30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 x14ac:dyDescent="0.1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30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 x14ac:dyDescent="0.1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30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 x14ac:dyDescent="0.1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30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 x14ac:dyDescent="0.1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30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 x14ac:dyDescent="0.1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30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 x14ac:dyDescent="0.1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30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 x14ac:dyDescent="0.1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30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 x14ac:dyDescent="0.1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30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 x14ac:dyDescent="0.1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30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 x14ac:dyDescent="0.1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30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 x14ac:dyDescent="0.1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30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 x14ac:dyDescent="0.1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30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 x14ac:dyDescent="0.1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30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 x14ac:dyDescent="0.1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30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 x14ac:dyDescent="0.1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30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 x14ac:dyDescent="0.1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30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 x14ac:dyDescent="0.1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30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 x14ac:dyDescent="0.1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30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 x14ac:dyDescent="0.1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30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 x14ac:dyDescent="0.1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30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 x14ac:dyDescent="0.1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30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 x14ac:dyDescent="0.1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30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 x14ac:dyDescent="0.1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30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 x14ac:dyDescent="0.1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30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 x14ac:dyDescent="0.1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30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 x14ac:dyDescent="0.1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30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 x14ac:dyDescent="0.1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30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 x14ac:dyDescent="0.1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30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 x14ac:dyDescent="0.1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30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 x14ac:dyDescent="0.1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30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 x14ac:dyDescent="0.1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30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 x14ac:dyDescent="0.1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30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 x14ac:dyDescent="0.1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30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 x14ac:dyDescent="0.1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30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 x14ac:dyDescent="0.1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30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 x14ac:dyDescent="0.1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30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 x14ac:dyDescent="0.1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30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 x14ac:dyDescent="0.1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30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 x14ac:dyDescent="0.1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30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 x14ac:dyDescent="0.1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30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 x14ac:dyDescent="0.1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30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 x14ac:dyDescent="0.1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30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 x14ac:dyDescent="0.1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30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 x14ac:dyDescent="0.1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30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 x14ac:dyDescent="0.1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30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 x14ac:dyDescent="0.1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30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 x14ac:dyDescent="0.1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30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 x14ac:dyDescent="0.1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30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 x14ac:dyDescent="0.1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30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 x14ac:dyDescent="0.1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30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 x14ac:dyDescent="0.1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30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 x14ac:dyDescent="0.1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30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 x14ac:dyDescent="0.1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30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 x14ac:dyDescent="0.1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30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 x14ac:dyDescent="0.1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30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 x14ac:dyDescent="0.1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30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 x14ac:dyDescent="0.1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30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 x14ac:dyDescent="0.1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30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 x14ac:dyDescent="0.1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30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 x14ac:dyDescent="0.1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30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 x14ac:dyDescent="0.1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30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 x14ac:dyDescent="0.1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30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 x14ac:dyDescent="0.1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30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 x14ac:dyDescent="0.1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30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 x14ac:dyDescent="0.1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30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 x14ac:dyDescent="0.1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30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 x14ac:dyDescent="0.1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30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 x14ac:dyDescent="0.1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30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 x14ac:dyDescent="0.1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30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 x14ac:dyDescent="0.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30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 x14ac:dyDescent="0.1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30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 x14ac:dyDescent="0.1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30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 x14ac:dyDescent="0.1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30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 x14ac:dyDescent="0.1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30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 x14ac:dyDescent="0.1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30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 x14ac:dyDescent="0.1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30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 x14ac:dyDescent="0.1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30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 x14ac:dyDescent="0.1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30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 x14ac:dyDescent="0.1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30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 x14ac:dyDescent="0.1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30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 x14ac:dyDescent="0.1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30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 x14ac:dyDescent="0.1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30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 x14ac:dyDescent="0.1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30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 x14ac:dyDescent="0.1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30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 x14ac:dyDescent="0.1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30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 x14ac:dyDescent="0.1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30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 x14ac:dyDescent="0.1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30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 x14ac:dyDescent="0.1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30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 x14ac:dyDescent="0.1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30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 x14ac:dyDescent="0.1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30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 x14ac:dyDescent="0.1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30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 x14ac:dyDescent="0.1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30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 x14ac:dyDescent="0.1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30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 x14ac:dyDescent="0.1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30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 x14ac:dyDescent="0.1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30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 x14ac:dyDescent="0.1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30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 x14ac:dyDescent="0.1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30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 x14ac:dyDescent="0.1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30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 x14ac:dyDescent="0.1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30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 x14ac:dyDescent="0.1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30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 x14ac:dyDescent="0.1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30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 x14ac:dyDescent="0.1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30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 x14ac:dyDescent="0.1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30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 x14ac:dyDescent="0.1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30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 x14ac:dyDescent="0.1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30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 x14ac:dyDescent="0.1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30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 x14ac:dyDescent="0.1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30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 x14ac:dyDescent="0.1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30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 x14ac:dyDescent="0.1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30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 x14ac:dyDescent="0.1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30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 x14ac:dyDescent="0.1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30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 x14ac:dyDescent="0.1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30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 x14ac:dyDescent="0.1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30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 x14ac:dyDescent="0.1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30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 x14ac:dyDescent="0.1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30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 x14ac:dyDescent="0.1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30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 x14ac:dyDescent="0.1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30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 x14ac:dyDescent="0.1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30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 x14ac:dyDescent="0.1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30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 x14ac:dyDescent="0.1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30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 x14ac:dyDescent="0.1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30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 x14ac:dyDescent="0.1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30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 x14ac:dyDescent="0.1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30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 x14ac:dyDescent="0.1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30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 x14ac:dyDescent="0.1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30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 x14ac:dyDescent="0.1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30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 x14ac:dyDescent="0.1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30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 x14ac:dyDescent="0.1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30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 x14ac:dyDescent="0.1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30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 x14ac:dyDescent="0.1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30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 x14ac:dyDescent="0.1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30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 x14ac:dyDescent="0.1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30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 x14ac:dyDescent="0.1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30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 x14ac:dyDescent="0.1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30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 x14ac:dyDescent="0.1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30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 x14ac:dyDescent="0.1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30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 x14ac:dyDescent="0.1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30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 x14ac:dyDescent="0.1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30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 x14ac:dyDescent="0.1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30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 x14ac:dyDescent="0.1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30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 x14ac:dyDescent="0.1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30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 x14ac:dyDescent="0.1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30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 x14ac:dyDescent="0.1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30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 x14ac:dyDescent="0.1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30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 x14ac:dyDescent="0.1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30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 x14ac:dyDescent="0.1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30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 x14ac:dyDescent="0.1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30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 x14ac:dyDescent="0.1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30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 x14ac:dyDescent="0.1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30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 x14ac:dyDescent="0.1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30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 x14ac:dyDescent="0.1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30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 x14ac:dyDescent="0.1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30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 x14ac:dyDescent="0.1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30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 x14ac:dyDescent="0.1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30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 x14ac:dyDescent="0.1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30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 x14ac:dyDescent="0.1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30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 x14ac:dyDescent="0.1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30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 x14ac:dyDescent="0.1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30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 x14ac:dyDescent="0.1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30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 x14ac:dyDescent="0.1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30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 x14ac:dyDescent="0.1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30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 x14ac:dyDescent="0.1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30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 x14ac:dyDescent="0.1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30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 x14ac:dyDescent="0.1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30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 x14ac:dyDescent="0.1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30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 x14ac:dyDescent="0.1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30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 x14ac:dyDescent="0.1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30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 x14ac:dyDescent="0.1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30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 x14ac:dyDescent="0.1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30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 x14ac:dyDescent="0.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30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 x14ac:dyDescent="0.1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30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 x14ac:dyDescent="0.1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30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 x14ac:dyDescent="0.1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30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 x14ac:dyDescent="0.1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30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 x14ac:dyDescent="0.1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30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 x14ac:dyDescent="0.1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30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 x14ac:dyDescent="0.1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30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 x14ac:dyDescent="0.1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30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 x14ac:dyDescent="0.1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30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 x14ac:dyDescent="0.1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30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 x14ac:dyDescent="0.1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30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 x14ac:dyDescent="0.1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30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 x14ac:dyDescent="0.1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30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 x14ac:dyDescent="0.1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30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 x14ac:dyDescent="0.1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30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 x14ac:dyDescent="0.1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30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 x14ac:dyDescent="0.1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30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 x14ac:dyDescent="0.1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30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 x14ac:dyDescent="0.1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30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 x14ac:dyDescent="0.1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30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 x14ac:dyDescent="0.1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30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 x14ac:dyDescent="0.1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30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 x14ac:dyDescent="0.1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30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 x14ac:dyDescent="0.1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30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 x14ac:dyDescent="0.1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30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 x14ac:dyDescent="0.1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30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 x14ac:dyDescent="0.1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30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 x14ac:dyDescent="0.1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30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 x14ac:dyDescent="0.1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30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 x14ac:dyDescent="0.1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30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 x14ac:dyDescent="0.1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30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 x14ac:dyDescent="0.1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30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 x14ac:dyDescent="0.1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30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 x14ac:dyDescent="0.1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30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 x14ac:dyDescent="0.1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30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 x14ac:dyDescent="0.1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30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 x14ac:dyDescent="0.1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30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 x14ac:dyDescent="0.1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30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 x14ac:dyDescent="0.1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30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 x14ac:dyDescent="0.1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30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 x14ac:dyDescent="0.1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30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 x14ac:dyDescent="0.1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30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 x14ac:dyDescent="0.1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30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 x14ac:dyDescent="0.1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30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 x14ac:dyDescent="0.1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30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 x14ac:dyDescent="0.1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30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 x14ac:dyDescent="0.1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30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 x14ac:dyDescent="0.1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30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 x14ac:dyDescent="0.1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30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 x14ac:dyDescent="0.1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30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 x14ac:dyDescent="0.1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30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 x14ac:dyDescent="0.1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30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 x14ac:dyDescent="0.1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30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 x14ac:dyDescent="0.1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30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 x14ac:dyDescent="0.1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30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 x14ac:dyDescent="0.1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30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 x14ac:dyDescent="0.1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30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 x14ac:dyDescent="0.1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30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 x14ac:dyDescent="0.1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30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 x14ac:dyDescent="0.1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30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 x14ac:dyDescent="0.1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30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 x14ac:dyDescent="0.1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30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 x14ac:dyDescent="0.1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30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 x14ac:dyDescent="0.1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30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 x14ac:dyDescent="0.1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30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 x14ac:dyDescent="0.1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30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 x14ac:dyDescent="0.1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30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 x14ac:dyDescent="0.1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30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 x14ac:dyDescent="0.1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30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 x14ac:dyDescent="0.1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30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 x14ac:dyDescent="0.1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30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 x14ac:dyDescent="0.1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30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 x14ac:dyDescent="0.1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30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 x14ac:dyDescent="0.1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30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 x14ac:dyDescent="0.1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30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 x14ac:dyDescent="0.1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30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 x14ac:dyDescent="0.1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30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 x14ac:dyDescent="0.1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30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 x14ac:dyDescent="0.1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30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 x14ac:dyDescent="0.1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30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 x14ac:dyDescent="0.1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30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 x14ac:dyDescent="0.1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30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 x14ac:dyDescent="0.1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30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 x14ac:dyDescent="0.1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30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 x14ac:dyDescent="0.1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30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 x14ac:dyDescent="0.1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30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 x14ac:dyDescent="0.1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30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 x14ac:dyDescent="0.1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30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 x14ac:dyDescent="0.1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30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 x14ac:dyDescent="0.1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30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 x14ac:dyDescent="0.1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30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 x14ac:dyDescent="0.1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30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 x14ac:dyDescent="0.1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30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 x14ac:dyDescent="0.1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30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 x14ac:dyDescent="0.1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30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 x14ac:dyDescent="0.1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30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 x14ac:dyDescent="0.1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30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 x14ac:dyDescent="0.1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30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 x14ac:dyDescent="0.1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30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 x14ac:dyDescent="0.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30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 x14ac:dyDescent="0.1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30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 x14ac:dyDescent="0.1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30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 x14ac:dyDescent="0.1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30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 x14ac:dyDescent="0.1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30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 x14ac:dyDescent="0.1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30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 x14ac:dyDescent="0.1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30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 x14ac:dyDescent="0.1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30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 x14ac:dyDescent="0.1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30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 x14ac:dyDescent="0.1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30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 x14ac:dyDescent="0.1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30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 x14ac:dyDescent="0.1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30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 x14ac:dyDescent="0.1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30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 x14ac:dyDescent="0.1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30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 x14ac:dyDescent="0.1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30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 x14ac:dyDescent="0.1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30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 x14ac:dyDescent="0.1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30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 x14ac:dyDescent="0.1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30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 x14ac:dyDescent="0.1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30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 x14ac:dyDescent="0.1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30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 x14ac:dyDescent="0.1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30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 x14ac:dyDescent="0.1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30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 x14ac:dyDescent="0.1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30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 x14ac:dyDescent="0.1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30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 x14ac:dyDescent="0.1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30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 x14ac:dyDescent="0.1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30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 x14ac:dyDescent="0.1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30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 x14ac:dyDescent="0.1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30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 x14ac:dyDescent="0.1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30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 x14ac:dyDescent="0.1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30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 x14ac:dyDescent="0.1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30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 x14ac:dyDescent="0.1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30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 x14ac:dyDescent="0.1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30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 x14ac:dyDescent="0.1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30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 x14ac:dyDescent="0.1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30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 x14ac:dyDescent="0.1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30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 x14ac:dyDescent="0.1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30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 x14ac:dyDescent="0.1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30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 x14ac:dyDescent="0.1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30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 x14ac:dyDescent="0.1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30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 x14ac:dyDescent="0.1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30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 x14ac:dyDescent="0.1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30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 x14ac:dyDescent="0.1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30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 x14ac:dyDescent="0.1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30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 x14ac:dyDescent="0.1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30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 x14ac:dyDescent="0.1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30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 x14ac:dyDescent="0.1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30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 x14ac:dyDescent="0.1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30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 x14ac:dyDescent="0.1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30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 x14ac:dyDescent="0.1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30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 x14ac:dyDescent="0.1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30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 x14ac:dyDescent="0.1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30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 x14ac:dyDescent="0.1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30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 x14ac:dyDescent="0.1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30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 x14ac:dyDescent="0.1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30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 x14ac:dyDescent="0.1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30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 x14ac:dyDescent="0.1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30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 x14ac:dyDescent="0.1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30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</sheetData>
  <dataValidations count="6">
    <dataValidation type="list" allowBlank="1" showErrorMessage="1" sqref="D22" xr:uid="{00000000-0002-0000-0B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232" xr:uid="{00000000-0002-0000-0B00-000001000000}">
      <formula1>"LARGO,CORTO"</formula1>
    </dataValidation>
    <dataValidation type="list" allowBlank="1" showErrorMessage="1" sqref="E2:E232" xr:uid="{00000000-0002-0000-0B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K2:K232" xr:uid="{00000000-0002-0000-0B00-000003000000}">
      <formula1>"SI,NO"</formula1>
    </dataValidation>
    <dataValidation type="list" allowBlank="1" showErrorMessage="1" sqref="J2:J232" xr:uid="{00000000-0002-0000-0B00-000004000000}">
      <formula1>"MOÑO,MOÑOS,CORBATÍN,PAÑOLETA,NO"</formula1>
    </dataValidation>
    <dataValidation type="list" allowBlank="1" showErrorMessage="1" sqref="D2:D21 D23:D232" xr:uid="{00000000-0002-0000-0B00-000005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Z1008"/>
  <sheetViews>
    <sheetView tabSelected="1" workbookViewId="0"/>
  </sheetViews>
  <sheetFormatPr baseColWidth="10" defaultColWidth="12.6640625" defaultRowHeight="15.75" customHeight="1" x14ac:dyDescent="0.15"/>
  <cols>
    <col min="1" max="1" width="15.5" customWidth="1"/>
    <col min="2" max="2" width="29.5" customWidth="1"/>
    <col min="3" max="3" width="15.6640625" customWidth="1"/>
    <col min="4" max="4" width="19.33203125" customWidth="1"/>
    <col min="5" max="5" width="21.6640625" customWidth="1"/>
    <col min="6" max="6" width="18.1640625" customWidth="1"/>
    <col min="7" max="7" width="15.33203125" customWidth="1"/>
    <col min="11" max="11" width="17.6640625" customWidth="1"/>
  </cols>
  <sheetData>
    <row r="1" spans="1:26" ht="15.75" customHeight="1" x14ac:dyDescent="0.15">
      <c r="A1" s="35"/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  <c r="I1" s="37" t="s">
        <v>8</v>
      </c>
      <c r="J1" s="35" t="s">
        <v>9</v>
      </c>
      <c r="K1" s="35" t="s">
        <v>1732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.75" customHeight="1" x14ac:dyDescent="0.15">
      <c r="A2" s="39">
        <v>45992</v>
      </c>
      <c r="B2" s="40" t="s">
        <v>1733</v>
      </c>
      <c r="C2" s="40" t="s">
        <v>445</v>
      </c>
      <c r="D2" s="40" t="s">
        <v>119</v>
      </c>
      <c r="E2" s="40" t="s">
        <v>19</v>
      </c>
      <c r="F2" s="40"/>
      <c r="G2" s="40" t="s">
        <v>23</v>
      </c>
      <c r="H2" s="41">
        <v>60000</v>
      </c>
      <c r="I2" s="42">
        <v>11</v>
      </c>
      <c r="J2" s="40" t="s">
        <v>37</v>
      </c>
      <c r="K2" s="38" t="s">
        <v>1661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15">
      <c r="A3" s="39">
        <v>45992</v>
      </c>
      <c r="B3" s="40" t="s">
        <v>980</v>
      </c>
      <c r="C3" s="40" t="s">
        <v>981</v>
      </c>
      <c r="D3" s="40" t="s">
        <v>165</v>
      </c>
      <c r="E3" s="40" t="s">
        <v>13</v>
      </c>
      <c r="F3" s="40"/>
      <c r="G3" s="40" t="s">
        <v>14</v>
      </c>
      <c r="H3" s="41">
        <v>95000</v>
      </c>
      <c r="I3" s="42">
        <v>10.96</v>
      </c>
      <c r="J3" s="40" t="s">
        <v>37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.75" customHeight="1" x14ac:dyDescent="0.15">
      <c r="A4" s="39">
        <v>45992</v>
      </c>
      <c r="B4" s="38" t="s">
        <v>680</v>
      </c>
      <c r="C4" s="38" t="s">
        <v>681</v>
      </c>
      <c r="D4" s="38" t="s">
        <v>26</v>
      </c>
      <c r="E4" s="38" t="s">
        <v>13</v>
      </c>
      <c r="F4" s="38"/>
      <c r="G4" s="38" t="s">
        <v>14</v>
      </c>
      <c r="H4" s="43">
        <v>95000</v>
      </c>
      <c r="I4" s="44">
        <v>7</v>
      </c>
      <c r="J4" s="38" t="s">
        <v>37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.75" customHeight="1" x14ac:dyDescent="0.15">
      <c r="A5" s="39">
        <v>45992</v>
      </c>
      <c r="B5" s="38" t="s">
        <v>1734</v>
      </c>
      <c r="C5" s="38" t="s">
        <v>1565</v>
      </c>
      <c r="D5" s="38" t="s">
        <v>222</v>
      </c>
      <c r="E5" s="38" t="s">
        <v>19</v>
      </c>
      <c r="F5" s="38"/>
      <c r="G5" s="38" t="s">
        <v>23</v>
      </c>
      <c r="H5" s="43">
        <v>70000</v>
      </c>
      <c r="I5" s="44">
        <v>28.1</v>
      </c>
      <c r="J5" s="38" t="s">
        <v>15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.75" customHeight="1" x14ac:dyDescent="0.15">
      <c r="A6" s="39">
        <v>45992</v>
      </c>
      <c r="B6" s="38" t="s">
        <v>1735</v>
      </c>
      <c r="C6" s="38" t="s">
        <v>1172</v>
      </c>
      <c r="D6" s="38" t="s">
        <v>307</v>
      </c>
      <c r="E6" s="38" t="s">
        <v>94</v>
      </c>
      <c r="F6" s="38"/>
      <c r="G6" s="38" t="s">
        <v>14</v>
      </c>
      <c r="H6" s="43">
        <v>110000</v>
      </c>
      <c r="I6" s="44">
        <v>32.299999999999997</v>
      </c>
      <c r="J6" s="38" t="s">
        <v>15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.75" customHeight="1" x14ac:dyDescent="0.15">
      <c r="A7" s="39">
        <v>45992</v>
      </c>
      <c r="B7" s="38" t="s">
        <v>1258</v>
      </c>
      <c r="C7" s="38" t="s">
        <v>902</v>
      </c>
      <c r="D7" s="38" t="s">
        <v>88</v>
      </c>
      <c r="E7" s="38" t="s">
        <v>13</v>
      </c>
      <c r="F7" s="38"/>
      <c r="G7" s="38" t="s">
        <v>14</v>
      </c>
      <c r="H7" s="43">
        <v>85000</v>
      </c>
      <c r="I7" s="44">
        <v>2.8</v>
      </c>
      <c r="J7" s="38" t="s">
        <v>37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.75" customHeight="1" x14ac:dyDescent="0.15">
      <c r="A8" s="39">
        <v>45992</v>
      </c>
      <c r="B8" s="38" t="s">
        <v>1736</v>
      </c>
      <c r="C8" s="38" t="s">
        <v>159</v>
      </c>
      <c r="D8" s="38" t="s">
        <v>64</v>
      </c>
      <c r="E8" s="38" t="s">
        <v>19</v>
      </c>
      <c r="F8" s="38"/>
      <c r="G8" s="38" t="s">
        <v>23</v>
      </c>
      <c r="H8" s="43">
        <v>60000</v>
      </c>
      <c r="I8" s="44">
        <v>15.8</v>
      </c>
      <c r="J8" s="38" t="s">
        <v>37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5.75" customHeight="1" x14ac:dyDescent="0.15">
      <c r="A9" s="39">
        <v>45992</v>
      </c>
      <c r="B9" s="38" t="s">
        <v>314</v>
      </c>
      <c r="C9" s="38" t="s">
        <v>760</v>
      </c>
      <c r="D9" s="38" t="s">
        <v>26</v>
      </c>
      <c r="E9" s="38" t="s">
        <v>13</v>
      </c>
      <c r="F9" s="38"/>
      <c r="G9" s="38" t="s">
        <v>14</v>
      </c>
      <c r="H9" s="43">
        <v>85000</v>
      </c>
      <c r="I9" s="44"/>
      <c r="J9" s="38" t="s">
        <v>37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5.75" customHeight="1" x14ac:dyDescent="0.15">
      <c r="A10" s="39">
        <v>45992</v>
      </c>
      <c r="B10" s="38"/>
      <c r="C10" s="38"/>
      <c r="D10" s="38"/>
      <c r="E10" s="38" t="s">
        <v>61</v>
      </c>
      <c r="F10" s="38"/>
      <c r="G10" s="38" t="s">
        <v>23</v>
      </c>
      <c r="H10" s="43">
        <v>10000</v>
      </c>
      <c r="I10" s="44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.75" customHeight="1" x14ac:dyDescent="0.15">
      <c r="A11" s="39">
        <v>45993</v>
      </c>
      <c r="B11" s="38" t="s">
        <v>636</v>
      </c>
      <c r="C11" s="38" t="s">
        <v>1274</v>
      </c>
      <c r="D11" s="38" t="s">
        <v>165</v>
      </c>
      <c r="E11" s="38" t="s">
        <v>13</v>
      </c>
      <c r="F11" s="38"/>
      <c r="G11" s="38" t="s">
        <v>14</v>
      </c>
      <c r="H11" s="43">
        <v>85000</v>
      </c>
      <c r="I11" s="44"/>
      <c r="J11" s="38" t="s">
        <v>15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.75" customHeight="1" x14ac:dyDescent="0.15">
      <c r="A12" s="39">
        <v>45993</v>
      </c>
      <c r="B12" s="38" t="s">
        <v>636</v>
      </c>
      <c r="C12" s="38" t="s">
        <v>1737</v>
      </c>
      <c r="D12" s="38" t="s">
        <v>165</v>
      </c>
      <c r="E12" s="38" t="s">
        <v>13</v>
      </c>
      <c r="F12" s="38"/>
      <c r="G12" s="38" t="s">
        <v>14</v>
      </c>
      <c r="H12" s="43">
        <v>85000</v>
      </c>
      <c r="I12" s="44"/>
      <c r="J12" s="38" t="s">
        <v>15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75" customHeight="1" x14ac:dyDescent="0.15">
      <c r="A13" s="39">
        <v>45993</v>
      </c>
      <c r="B13" s="38" t="s">
        <v>948</v>
      </c>
      <c r="C13" s="38" t="s">
        <v>951</v>
      </c>
      <c r="D13" s="38" t="s">
        <v>340</v>
      </c>
      <c r="E13" s="38" t="s">
        <v>19</v>
      </c>
      <c r="F13" s="38"/>
      <c r="G13" s="38" t="s">
        <v>23</v>
      </c>
      <c r="H13" s="43">
        <v>30000</v>
      </c>
      <c r="I13" s="44">
        <v>4</v>
      </c>
      <c r="J13" s="38" t="s">
        <v>15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5.75" customHeight="1" x14ac:dyDescent="0.15">
      <c r="A14" s="39">
        <v>45993</v>
      </c>
      <c r="B14" s="38" t="s">
        <v>948</v>
      </c>
      <c r="C14" s="38" t="s">
        <v>950</v>
      </c>
      <c r="D14" s="38" t="s">
        <v>340</v>
      </c>
      <c r="E14" s="38" t="s">
        <v>19</v>
      </c>
      <c r="F14" s="38"/>
      <c r="G14" s="38" t="s">
        <v>23</v>
      </c>
      <c r="H14" s="43">
        <v>30000</v>
      </c>
      <c r="I14" s="44">
        <v>6.6</v>
      </c>
      <c r="J14" s="38" t="s">
        <v>15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75" customHeight="1" x14ac:dyDescent="0.15">
      <c r="A15" s="39">
        <v>45993</v>
      </c>
      <c r="B15" s="38" t="s">
        <v>948</v>
      </c>
      <c r="C15" s="38" t="s">
        <v>1738</v>
      </c>
      <c r="D15" s="38" t="s">
        <v>340</v>
      </c>
      <c r="E15" s="38" t="s">
        <v>19</v>
      </c>
      <c r="F15" s="38"/>
      <c r="G15" s="38" t="s">
        <v>23</v>
      </c>
      <c r="H15" s="43">
        <v>30000</v>
      </c>
      <c r="I15" s="44">
        <v>5</v>
      </c>
      <c r="J15" s="38" t="s">
        <v>15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5.75" customHeight="1" x14ac:dyDescent="0.15">
      <c r="A16" s="39">
        <v>45993</v>
      </c>
      <c r="B16" s="38" t="s">
        <v>948</v>
      </c>
      <c r="C16" s="38" t="s">
        <v>503</v>
      </c>
      <c r="D16" s="38" t="s">
        <v>64</v>
      </c>
      <c r="E16" s="38" t="s">
        <v>1739</v>
      </c>
      <c r="F16" s="38"/>
      <c r="G16" s="38" t="s">
        <v>23</v>
      </c>
      <c r="H16" s="43">
        <v>55000</v>
      </c>
      <c r="I16" s="44">
        <v>10.199999999999999</v>
      </c>
      <c r="J16" s="38" t="s">
        <v>15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5.75" customHeight="1" x14ac:dyDescent="0.15">
      <c r="A17" s="39">
        <v>45993</v>
      </c>
      <c r="B17" s="38" t="s">
        <v>1740</v>
      </c>
      <c r="C17" s="38" t="s">
        <v>1172</v>
      </c>
      <c r="D17" s="38" t="s">
        <v>131</v>
      </c>
      <c r="E17" s="38" t="s">
        <v>19</v>
      </c>
      <c r="F17" s="38"/>
      <c r="G17" s="38" t="s">
        <v>14</v>
      </c>
      <c r="H17" s="43">
        <v>40000</v>
      </c>
      <c r="I17" s="44">
        <v>11.7</v>
      </c>
      <c r="J17" s="38" t="s">
        <v>15</v>
      </c>
      <c r="K17" s="38" t="s">
        <v>1661</v>
      </c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5.75" customHeight="1" x14ac:dyDescent="0.15">
      <c r="A18" s="39">
        <v>45993</v>
      </c>
      <c r="B18" s="38" t="s">
        <v>1741</v>
      </c>
      <c r="C18" s="38" t="s">
        <v>1742</v>
      </c>
      <c r="D18" s="38" t="s">
        <v>340</v>
      </c>
      <c r="E18" s="38" t="s">
        <v>19</v>
      </c>
      <c r="F18" s="38"/>
      <c r="G18" s="38" t="s">
        <v>14</v>
      </c>
      <c r="H18" s="43">
        <v>40000</v>
      </c>
      <c r="I18" s="44">
        <v>5.3</v>
      </c>
      <c r="J18" s="38" t="s">
        <v>15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.75" customHeight="1" x14ac:dyDescent="0.15">
      <c r="A19" s="45">
        <v>45994</v>
      </c>
      <c r="B19" s="38" t="s">
        <v>700</v>
      </c>
      <c r="C19" s="38" t="s">
        <v>41</v>
      </c>
      <c r="D19" s="38" t="s">
        <v>64</v>
      </c>
      <c r="E19" s="38" t="s">
        <v>13</v>
      </c>
      <c r="F19" s="38"/>
      <c r="G19" s="38" t="s">
        <v>14</v>
      </c>
      <c r="H19" s="43">
        <v>85000</v>
      </c>
      <c r="I19" s="44">
        <v>4.2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5.75" customHeight="1" x14ac:dyDescent="0.15">
      <c r="A20" s="45">
        <v>45994</v>
      </c>
      <c r="B20" s="38" t="s">
        <v>279</v>
      </c>
      <c r="C20" s="38" t="s">
        <v>198</v>
      </c>
      <c r="D20" s="38" t="s">
        <v>32</v>
      </c>
      <c r="E20" s="38" t="s">
        <v>13</v>
      </c>
      <c r="F20" s="38"/>
      <c r="G20" s="38" t="s">
        <v>14</v>
      </c>
      <c r="H20" s="43">
        <v>60000</v>
      </c>
      <c r="I20" s="44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 x14ac:dyDescent="0.15">
      <c r="A21" s="45">
        <v>45994</v>
      </c>
      <c r="B21" s="38" t="s">
        <v>279</v>
      </c>
      <c r="C21" s="38" t="s">
        <v>356</v>
      </c>
      <c r="D21" s="38" t="s">
        <v>32</v>
      </c>
      <c r="E21" s="38" t="s">
        <v>13</v>
      </c>
      <c r="F21" s="38"/>
      <c r="G21" s="38" t="s">
        <v>14</v>
      </c>
      <c r="H21" s="43">
        <v>60000</v>
      </c>
      <c r="I21" s="44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 x14ac:dyDescent="0.15">
      <c r="A22" s="45">
        <v>45994</v>
      </c>
      <c r="B22" s="38" t="s">
        <v>279</v>
      </c>
      <c r="C22" s="38" t="s">
        <v>365</v>
      </c>
      <c r="D22" s="38" t="s">
        <v>32</v>
      </c>
      <c r="E22" s="38" t="s">
        <v>13</v>
      </c>
      <c r="F22" s="38"/>
      <c r="G22" s="38" t="s">
        <v>14</v>
      </c>
      <c r="H22" s="43">
        <v>60000</v>
      </c>
      <c r="I22" s="44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 x14ac:dyDescent="0.15">
      <c r="A23" s="45">
        <v>45994</v>
      </c>
      <c r="B23" s="38" t="s">
        <v>279</v>
      </c>
      <c r="C23" s="38" t="s">
        <v>685</v>
      </c>
      <c r="D23" s="38" t="s">
        <v>32</v>
      </c>
      <c r="E23" s="38" t="s">
        <v>13</v>
      </c>
      <c r="F23" s="38"/>
      <c r="G23" s="38" t="s">
        <v>14</v>
      </c>
      <c r="H23" s="43">
        <v>60000</v>
      </c>
      <c r="I23" s="44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15">
      <c r="A24" s="45">
        <v>45994</v>
      </c>
      <c r="B24" s="38" t="s">
        <v>292</v>
      </c>
      <c r="C24" s="38" t="s">
        <v>198</v>
      </c>
      <c r="D24" s="38" t="s">
        <v>58</v>
      </c>
      <c r="E24" s="38" t="s">
        <v>59</v>
      </c>
      <c r="F24" s="38"/>
      <c r="G24" s="38" t="s">
        <v>14</v>
      </c>
      <c r="H24" s="43">
        <v>65000</v>
      </c>
      <c r="I24" s="44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 x14ac:dyDescent="0.15">
      <c r="A25" s="45">
        <v>45994</v>
      </c>
      <c r="B25" s="38" t="s">
        <v>1530</v>
      </c>
      <c r="C25" s="38" t="s">
        <v>836</v>
      </c>
      <c r="D25" s="38" t="s">
        <v>119</v>
      </c>
      <c r="E25" s="38" t="s">
        <v>19</v>
      </c>
      <c r="F25" s="38"/>
      <c r="G25" s="38" t="s">
        <v>23</v>
      </c>
      <c r="H25" s="43">
        <v>60000</v>
      </c>
      <c r="I25" s="44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15">
      <c r="A26" s="45">
        <v>45994</v>
      </c>
      <c r="B26" s="38"/>
      <c r="C26" s="38" t="s">
        <v>257</v>
      </c>
      <c r="D26" s="38" t="s">
        <v>222</v>
      </c>
      <c r="E26" s="38" t="s">
        <v>19</v>
      </c>
      <c r="F26" s="38"/>
      <c r="G26" s="38" t="s">
        <v>23</v>
      </c>
      <c r="H26" s="43">
        <v>70000</v>
      </c>
      <c r="I26" s="44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15">
      <c r="A27" s="45">
        <v>45995</v>
      </c>
      <c r="B27" s="38" t="s">
        <v>1510</v>
      </c>
      <c r="C27" s="38" t="s">
        <v>1393</v>
      </c>
      <c r="D27" s="38" t="s">
        <v>12</v>
      </c>
      <c r="E27" s="38" t="s">
        <v>13</v>
      </c>
      <c r="F27" s="38"/>
      <c r="G27" s="38" t="s">
        <v>14</v>
      </c>
      <c r="H27" s="43">
        <v>85000</v>
      </c>
      <c r="I27" s="44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15">
      <c r="A28" s="45">
        <v>45995</v>
      </c>
      <c r="B28" s="38" t="s">
        <v>823</v>
      </c>
      <c r="C28" s="38" t="s">
        <v>1105</v>
      </c>
      <c r="D28" s="38" t="s">
        <v>26</v>
      </c>
      <c r="E28" s="38" t="s">
        <v>13</v>
      </c>
      <c r="F28" s="38"/>
      <c r="G28" s="38" t="s">
        <v>14</v>
      </c>
      <c r="H28" s="43">
        <v>90000</v>
      </c>
      <c r="I28" s="44">
        <v>7.1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 x14ac:dyDescent="0.15">
      <c r="A29" s="45">
        <v>45995</v>
      </c>
      <c r="B29" s="38" t="s">
        <v>1490</v>
      </c>
      <c r="C29" s="38" t="s">
        <v>962</v>
      </c>
      <c r="D29" s="38" t="s">
        <v>26</v>
      </c>
      <c r="E29" s="38"/>
      <c r="F29" s="38"/>
      <c r="G29" s="38"/>
      <c r="H29" s="43">
        <v>85000</v>
      </c>
      <c r="I29" s="44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 x14ac:dyDescent="0.15">
      <c r="A30" s="45">
        <v>45995</v>
      </c>
      <c r="B30" s="38" t="s">
        <v>1489</v>
      </c>
      <c r="C30" s="38" t="s">
        <v>46</v>
      </c>
      <c r="D30" s="38" t="s">
        <v>12</v>
      </c>
      <c r="E30" s="38" t="s">
        <v>13</v>
      </c>
      <c r="F30" s="38"/>
      <c r="G30" s="38" t="s">
        <v>14</v>
      </c>
      <c r="H30" s="43">
        <v>85000</v>
      </c>
      <c r="I30" s="44">
        <v>7.6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 x14ac:dyDescent="0.15">
      <c r="A31" s="45">
        <v>45995</v>
      </c>
      <c r="B31" s="38" t="s">
        <v>299</v>
      </c>
      <c r="C31" s="38" t="s">
        <v>1575</v>
      </c>
      <c r="D31" s="38" t="s">
        <v>18</v>
      </c>
      <c r="E31" s="38" t="s">
        <v>792</v>
      </c>
      <c r="F31" s="38"/>
      <c r="G31" s="38" t="s">
        <v>14</v>
      </c>
      <c r="H31" s="43">
        <v>120000</v>
      </c>
      <c r="I31" s="44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 x14ac:dyDescent="0.15">
      <c r="A32" s="45">
        <v>45995</v>
      </c>
      <c r="B32" s="38" t="s">
        <v>985</v>
      </c>
      <c r="C32" s="38" t="s">
        <v>548</v>
      </c>
      <c r="D32" s="38" t="s">
        <v>18</v>
      </c>
      <c r="E32" s="38" t="s">
        <v>19</v>
      </c>
      <c r="F32" s="38"/>
      <c r="G32" s="38"/>
      <c r="H32" s="43">
        <v>70000</v>
      </c>
      <c r="I32" s="44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 x14ac:dyDescent="0.15">
      <c r="A33" s="45">
        <v>45995</v>
      </c>
      <c r="B33" s="38" t="s">
        <v>1743</v>
      </c>
      <c r="C33" s="38" t="s">
        <v>1645</v>
      </c>
      <c r="D33" s="38" t="s">
        <v>26</v>
      </c>
      <c r="E33" s="38" t="s">
        <v>19</v>
      </c>
      <c r="F33" s="38"/>
      <c r="G33" s="38"/>
      <c r="H33" s="43">
        <v>75000</v>
      </c>
      <c r="I33" s="44"/>
      <c r="J33" s="38"/>
      <c r="K33" s="38" t="s">
        <v>1661</v>
      </c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15">
      <c r="A34" s="45">
        <v>45995</v>
      </c>
      <c r="B34" s="38" t="s">
        <v>1744</v>
      </c>
      <c r="C34" s="38" t="s">
        <v>382</v>
      </c>
      <c r="D34" s="38" t="s">
        <v>64</v>
      </c>
      <c r="E34" s="38" t="s">
        <v>13</v>
      </c>
      <c r="F34" s="38"/>
      <c r="G34" s="38"/>
      <c r="H34" s="43">
        <v>85000</v>
      </c>
      <c r="I34" s="44"/>
      <c r="J34" s="38"/>
      <c r="K34" s="38" t="s">
        <v>1661</v>
      </c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15">
      <c r="A35" s="45">
        <v>45996</v>
      </c>
      <c r="B35" s="38" t="s">
        <v>942</v>
      </c>
      <c r="C35" s="38" t="s">
        <v>80</v>
      </c>
      <c r="D35" s="38" t="s">
        <v>1229</v>
      </c>
      <c r="E35" s="38" t="s">
        <v>19</v>
      </c>
      <c r="F35" s="38"/>
      <c r="G35" s="38" t="s">
        <v>23</v>
      </c>
      <c r="H35" s="43">
        <v>30000</v>
      </c>
      <c r="I35" s="44">
        <v>1.6</v>
      </c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 x14ac:dyDescent="0.15">
      <c r="A36" s="45">
        <v>45996</v>
      </c>
      <c r="B36" s="38" t="s">
        <v>1227</v>
      </c>
      <c r="C36" s="38" t="s">
        <v>450</v>
      </c>
      <c r="D36" s="38" t="s">
        <v>64</v>
      </c>
      <c r="E36" s="38" t="s">
        <v>19</v>
      </c>
      <c r="F36" s="38"/>
      <c r="G36" s="38" t="s">
        <v>23</v>
      </c>
      <c r="H36" s="43">
        <v>40000</v>
      </c>
      <c r="I36" s="44">
        <v>6.2</v>
      </c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 x14ac:dyDescent="0.15">
      <c r="A37" s="45">
        <v>45996</v>
      </c>
      <c r="B37" s="38" t="s">
        <v>1636</v>
      </c>
      <c r="C37" s="38" t="s">
        <v>1492</v>
      </c>
      <c r="D37" s="38" t="s">
        <v>32</v>
      </c>
      <c r="E37" s="38" t="s">
        <v>19</v>
      </c>
      <c r="F37" s="38"/>
      <c r="G37" s="38" t="s">
        <v>14</v>
      </c>
      <c r="H37" s="43">
        <v>65000</v>
      </c>
      <c r="I37" s="44">
        <v>4.2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 x14ac:dyDescent="0.15">
      <c r="A38" s="45">
        <v>45996</v>
      </c>
      <c r="B38" s="38" t="s">
        <v>1745</v>
      </c>
      <c r="C38" s="38" t="s">
        <v>510</v>
      </c>
      <c r="D38" s="38" t="s">
        <v>26</v>
      </c>
      <c r="E38" s="38" t="s">
        <v>13</v>
      </c>
      <c r="F38" s="38"/>
      <c r="G38" s="38" t="s">
        <v>14</v>
      </c>
      <c r="H38" s="43">
        <v>90000</v>
      </c>
      <c r="I38" s="44">
        <v>6.3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 x14ac:dyDescent="0.15">
      <c r="A39" s="45">
        <v>45996</v>
      </c>
      <c r="B39" s="38" t="s">
        <v>230</v>
      </c>
      <c r="C39" s="38" t="s">
        <v>231</v>
      </c>
      <c r="D39" s="38" t="s">
        <v>64</v>
      </c>
      <c r="E39" s="38" t="s">
        <v>13</v>
      </c>
      <c r="F39" s="38"/>
      <c r="G39" s="38" t="s">
        <v>14</v>
      </c>
      <c r="H39" s="43">
        <v>70000</v>
      </c>
      <c r="I39" s="44">
        <v>12.3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 x14ac:dyDescent="0.15">
      <c r="A40" s="45">
        <v>45996</v>
      </c>
      <c r="B40" s="38" t="s">
        <v>1746</v>
      </c>
      <c r="C40" s="38" t="s">
        <v>63</v>
      </c>
      <c r="D40" s="38" t="s">
        <v>1229</v>
      </c>
      <c r="E40" s="38" t="s">
        <v>19</v>
      </c>
      <c r="F40" s="38"/>
      <c r="G40" s="38" t="s">
        <v>23</v>
      </c>
      <c r="H40" s="43">
        <v>30000</v>
      </c>
      <c r="I40" s="44">
        <v>3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 x14ac:dyDescent="0.15">
      <c r="A41" s="45">
        <v>45996</v>
      </c>
      <c r="B41" s="38" t="s">
        <v>1746</v>
      </c>
      <c r="C41" s="38" t="s">
        <v>625</v>
      </c>
      <c r="D41" s="38" t="s">
        <v>1229</v>
      </c>
      <c r="E41" s="38" t="s">
        <v>19</v>
      </c>
      <c r="F41" s="38"/>
      <c r="G41" s="38" t="s">
        <v>23</v>
      </c>
      <c r="H41" s="43">
        <v>30000</v>
      </c>
      <c r="I41" s="44">
        <v>2.8</v>
      </c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15">
      <c r="A42" s="45">
        <v>45996</v>
      </c>
      <c r="B42" s="38" t="s">
        <v>1154</v>
      </c>
      <c r="C42" s="38" t="s">
        <v>257</v>
      </c>
      <c r="D42" s="38" t="s">
        <v>58</v>
      </c>
      <c r="E42" s="38" t="s">
        <v>59</v>
      </c>
      <c r="F42" s="38"/>
      <c r="G42" s="38" t="s">
        <v>14</v>
      </c>
      <c r="H42" s="43">
        <v>85000</v>
      </c>
      <c r="I42" s="44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15">
      <c r="A43" s="45">
        <v>45996</v>
      </c>
      <c r="B43" s="38" t="s">
        <v>322</v>
      </c>
      <c r="C43" s="38" t="s">
        <v>1007</v>
      </c>
      <c r="D43" s="38" t="s">
        <v>64</v>
      </c>
      <c r="E43" s="38" t="s">
        <v>13</v>
      </c>
      <c r="F43" s="38"/>
      <c r="G43" s="38" t="s">
        <v>14</v>
      </c>
      <c r="H43" s="43">
        <v>85000</v>
      </c>
      <c r="I43" s="44">
        <v>16.899999999999999</v>
      </c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15">
      <c r="A44" s="45">
        <v>45996</v>
      </c>
      <c r="B44" s="38" t="s">
        <v>1208</v>
      </c>
      <c r="C44" s="38" t="s">
        <v>268</v>
      </c>
      <c r="D44" s="38" t="s">
        <v>165</v>
      </c>
      <c r="E44" s="38" t="s">
        <v>13</v>
      </c>
      <c r="F44" s="38"/>
      <c r="G44" s="38" t="s">
        <v>14</v>
      </c>
      <c r="H44" s="43">
        <v>85000</v>
      </c>
      <c r="I44" s="44">
        <v>3.7</v>
      </c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15">
      <c r="A45" s="45">
        <v>45996</v>
      </c>
      <c r="B45" s="38"/>
      <c r="C45" s="38"/>
      <c r="D45" s="38"/>
      <c r="E45" s="38" t="s">
        <v>61</v>
      </c>
      <c r="F45" s="38"/>
      <c r="G45" s="38"/>
      <c r="H45" s="43">
        <v>5000</v>
      </c>
      <c r="I45" s="44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 x14ac:dyDescent="0.15">
      <c r="A46" s="45">
        <v>45997</v>
      </c>
      <c r="B46" s="38" t="s">
        <v>470</v>
      </c>
      <c r="C46" s="38" t="s">
        <v>110</v>
      </c>
      <c r="D46" s="38" t="s">
        <v>101</v>
      </c>
      <c r="E46" s="38" t="s">
        <v>13</v>
      </c>
      <c r="F46" s="38"/>
      <c r="G46" s="38" t="s">
        <v>14</v>
      </c>
      <c r="H46" s="43">
        <v>75000</v>
      </c>
      <c r="I46" s="44">
        <v>8.6999999999999993</v>
      </c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 x14ac:dyDescent="0.15">
      <c r="A47" s="45">
        <v>45997</v>
      </c>
      <c r="B47" s="38" t="s">
        <v>1412</v>
      </c>
      <c r="C47" s="38" t="s">
        <v>550</v>
      </c>
      <c r="D47" s="38" t="s">
        <v>494</v>
      </c>
      <c r="E47" s="38" t="s">
        <v>59</v>
      </c>
      <c r="F47" s="38"/>
      <c r="G47" s="38" t="s">
        <v>23</v>
      </c>
      <c r="H47" s="43">
        <v>80000</v>
      </c>
      <c r="I47" s="44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 x14ac:dyDescent="0.15">
      <c r="A48" s="45">
        <v>45997</v>
      </c>
      <c r="B48" s="38" t="s">
        <v>1412</v>
      </c>
      <c r="C48" s="38" t="s">
        <v>1274</v>
      </c>
      <c r="D48" s="38" t="s">
        <v>494</v>
      </c>
      <c r="E48" s="38" t="s">
        <v>59</v>
      </c>
      <c r="F48" s="38"/>
      <c r="G48" s="38" t="s">
        <v>23</v>
      </c>
      <c r="H48" s="43">
        <v>65000</v>
      </c>
      <c r="I48" s="44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 x14ac:dyDescent="0.15">
      <c r="A49" s="45">
        <v>45997</v>
      </c>
      <c r="B49" s="38" t="s">
        <v>1502</v>
      </c>
      <c r="C49" s="38" t="s">
        <v>708</v>
      </c>
      <c r="D49" s="38" t="s">
        <v>1229</v>
      </c>
      <c r="E49" s="38" t="s">
        <v>19</v>
      </c>
      <c r="F49" s="38"/>
      <c r="G49" s="38" t="s">
        <v>23</v>
      </c>
      <c r="H49" s="43">
        <v>30000</v>
      </c>
      <c r="I49" s="44">
        <v>1.7</v>
      </c>
      <c r="J49" s="38"/>
      <c r="K49" s="38" t="s">
        <v>1661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 x14ac:dyDescent="0.15">
      <c r="A50" s="45">
        <v>45997</v>
      </c>
      <c r="B50" s="38" t="s">
        <v>1747</v>
      </c>
      <c r="C50" s="38" t="s">
        <v>1748</v>
      </c>
      <c r="D50" s="38" t="s">
        <v>1749</v>
      </c>
      <c r="E50" s="38" t="s">
        <v>19</v>
      </c>
      <c r="F50" s="38"/>
      <c r="G50" s="38" t="s">
        <v>23</v>
      </c>
      <c r="H50" s="43">
        <v>55000</v>
      </c>
      <c r="I50" s="44">
        <v>12</v>
      </c>
      <c r="J50" s="38"/>
      <c r="K50" s="38" t="s">
        <v>1661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 x14ac:dyDescent="0.15">
      <c r="A51" s="45">
        <v>45997</v>
      </c>
      <c r="B51" s="38" t="s">
        <v>1747</v>
      </c>
      <c r="C51" s="38" t="s">
        <v>634</v>
      </c>
      <c r="D51" s="38" t="s">
        <v>1229</v>
      </c>
      <c r="E51" s="38" t="s">
        <v>19</v>
      </c>
      <c r="F51" s="38"/>
      <c r="G51" s="38" t="s">
        <v>23</v>
      </c>
      <c r="H51" s="43">
        <v>30000</v>
      </c>
      <c r="I51" s="44">
        <v>5.2</v>
      </c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 x14ac:dyDescent="0.15">
      <c r="A52" s="45">
        <v>45997</v>
      </c>
      <c r="B52" s="38" t="s">
        <v>1157</v>
      </c>
      <c r="C52" s="38" t="s">
        <v>301</v>
      </c>
      <c r="D52" s="38" t="s">
        <v>88</v>
      </c>
      <c r="E52" s="38" t="s">
        <v>19</v>
      </c>
      <c r="F52" s="38"/>
      <c r="G52" s="38" t="s">
        <v>14</v>
      </c>
      <c r="H52" s="43">
        <v>70000</v>
      </c>
      <c r="I52" s="44">
        <v>2.1</v>
      </c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 x14ac:dyDescent="0.15">
      <c r="A53" s="45">
        <v>45997</v>
      </c>
      <c r="B53" s="38" t="s">
        <v>132</v>
      </c>
      <c r="C53" s="38" t="s">
        <v>36</v>
      </c>
      <c r="D53" s="38" t="s">
        <v>18</v>
      </c>
      <c r="E53" s="38" t="s">
        <v>19</v>
      </c>
      <c r="F53" s="38"/>
      <c r="G53" s="38" t="s">
        <v>14</v>
      </c>
      <c r="H53" s="43" t="s">
        <v>114</v>
      </c>
      <c r="I53" s="44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 x14ac:dyDescent="0.15">
      <c r="A54" s="45">
        <v>45997</v>
      </c>
      <c r="B54" s="38" t="s">
        <v>711</v>
      </c>
      <c r="C54" s="38" t="s">
        <v>869</v>
      </c>
      <c r="D54" s="38" t="s">
        <v>1229</v>
      </c>
      <c r="E54" s="38" t="s">
        <v>19</v>
      </c>
      <c r="F54" s="38"/>
      <c r="G54" s="38" t="s">
        <v>23</v>
      </c>
      <c r="H54" s="43">
        <v>25000</v>
      </c>
      <c r="I54" s="44">
        <v>3.1</v>
      </c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 x14ac:dyDescent="0.15">
      <c r="A55" s="45">
        <v>45997</v>
      </c>
      <c r="B55" s="38" t="s">
        <v>605</v>
      </c>
      <c r="C55" s="38" t="s">
        <v>923</v>
      </c>
      <c r="D55" s="38" t="s">
        <v>64</v>
      </c>
      <c r="E55" s="38" t="s">
        <v>19</v>
      </c>
      <c r="F55" s="38"/>
      <c r="G55" s="38" t="s">
        <v>23</v>
      </c>
      <c r="H55" s="43">
        <v>60000</v>
      </c>
      <c r="I55" s="44">
        <v>16.899999999999999</v>
      </c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 x14ac:dyDescent="0.15">
      <c r="A56" s="45">
        <v>45997</v>
      </c>
      <c r="B56" s="38" t="s">
        <v>1750</v>
      </c>
      <c r="C56" s="38" t="s">
        <v>821</v>
      </c>
      <c r="D56" s="38" t="s">
        <v>88</v>
      </c>
      <c r="E56" s="38" t="s">
        <v>19</v>
      </c>
      <c r="F56" s="38"/>
      <c r="G56" s="38" t="s">
        <v>14</v>
      </c>
      <c r="H56" s="43">
        <v>65000</v>
      </c>
      <c r="I56" s="44">
        <v>2.6</v>
      </c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 x14ac:dyDescent="0.15">
      <c r="A57" s="45">
        <v>45997</v>
      </c>
      <c r="B57" s="38" t="s">
        <v>1561</v>
      </c>
      <c r="C57" s="38" t="s">
        <v>1426</v>
      </c>
      <c r="D57" s="38" t="s">
        <v>64</v>
      </c>
      <c r="E57" s="38" t="s">
        <v>19</v>
      </c>
      <c r="F57" s="38"/>
      <c r="G57" s="38" t="s">
        <v>23</v>
      </c>
      <c r="H57" s="43">
        <v>70000</v>
      </c>
      <c r="I57" s="44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 x14ac:dyDescent="0.15">
      <c r="A58" s="45">
        <v>45997</v>
      </c>
      <c r="B58" s="38" t="s">
        <v>1751</v>
      </c>
      <c r="C58" s="38" t="s">
        <v>803</v>
      </c>
      <c r="D58" s="38" t="s">
        <v>32</v>
      </c>
      <c r="E58" s="38" t="s">
        <v>19</v>
      </c>
      <c r="F58" s="38"/>
      <c r="G58" s="38" t="s">
        <v>14</v>
      </c>
      <c r="H58" s="43">
        <v>75000</v>
      </c>
      <c r="I58" s="44">
        <v>2.9</v>
      </c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 x14ac:dyDescent="0.15">
      <c r="A59" s="45">
        <v>45997</v>
      </c>
      <c r="B59" s="38" t="s">
        <v>666</v>
      </c>
      <c r="C59" s="38" t="s">
        <v>486</v>
      </c>
      <c r="D59" s="38" t="s">
        <v>58</v>
      </c>
      <c r="E59" s="38" t="s">
        <v>59</v>
      </c>
      <c r="F59" s="38"/>
      <c r="G59" s="38" t="s">
        <v>14</v>
      </c>
      <c r="H59" s="43">
        <v>90000</v>
      </c>
      <c r="I59" s="44">
        <v>4.0999999999999996</v>
      </c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 x14ac:dyDescent="0.15">
      <c r="A60" s="45">
        <v>45997</v>
      </c>
      <c r="B60" s="38" t="s">
        <v>1425</v>
      </c>
      <c r="C60" s="38" t="s">
        <v>1752</v>
      </c>
      <c r="D60" s="38" t="s">
        <v>64</v>
      </c>
      <c r="E60" s="38" t="s">
        <v>19</v>
      </c>
      <c r="F60" s="38"/>
      <c r="G60" s="38" t="s">
        <v>23</v>
      </c>
      <c r="H60" s="43">
        <v>65000</v>
      </c>
      <c r="I60" s="44">
        <v>22</v>
      </c>
      <c r="J60" s="38"/>
      <c r="K60" s="38" t="s">
        <v>1661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 x14ac:dyDescent="0.15">
      <c r="A61" s="45">
        <v>45997</v>
      </c>
      <c r="B61" s="38" t="s">
        <v>1753</v>
      </c>
      <c r="C61" s="38" t="s">
        <v>1754</v>
      </c>
      <c r="D61" s="38" t="s">
        <v>64</v>
      </c>
      <c r="E61" s="38" t="s">
        <v>19</v>
      </c>
      <c r="F61" s="38"/>
      <c r="G61" s="38" t="s">
        <v>14</v>
      </c>
      <c r="H61" s="43">
        <v>65000</v>
      </c>
      <c r="I61" s="44">
        <v>6.1</v>
      </c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 x14ac:dyDescent="0.15">
      <c r="A62" s="45">
        <v>45997</v>
      </c>
      <c r="B62" s="38" t="s">
        <v>1147</v>
      </c>
      <c r="C62" s="38" t="s">
        <v>148</v>
      </c>
      <c r="D62" s="38" t="s">
        <v>32</v>
      </c>
      <c r="E62" s="38" t="s">
        <v>19</v>
      </c>
      <c r="F62" s="38"/>
      <c r="G62" s="38" t="s">
        <v>14</v>
      </c>
      <c r="H62" s="43">
        <v>65000</v>
      </c>
      <c r="I62" s="44">
        <v>5.6</v>
      </c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 x14ac:dyDescent="0.15">
      <c r="A63" s="45">
        <v>45997</v>
      </c>
      <c r="B63" s="38"/>
      <c r="C63" s="38"/>
      <c r="D63" s="38"/>
      <c r="E63" s="38" t="s">
        <v>61</v>
      </c>
      <c r="F63" s="38"/>
      <c r="G63" s="38"/>
      <c r="H63" s="43">
        <v>10000</v>
      </c>
      <c r="I63" s="44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 x14ac:dyDescent="0.15">
      <c r="A64" s="45">
        <v>46000</v>
      </c>
      <c r="B64" s="38" t="s">
        <v>161</v>
      </c>
      <c r="C64" s="38" t="s">
        <v>162</v>
      </c>
      <c r="D64" s="38" t="s">
        <v>32</v>
      </c>
      <c r="E64" s="38" t="s">
        <v>792</v>
      </c>
      <c r="F64" s="38"/>
      <c r="G64" s="38" t="s">
        <v>14</v>
      </c>
      <c r="H64" s="43">
        <v>120000</v>
      </c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 x14ac:dyDescent="0.15">
      <c r="A65" s="45">
        <v>46000</v>
      </c>
      <c r="B65" s="38" t="s">
        <v>1055</v>
      </c>
      <c r="C65" s="38" t="s">
        <v>882</v>
      </c>
      <c r="D65" s="38" t="s">
        <v>131</v>
      </c>
      <c r="E65" s="38" t="s">
        <v>19</v>
      </c>
      <c r="F65" s="38"/>
      <c r="G65" s="38" t="s">
        <v>14</v>
      </c>
      <c r="H65" s="43">
        <v>70000</v>
      </c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 x14ac:dyDescent="0.15">
      <c r="A66" s="45">
        <v>46000</v>
      </c>
      <c r="B66" s="38" t="s">
        <v>1755</v>
      </c>
      <c r="C66" s="38" t="s">
        <v>1756</v>
      </c>
      <c r="D66" s="38" t="s">
        <v>64</v>
      </c>
      <c r="E66" s="38" t="s">
        <v>13</v>
      </c>
      <c r="F66" s="38"/>
      <c r="G66" s="38" t="s">
        <v>14</v>
      </c>
      <c r="H66" s="43">
        <v>70000</v>
      </c>
      <c r="I66" s="44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 x14ac:dyDescent="0.15">
      <c r="A67" s="45">
        <v>46000</v>
      </c>
      <c r="B67" s="38" t="s">
        <v>54</v>
      </c>
      <c r="C67" s="38" t="s">
        <v>55</v>
      </c>
      <c r="D67" s="38" t="s">
        <v>32</v>
      </c>
      <c r="E67" s="38" t="s">
        <v>13</v>
      </c>
      <c r="F67" s="38"/>
      <c r="G67" s="38" t="s">
        <v>14</v>
      </c>
      <c r="H67" s="43">
        <v>75000</v>
      </c>
      <c r="I67" s="44"/>
      <c r="J67" s="38" t="s">
        <v>40</v>
      </c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6" x14ac:dyDescent="0.15">
      <c r="A68" s="45">
        <v>46000</v>
      </c>
      <c r="B68" s="38" t="s">
        <v>1757</v>
      </c>
      <c r="C68" s="38" t="s">
        <v>159</v>
      </c>
      <c r="D68" s="38" t="s">
        <v>64</v>
      </c>
      <c r="E68" s="38" t="s">
        <v>19</v>
      </c>
      <c r="F68" s="38"/>
      <c r="G68" s="38" t="s">
        <v>23</v>
      </c>
      <c r="H68" s="43">
        <v>70000</v>
      </c>
      <c r="I68" s="44">
        <v>8.9</v>
      </c>
      <c r="J68" s="38"/>
      <c r="K68" s="38" t="s">
        <v>1661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6" x14ac:dyDescent="0.15">
      <c r="A69" s="45">
        <v>46000</v>
      </c>
      <c r="B69" s="38" t="s">
        <v>1758</v>
      </c>
      <c r="C69" s="38" t="s">
        <v>301</v>
      </c>
      <c r="D69" s="38" t="s">
        <v>26</v>
      </c>
      <c r="E69" s="38" t="s">
        <v>19</v>
      </c>
      <c r="F69" s="38"/>
      <c r="G69" s="38" t="s">
        <v>14</v>
      </c>
      <c r="H69" s="43">
        <v>75000</v>
      </c>
      <c r="I69" s="44">
        <v>4.8</v>
      </c>
      <c r="J69" s="38" t="s">
        <v>40</v>
      </c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6" x14ac:dyDescent="0.15">
      <c r="A70" s="45">
        <v>46000</v>
      </c>
      <c r="B70" s="38" t="s">
        <v>355</v>
      </c>
      <c r="C70" s="38" t="s">
        <v>1139</v>
      </c>
      <c r="D70" s="38" t="s">
        <v>32</v>
      </c>
      <c r="E70" s="38" t="s">
        <v>13</v>
      </c>
      <c r="F70" s="38"/>
      <c r="G70" s="38" t="s">
        <v>14</v>
      </c>
      <c r="H70" s="43">
        <v>60000</v>
      </c>
      <c r="I70" s="44">
        <v>4.7</v>
      </c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6" x14ac:dyDescent="0.15">
      <c r="A71" s="45">
        <v>46000</v>
      </c>
      <c r="B71" s="38" t="s">
        <v>1231</v>
      </c>
      <c r="C71" s="38" t="s">
        <v>957</v>
      </c>
      <c r="D71" s="38" t="s">
        <v>32</v>
      </c>
      <c r="E71" s="38" t="s">
        <v>19</v>
      </c>
      <c r="F71" s="38"/>
      <c r="G71" s="38" t="s">
        <v>14</v>
      </c>
      <c r="H71" s="43">
        <v>75000</v>
      </c>
      <c r="I71" s="44">
        <v>4.9000000000000004</v>
      </c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6" x14ac:dyDescent="0.15">
      <c r="A72" s="45">
        <v>46001</v>
      </c>
      <c r="B72" s="38" t="s">
        <v>1759</v>
      </c>
      <c r="C72" s="38" t="s">
        <v>440</v>
      </c>
      <c r="D72" s="38" t="s">
        <v>165</v>
      </c>
      <c r="E72" s="38" t="s">
        <v>13</v>
      </c>
      <c r="F72" s="38"/>
      <c r="G72" s="38" t="s">
        <v>14</v>
      </c>
      <c r="H72" s="43">
        <v>80000</v>
      </c>
      <c r="I72" s="44">
        <v>18</v>
      </c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6" x14ac:dyDescent="0.15">
      <c r="A73" s="45">
        <v>46001</v>
      </c>
      <c r="B73" s="38" t="s">
        <v>1759</v>
      </c>
      <c r="C73" s="38" t="s">
        <v>1167</v>
      </c>
      <c r="D73" s="38" t="s">
        <v>165</v>
      </c>
      <c r="E73" s="38" t="s">
        <v>13</v>
      </c>
      <c r="F73" s="38"/>
      <c r="G73" s="38" t="s">
        <v>14</v>
      </c>
      <c r="H73" s="43">
        <v>80000</v>
      </c>
      <c r="I73" s="44">
        <v>13</v>
      </c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6" x14ac:dyDescent="0.15">
      <c r="A74" s="45">
        <v>46001</v>
      </c>
      <c r="B74" s="38" t="s">
        <v>1163</v>
      </c>
      <c r="C74" s="38" t="s">
        <v>1760</v>
      </c>
      <c r="D74" s="38" t="s">
        <v>12</v>
      </c>
      <c r="E74" s="38" t="s">
        <v>13</v>
      </c>
      <c r="F74" s="38"/>
      <c r="G74" s="38" t="s">
        <v>14</v>
      </c>
      <c r="H74" s="43">
        <v>80000</v>
      </c>
      <c r="I74" s="44">
        <v>7.6</v>
      </c>
      <c r="J74" s="38" t="s">
        <v>37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6" x14ac:dyDescent="0.15">
      <c r="A75" s="45">
        <v>46001</v>
      </c>
      <c r="B75" s="38" t="s">
        <v>242</v>
      </c>
      <c r="C75" s="38" t="s">
        <v>243</v>
      </c>
      <c r="D75" s="38" t="s">
        <v>1229</v>
      </c>
      <c r="E75" s="38" t="s">
        <v>19</v>
      </c>
      <c r="F75" s="38"/>
      <c r="G75" s="38" t="s">
        <v>23</v>
      </c>
      <c r="H75" s="43">
        <v>20000</v>
      </c>
      <c r="I75" s="44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6" x14ac:dyDescent="0.15">
      <c r="A76" s="45">
        <v>46001</v>
      </c>
      <c r="B76" s="38" t="s">
        <v>197</v>
      </c>
      <c r="C76" s="38" t="s">
        <v>198</v>
      </c>
      <c r="D76" s="38" t="s">
        <v>64</v>
      </c>
      <c r="E76" s="38" t="s">
        <v>19</v>
      </c>
      <c r="F76" s="38"/>
      <c r="G76" s="38" t="s">
        <v>23</v>
      </c>
      <c r="H76" s="43">
        <v>70000</v>
      </c>
      <c r="I76" s="44">
        <v>30.2</v>
      </c>
      <c r="J76" s="38" t="s">
        <v>15</v>
      </c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6" x14ac:dyDescent="0.15">
      <c r="A77" s="45">
        <v>46001</v>
      </c>
      <c r="B77" s="38" t="s">
        <v>277</v>
      </c>
      <c r="C77" s="38" t="s">
        <v>278</v>
      </c>
      <c r="D77" s="38" t="s">
        <v>18</v>
      </c>
      <c r="E77" s="38" t="s">
        <v>19</v>
      </c>
      <c r="F77" s="38"/>
      <c r="G77" s="38" t="s">
        <v>14</v>
      </c>
      <c r="H77" s="43">
        <v>65000</v>
      </c>
      <c r="I77" s="44">
        <v>17</v>
      </c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6" x14ac:dyDescent="0.15">
      <c r="A78" s="45">
        <v>46001</v>
      </c>
      <c r="B78" s="38" t="s">
        <v>497</v>
      </c>
      <c r="C78" s="38" t="s">
        <v>498</v>
      </c>
      <c r="D78" s="38" t="s">
        <v>26</v>
      </c>
      <c r="E78" s="38" t="s">
        <v>19</v>
      </c>
      <c r="F78" s="38"/>
      <c r="G78" s="38" t="s">
        <v>14</v>
      </c>
      <c r="H78" s="43">
        <v>75000</v>
      </c>
      <c r="I78" s="44">
        <v>4.4000000000000004</v>
      </c>
      <c r="J78" s="38" t="s">
        <v>40</v>
      </c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6" x14ac:dyDescent="0.15">
      <c r="A79" s="45">
        <v>46001</v>
      </c>
      <c r="B79" s="38" t="s">
        <v>1533</v>
      </c>
      <c r="C79" s="38" t="s">
        <v>130</v>
      </c>
      <c r="D79" s="38" t="s">
        <v>131</v>
      </c>
      <c r="E79" s="38" t="s">
        <v>19</v>
      </c>
      <c r="F79" s="38"/>
      <c r="G79" s="38" t="s">
        <v>14</v>
      </c>
      <c r="H79" s="43">
        <v>85000</v>
      </c>
      <c r="I79" s="44">
        <v>38</v>
      </c>
      <c r="J79" s="38" t="s">
        <v>15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6" x14ac:dyDescent="0.15">
      <c r="A80" s="45">
        <v>46001</v>
      </c>
      <c r="B80" s="38" t="s">
        <v>67</v>
      </c>
      <c r="C80" s="38" t="s">
        <v>68</v>
      </c>
      <c r="D80" s="38" t="s">
        <v>26</v>
      </c>
      <c r="E80" s="38" t="s">
        <v>19</v>
      </c>
      <c r="F80" s="38"/>
      <c r="G80" s="38" t="s">
        <v>14</v>
      </c>
      <c r="H80" s="43">
        <v>65000</v>
      </c>
      <c r="I80" s="44"/>
      <c r="J80" s="38" t="s">
        <v>40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6" x14ac:dyDescent="0.15">
      <c r="A81" s="45">
        <v>46002</v>
      </c>
      <c r="B81" s="38" t="s">
        <v>610</v>
      </c>
      <c r="C81" s="38" t="s">
        <v>611</v>
      </c>
      <c r="D81" s="38" t="s">
        <v>32</v>
      </c>
      <c r="E81" s="38" t="s">
        <v>19</v>
      </c>
      <c r="F81" s="38"/>
      <c r="G81" s="38" t="s">
        <v>14</v>
      </c>
      <c r="H81" s="43">
        <v>60000</v>
      </c>
      <c r="I81" s="44">
        <v>7.9</v>
      </c>
      <c r="J81" s="38" t="s">
        <v>15</v>
      </c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6" x14ac:dyDescent="0.15">
      <c r="A82" s="45">
        <v>46002</v>
      </c>
      <c r="B82" s="38" t="s">
        <v>610</v>
      </c>
      <c r="C82" s="38" t="s">
        <v>612</v>
      </c>
      <c r="D82" s="38" t="s">
        <v>32</v>
      </c>
      <c r="E82" s="38" t="s">
        <v>19</v>
      </c>
      <c r="F82" s="38"/>
      <c r="G82" s="38" t="s">
        <v>14</v>
      </c>
      <c r="H82" s="43">
        <v>50000</v>
      </c>
      <c r="I82" s="44">
        <v>4.3</v>
      </c>
      <c r="J82" s="38" t="s">
        <v>15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6" x14ac:dyDescent="0.15">
      <c r="A83" s="45">
        <v>46002</v>
      </c>
      <c r="B83" s="38" t="s">
        <v>610</v>
      </c>
      <c r="C83" s="38" t="s">
        <v>613</v>
      </c>
      <c r="D83" s="38" t="s">
        <v>32</v>
      </c>
      <c r="E83" s="38" t="s">
        <v>19</v>
      </c>
      <c r="F83" s="38"/>
      <c r="G83" s="38" t="s">
        <v>14</v>
      </c>
      <c r="H83" s="43">
        <v>45000</v>
      </c>
      <c r="I83" s="44">
        <v>3.9</v>
      </c>
      <c r="J83" s="38" t="s">
        <v>15</v>
      </c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6" x14ac:dyDescent="0.15">
      <c r="A84" s="45">
        <v>46002</v>
      </c>
      <c r="B84" s="38" t="s">
        <v>610</v>
      </c>
      <c r="C84" s="38" t="s">
        <v>614</v>
      </c>
      <c r="D84" s="38" t="s">
        <v>32</v>
      </c>
      <c r="E84" s="38" t="s">
        <v>19</v>
      </c>
      <c r="F84" s="38"/>
      <c r="G84" s="38" t="s">
        <v>14</v>
      </c>
      <c r="H84" s="43">
        <v>45000</v>
      </c>
      <c r="I84" s="44">
        <v>3.1</v>
      </c>
      <c r="J84" s="38" t="s">
        <v>15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6" x14ac:dyDescent="0.15">
      <c r="A85" s="45">
        <v>46002</v>
      </c>
      <c r="B85" s="38" t="s">
        <v>761</v>
      </c>
      <c r="C85" s="38" t="s">
        <v>667</v>
      </c>
      <c r="D85" s="38" t="s">
        <v>26</v>
      </c>
      <c r="E85" s="38" t="s">
        <v>13</v>
      </c>
      <c r="F85" s="38"/>
      <c r="G85" s="38" t="s">
        <v>14</v>
      </c>
      <c r="H85" s="43">
        <v>75000</v>
      </c>
      <c r="I85" s="44">
        <v>6.8</v>
      </c>
      <c r="J85" s="38" t="s">
        <v>15</v>
      </c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6" x14ac:dyDescent="0.15">
      <c r="A86" s="45">
        <v>46002</v>
      </c>
      <c r="B86" s="38" t="s">
        <v>1515</v>
      </c>
      <c r="C86" s="38" t="s">
        <v>1172</v>
      </c>
      <c r="D86" s="38" t="s">
        <v>88</v>
      </c>
      <c r="E86" s="38" t="s">
        <v>13</v>
      </c>
      <c r="F86" s="38"/>
      <c r="G86" s="38" t="s">
        <v>14</v>
      </c>
      <c r="H86" s="43">
        <v>75000</v>
      </c>
      <c r="I86" s="44">
        <v>5.3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6" x14ac:dyDescent="0.15">
      <c r="A87" s="45">
        <v>46002</v>
      </c>
      <c r="B87" s="38" t="s">
        <v>1761</v>
      </c>
      <c r="C87" s="38" t="s">
        <v>275</v>
      </c>
      <c r="D87" s="38" t="s">
        <v>64</v>
      </c>
      <c r="E87" s="38" t="s">
        <v>19</v>
      </c>
      <c r="F87" s="38"/>
      <c r="G87" s="38" t="s">
        <v>23</v>
      </c>
      <c r="H87" s="43">
        <v>55000</v>
      </c>
      <c r="I87" s="44">
        <v>7</v>
      </c>
      <c r="J87" s="38"/>
      <c r="K87" s="38" t="s">
        <v>1661</v>
      </c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6" x14ac:dyDescent="0.15">
      <c r="A88" s="45">
        <v>46002</v>
      </c>
      <c r="B88" s="38" t="s">
        <v>1761</v>
      </c>
      <c r="C88" s="38" t="s">
        <v>1098</v>
      </c>
      <c r="D88" s="38" t="s">
        <v>64</v>
      </c>
      <c r="E88" s="38" t="s">
        <v>13</v>
      </c>
      <c r="F88" s="38"/>
      <c r="G88" s="38" t="s">
        <v>14</v>
      </c>
      <c r="H88" s="43">
        <v>70000</v>
      </c>
      <c r="I88" s="44">
        <v>5.6</v>
      </c>
      <c r="J88" s="38"/>
      <c r="K88" s="38" t="s">
        <v>1661</v>
      </c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6" x14ac:dyDescent="0.15">
      <c r="A89" s="45">
        <v>46002</v>
      </c>
      <c r="B89" s="38" t="s">
        <v>1762</v>
      </c>
      <c r="C89" s="38" t="s">
        <v>51</v>
      </c>
      <c r="D89" s="38" t="s">
        <v>18</v>
      </c>
      <c r="E89" s="38" t="s">
        <v>19</v>
      </c>
      <c r="F89" s="38"/>
      <c r="G89" s="38" t="s">
        <v>14</v>
      </c>
      <c r="H89" s="43">
        <v>70000</v>
      </c>
      <c r="I89" s="44">
        <v>16</v>
      </c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6" x14ac:dyDescent="0.15">
      <c r="A90" s="45">
        <v>46002</v>
      </c>
      <c r="B90" s="38" t="s">
        <v>781</v>
      </c>
      <c r="C90" s="38" t="s">
        <v>868</v>
      </c>
      <c r="D90" s="38" t="s">
        <v>340</v>
      </c>
      <c r="E90" s="38" t="s">
        <v>19</v>
      </c>
      <c r="F90" s="38"/>
      <c r="G90" s="38" t="s">
        <v>14</v>
      </c>
      <c r="H90" s="43">
        <v>35000</v>
      </c>
      <c r="I90" s="44">
        <v>1.7</v>
      </c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6" x14ac:dyDescent="0.15">
      <c r="A91" s="45">
        <v>46002</v>
      </c>
      <c r="B91" s="38" t="s">
        <v>1252</v>
      </c>
      <c r="C91" s="38" t="s">
        <v>1763</v>
      </c>
      <c r="D91" s="38" t="s">
        <v>119</v>
      </c>
      <c r="E91" s="38" t="s">
        <v>19</v>
      </c>
      <c r="F91" s="38"/>
      <c r="G91" s="38" t="s">
        <v>23</v>
      </c>
      <c r="H91" s="43">
        <v>55000</v>
      </c>
      <c r="I91" s="44">
        <v>11.7</v>
      </c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6" x14ac:dyDescent="0.15">
      <c r="A92" s="45">
        <v>46002</v>
      </c>
      <c r="B92" s="38" t="s">
        <v>1764</v>
      </c>
      <c r="C92" s="38" t="s">
        <v>1765</v>
      </c>
      <c r="D92" s="38" t="s">
        <v>26</v>
      </c>
      <c r="E92" s="38" t="s">
        <v>19</v>
      </c>
      <c r="F92" s="38"/>
      <c r="G92" s="38" t="s">
        <v>14</v>
      </c>
      <c r="H92" s="43">
        <v>85000</v>
      </c>
      <c r="I92" s="44">
        <v>5.3</v>
      </c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6" x14ac:dyDescent="0.15">
      <c r="A93" s="45">
        <v>46003</v>
      </c>
      <c r="B93" s="38" t="s">
        <v>581</v>
      </c>
      <c r="C93" s="38" t="s">
        <v>990</v>
      </c>
      <c r="D93" s="38" t="s">
        <v>131</v>
      </c>
      <c r="E93" s="38" t="s">
        <v>19</v>
      </c>
      <c r="F93" s="38"/>
      <c r="G93" s="38" t="s">
        <v>14</v>
      </c>
      <c r="H93" s="43">
        <v>85000</v>
      </c>
      <c r="I93" s="44">
        <v>36</v>
      </c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6" x14ac:dyDescent="0.15">
      <c r="A94" s="45">
        <v>46003</v>
      </c>
      <c r="B94" s="38" t="s">
        <v>1473</v>
      </c>
      <c r="C94" s="38" t="s">
        <v>159</v>
      </c>
      <c r="D94" s="38" t="s">
        <v>64</v>
      </c>
      <c r="E94" s="38" t="s">
        <v>19</v>
      </c>
      <c r="F94" s="38"/>
      <c r="G94" s="38" t="s">
        <v>14</v>
      </c>
      <c r="H94" s="43">
        <v>70000</v>
      </c>
      <c r="I94" s="44">
        <v>11.2</v>
      </c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6" x14ac:dyDescent="0.15">
      <c r="A95" s="45">
        <v>46003</v>
      </c>
      <c r="B95" s="38" t="s">
        <v>1473</v>
      </c>
      <c r="C95" s="38" t="s">
        <v>309</v>
      </c>
      <c r="D95" s="38" t="s">
        <v>64</v>
      </c>
      <c r="E95" s="38" t="s">
        <v>19</v>
      </c>
      <c r="F95" s="38"/>
      <c r="G95" s="38" t="s">
        <v>14</v>
      </c>
      <c r="H95" s="43">
        <v>60000</v>
      </c>
      <c r="I95" s="44">
        <v>14</v>
      </c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6" x14ac:dyDescent="0.15">
      <c r="A96" s="45">
        <v>46003</v>
      </c>
      <c r="B96" s="38" t="s">
        <v>504</v>
      </c>
      <c r="C96" s="38" t="s">
        <v>124</v>
      </c>
      <c r="D96" s="38" t="s">
        <v>64</v>
      </c>
      <c r="E96" s="38" t="s">
        <v>19</v>
      </c>
      <c r="F96" s="38"/>
      <c r="G96" s="38" t="s">
        <v>23</v>
      </c>
      <c r="H96" s="43">
        <v>60000</v>
      </c>
      <c r="I96" s="44">
        <v>16.100000000000001</v>
      </c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6" x14ac:dyDescent="0.15">
      <c r="A97" s="45">
        <v>46003</v>
      </c>
      <c r="B97" s="38" t="s">
        <v>1766</v>
      </c>
      <c r="C97" s="38" t="s">
        <v>1767</v>
      </c>
      <c r="D97" s="38" t="s">
        <v>352</v>
      </c>
      <c r="E97" s="38" t="s">
        <v>19</v>
      </c>
      <c r="F97" s="38"/>
      <c r="G97" s="38" t="s">
        <v>23</v>
      </c>
      <c r="H97" s="43">
        <v>55000</v>
      </c>
      <c r="I97" s="44">
        <v>9.1999999999999993</v>
      </c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6" x14ac:dyDescent="0.15">
      <c r="A98" s="45">
        <v>46003</v>
      </c>
      <c r="B98" s="38" t="s">
        <v>1766</v>
      </c>
      <c r="C98" s="38" t="s">
        <v>1768</v>
      </c>
      <c r="D98" s="38" t="s">
        <v>340</v>
      </c>
      <c r="E98" s="38" t="s">
        <v>19</v>
      </c>
      <c r="F98" s="38"/>
      <c r="G98" s="38" t="s">
        <v>14</v>
      </c>
      <c r="H98" s="43">
        <v>40000</v>
      </c>
      <c r="I98" s="44">
        <v>3.4</v>
      </c>
      <c r="J98" s="38"/>
      <c r="K98" s="38" t="s">
        <v>1661</v>
      </c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6" x14ac:dyDescent="0.15">
      <c r="A99" s="45">
        <v>46003</v>
      </c>
      <c r="B99" s="38" t="s">
        <v>1477</v>
      </c>
      <c r="C99" s="38" t="s">
        <v>1106</v>
      </c>
      <c r="D99" s="38" t="s">
        <v>371</v>
      </c>
      <c r="E99" s="38" t="s">
        <v>19</v>
      </c>
      <c r="F99" s="38"/>
      <c r="G99" s="38" t="s">
        <v>23</v>
      </c>
      <c r="H99" s="43">
        <v>60000</v>
      </c>
      <c r="I99" s="44"/>
      <c r="J99" s="38"/>
      <c r="K99" s="38" t="s">
        <v>160</v>
      </c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6" x14ac:dyDescent="0.15">
      <c r="A100" s="45">
        <v>46003</v>
      </c>
      <c r="B100" s="38" t="s">
        <v>1769</v>
      </c>
      <c r="C100" s="38" t="s">
        <v>821</v>
      </c>
      <c r="D100" s="38" t="s">
        <v>26</v>
      </c>
      <c r="E100" s="38" t="s">
        <v>13</v>
      </c>
      <c r="F100" s="38"/>
      <c r="G100" s="38" t="s">
        <v>14</v>
      </c>
      <c r="H100" s="43">
        <v>87000</v>
      </c>
      <c r="I100" s="44">
        <v>6.4</v>
      </c>
      <c r="J100" s="38"/>
      <c r="K100" s="38" t="s">
        <v>1661</v>
      </c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6" x14ac:dyDescent="0.15">
      <c r="A101" s="45">
        <v>46003</v>
      </c>
      <c r="B101" s="38" t="s">
        <v>698</v>
      </c>
      <c r="C101" s="38" t="s">
        <v>1770</v>
      </c>
      <c r="D101" s="38" t="s">
        <v>165</v>
      </c>
      <c r="E101" s="38" t="s">
        <v>13</v>
      </c>
      <c r="F101" s="38"/>
      <c r="G101" s="38" t="s">
        <v>14</v>
      </c>
      <c r="H101" s="43">
        <v>85000</v>
      </c>
      <c r="I101" s="44">
        <v>4.2</v>
      </c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6" x14ac:dyDescent="0.15">
      <c r="A102" s="45">
        <v>46003</v>
      </c>
      <c r="B102" s="38" t="s">
        <v>111</v>
      </c>
      <c r="C102" s="38" t="s">
        <v>63</v>
      </c>
      <c r="D102" s="38" t="s">
        <v>112</v>
      </c>
      <c r="E102" s="38" t="s">
        <v>113</v>
      </c>
      <c r="F102" s="38" t="s">
        <v>1771</v>
      </c>
      <c r="G102" s="38" t="s">
        <v>14</v>
      </c>
      <c r="H102" s="43">
        <v>90000</v>
      </c>
      <c r="I102" s="44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6" x14ac:dyDescent="0.15">
      <c r="A103" s="45">
        <v>46003</v>
      </c>
      <c r="B103" s="38" t="s">
        <v>1772</v>
      </c>
      <c r="C103" s="38" t="s">
        <v>63</v>
      </c>
      <c r="D103" s="38" t="s">
        <v>32</v>
      </c>
      <c r="E103" s="38" t="s">
        <v>78</v>
      </c>
      <c r="F103" s="38"/>
      <c r="G103" s="38" t="s">
        <v>14</v>
      </c>
      <c r="H103" s="43">
        <v>85000</v>
      </c>
      <c r="I103" s="44">
        <v>3.1</v>
      </c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6" x14ac:dyDescent="0.15">
      <c r="A104" s="45">
        <v>46004</v>
      </c>
      <c r="B104" s="38" t="s">
        <v>1490</v>
      </c>
      <c r="C104" s="38" t="s">
        <v>962</v>
      </c>
      <c r="D104" s="38" t="s">
        <v>26</v>
      </c>
      <c r="E104" s="38" t="s">
        <v>19</v>
      </c>
      <c r="F104" s="38"/>
      <c r="G104" s="38" t="s">
        <v>14</v>
      </c>
      <c r="H104" s="43">
        <v>85000</v>
      </c>
      <c r="I104" s="44">
        <v>5.5</v>
      </c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6" x14ac:dyDescent="0.15">
      <c r="A105" s="45">
        <v>46004</v>
      </c>
      <c r="B105" s="38" t="s">
        <v>227</v>
      </c>
      <c r="C105" s="38" t="s">
        <v>228</v>
      </c>
      <c r="D105" s="38" t="s">
        <v>229</v>
      </c>
      <c r="E105" s="38" t="s">
        <v>19</v>
      </c>
      <c r="F105" s="38"/>
      <c r="G105" s="38" t="s">
        <v>14</v>
      </c>
      <c r="H105" s="43">
        <v>85000</v>
      </c>
      <c r="I105" s="44">
        <v>33.4</v>
      </c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6" x14ac:dyDescent="0.15">
      <c r="A106" s="45">
        <v>46004</v>
      </c>
      <c r="B106" s="38" t="s">
        <v>132</v>
      </c>
      <c r="C106" s="38" t="s">
        <v>133</v>
      </c>
      <c r="D106" s="38" t="s">
        <v>18</v>
      </c>
      <c r="E106" s="38" t="s">
        <v>13</v>
      </c>
      <c r="F106" s="38"/>
      <c r="G106" s="38" t="s">
        <v>14</v>
      </c>
      <c r="H106" s="43">
        <v>200000</v>
      </c>
      <c r="I106" s="44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6" x14ac:dyDescent="0.15">
      <c r="A107" s="45">
        <v>46004</v>
      </c>
      <c r="B107" s="38" t="s">
        <v>1773</v>
      </c>
      <c r="C107" s="38" t="s">
        <v>1774</v>
      </c>
      <c r="D107" s="38" t="s">
        <v>64</v>
      </c>
      <c r="E107" s="38" t="s">
        <v>13</v>
      </c>
      <c r="F107" s="38"/>
      <c r="G107" s="38" t="s">
        <v>14</v>
      </c>
      <c r="H107" s="43">
        <v>70000</v>
      </c>
      <c r="I107" s="44">
        <v>8.9</v>
      </c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6" x14ac:dyDescent="0.15">
      <c r="A108" s="45">
        <v>46004</v>
      </c>
      <c r="B108" s="38" t="s">
        <v>1775</v>
      </c>
      <c r="C108" s="38" t="s">
        <v>118</v>
      </c>
      <c r="D108" s="38" t="s">
        <v>32</v>
      </c>
      <c r="E108" s="38" t="s">
        <v>13</v>
      </c>
      <c r="F108" s="38"/>
      <c r="G108" s="38" t="s">
        <v>14</v>
      </c>
      <c r="H108" s="43">
        <v>80000</v>
      </c>
      <c r="I108" s="44">
        <v>4.7</v>
      </c>
      <c r="J108" s="38"/>
      <c r="K108" s="38" t="s">
        <v>1661</v>
      </c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6" x14ac:dyDescent="0.15">
      <c r="A109" s="45">
        <v>46004</v>
      </c>
      <c r="B109" s="38" t="s">
        <v>1776</v>
      </c>
      <c r="C109" s="38" t="s">
        <v>1484</v>
      </c>
      <c r="D109" s="38" t="s">
        <v>131</v>
      </c>
      <c r="E109" s="38" t="s">
        <v>19</v>
      </c>
      <c r="F109" s="38"/>
      <c r="G109" s="38" t="s">
        <v>14</v>
      </c>
      <c r="H109" s="43">
        <v>110000</v>
      </c>
      <c r="I109" s="44">
        <v>34</v>
      </c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6" x14ac:dyDescent="0.15">
      <c r="A110" s="45">
        <v>46004</v>
      </c>
      <c r="B110" s="38" t="s">
        <v>809</v>
      </c>
      <c r="C110" s="38" t="s">
        <v>237</v>
      </c>
      <c r="D110" s="38" t="s">
        <v>18</v>
      </c>
      <c r="E110" s="38" t="s">
        <v>13</v>
      </c>
      <c r="F110" s="38"/>
      <c r="G110" s="38" t="s">
        <v>14</v>
      </c>
      <c r="H110" s="43">
        <v>70000</v>
      </c>
      <c r="I110" s="44">
        <v>18</v>
      </c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6" x14ac:dyDescent="0.15">
      <c r="A111" s="45">
        <v>46004</v>
      </c>
      <c r="B111" s="38" t="s">
        <v>683</v>
      </c>
      <c r="C111" s="38" t="s">
        <v>572</v>
      </c>
      <c r="D111" s="38" t="s">
        <v>119</v>
      </c>
      <c r="E111" s="38" t="s">
        <v>19</v>
      </c>
      <c r="F111" s="38"/>
      <c r="G111" s="38" t="s">
        <v>23</v>
      </c>
      <c r="H111" s="43">
        <v>60000</v>
      </c>
      <c r="I111" s="44">
        <v>13.1</v>
      </c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6" x14ac:dyDescent="0.15">
      <c r="A112" s="45">
        <v>46004</v>
      </c>
      <c r="B112" s="38" t="s">
        <v>1777</v>
      </c>
      <c r="C112" s="38" t="s">
        <v>1778</v>
      </c>
      <c r="D112" s="38" t="s">
        <v>64</v>
      </c>
      <c r="E112" s="38" t="s">
        <v>19</v>
      </c>
      <c r="F112" s="38"/>
      <c r="G112" s="38" t="s">
        <v>23</v>
      </c>
      <c r="H112" s="43">
        <v>55000</v>
      </c>
      <c r="I112" s="44">
        <v>16.5</v>
      </c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6" x14ac:dyDescent="0.15">
      <c r="A113" s="38" t="s">
        <v>1779</v>
      </c>
      <c r="B113" s="38"/>
      <c r="C113" s="38"/>
      <c r="D113" s="38"/>
      <c r="E113" s="38" t="s">
        <v>61</v>
      </c>
      <c r="F113" s="38"/>
      <c r="G113" s="38" t="s">
        <v>23</v>
      </c>
      <c r="H113" s="43">
        <v>10000</v>
      </c>
      <c r="I113" s="44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6" x14ac:dyDescent="0.15">
      <c r="A114" s="45">
        <v>46006</v>
      </c>
      <c r="B114" s="38" t="s">
        <v>1641</v>
      </c>
      <c r="C114" s="38" t="s">
        <v>1700</v>
      </c>
      <c r="D114" s="38" t="s">
        <v>26</v>
      </c>
      <c r="E114" s="38" t="s">
        <v>19</v>
      </c>
      <c r="F114" s="38"/>
      <c r="G114" s="38" t="s">
        <v>14</v>
      </c>
      <c r="H114" s="43">
        <v>65000</v>
      </c>
      <c r="I114" s="44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6" x14ac:dyDescent="0.15">
      <c r="A115" s="45">
        <v>46006</v>
      </c>
      <c r="B115" s="38" t="s">
        <v>1780</v>
      </c>
      <c r="C115" s="38" t="s">
        <v>1781</v>
      </c>
      <c r="D115" s="38" t="s">
        <v>165</v>
      </c>
      <c r="E115" s="38" t="s">
        <v>13</v>
      </c>
      <c r="F115" s="38"/>
      <c r="G115" s="38" t="s">
        <v>14</v>
      </c>
      <c r="H115" s="43">
        <v>85000</v>
      </c>
      <c r="I115" s="44">
        <v>5.2</v>
      </c>
      <c r="J115" s="38"/>
      <c r="K115" s="38" t="s">
        <v>1661</v>
      </c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6" x14ac:dyDescent="0.15">
      <c r="A116" s="45">
        <v>46006</v>
      </c>
      <c r="B116" s="38" t="s">
        <v>1396</v>
      </c>
      <c r="C116" s="38" t="s">
        <v>454</v>
      </c>
      <c r="D116" s="38" t="s">
        <v>64</v>
      </c>
      <c r="E116" s="38" t="s">
        <v>13</v>
      </c>
      <c r="F116" s="38"/>
      <c r="G116" s="38" t="s">
        <v>14</v>
      </c>
      <c r="H116" s="43">
        <v>85000</v>
      </c>
      <c r="I116" s="44"/>
      <c r="J116" s="38"/>
      <c r="K116" s="38" t="s">
        <v>1661</v>
      </c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6" x14ac:dyDescent="0.15">
      <c r="A117" s="45">
        <v>46006</v>
      </c>
      <c r="B117" s="38" t="s">
        <v>1396</v>
      </c>
      <c r="C117" s="38" t="s">
        <v>444</v>
      </c>
      <c r="D117" s="38" t="s">
        <v>340</v>
      </c>
      <c r="E117" s="38" t="s">
        <v>19</v>
      </c>
      <c r="F117" s="38"/>
      <c r="G117" s="38" t="s">
        <v>23</v>
      </c>
      <c r="H117" s="43">
        <v>30000</v>
      </c>
      <c r="I117" s="44">
        <v>1.4</v>
      </c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6" x14ac:dyDescent="0.15">
      <c r="A118" s="45">
        <v>46006</v>
      </c>
      <c r="B118" s="38" t="s">
        <v>1397</v>
      </c>
      <c r="C118" s="38" t="s">
        <v>830</v>
      </c>
      <c r="D118" s="38" t="s">
        <v>12</v>
      </c>
      <c r="E118" s="38" t="s">
        <v>13</v>
      </c>
      <c r="F118" s="38"/>
      <c r="G118" s="38" t="s">
        <v>14</v>
      </c>
      <c r="H118" s="43">
        <v>85000</v>
      </c>
      <c r="I118" s="44">
        <v>6.3</v>
      </c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6" x14ac:dyDescent="0.15">
      <c r="A119" s="45">
        <v>46006</v>
      </c>
      <c r="B119" s="38"/>
      <c r="C119" s="38"/>
      <c r="D119" s="38"/>
      <c r="E119" s="38" t="s">
        <v>61</v>
      </c>
      <c r="F119" s="38"/>
      <c r="G119" s="38" t="s">
        <v>23</v>
      </c>
      <c r="H119" s="43">
        <v>10000</v>
      </c>
      <c r="I119" s="44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6" x14ac:dyDescent="0.15">
      <c r="A120" s="45">
        <v>46006</v>
      </c>
      <c r="B120" s="38"/>
      <c r="C120" s="38"/>
      <c r="D120" s="38"/>
      <c r="E120" s="38" t="s">
        <v>61</v>
      </c>
      <c r="F120" s="38"/>
      <c r="G120" s="38" t="s">
        <v>23</v>
      </c>
      <c r="H120" s="43">
        <v>15000</v>
      </c>
      <c r="I120" s="44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6" x14ac:dyDescent="0.15">
      <c r="A121" s="45">
        <v>46007</v>
      </c>
      <c r="B121" s="38" t="s">
        <v>1028</v>
      </c>
      <c r="C121" s="38" t="s">
        <v>1782</v>
      </c>
      <c r="D121" s="38" t="s">
        <v>12</v>
      </c>
      <c r="E121" s="38" t="s">
        <v>13</v>
      </c>
      <c r="F121" s="38"/>
      <c r="G121" s="38" t="s">
        <v>14</v>
      </c>
      <c r="H121" s="43">
        <v>70000</v>
      </c>
      <c r="I121" s="44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6" x14ac:dyDescent="0.15">
      <c r="A122" s="45">
        <v>46007</v>
      </c>
      <c r="B122" s="38" t="s">
        <v>1028</v>
      </c>
      <c r="C122" s="38" t="s">
        <v>1030</v>
      </c>
      <c r="D122" s="38" t="s">
        <v>12</v>
      </c>
      <c r="E122" s="38" t="s">
        <v>13</v>
      </c>
      <c r="F122" s="38"/>
      <c r="G122" s="38" t="s">
        <v>14</v>
      </c>
      <c r="H122" s="43">
        <v>70000</v>
      </c>
      <c r="I122" s="44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6" x14ac:dyDescent="0.15">
      <c r="A123" s="45">
        <v>46007</v>
      </c>
      <c r="B123" s="38" t="s">
        <v>1028</v>
      </c>
      <c r="C123" s="38" t="s">
        <v>1660</v>
      </c>
      <c r="D123" s="38" t="s">
        <v>12</v>
      </c>
      <c r="E123" s="38" t="s">
        <v>13</v>
      </c>
      <c r="F123" s="38"/>
      <c r="G123" s="38" t="s">
        <v>14</v>
      </c>
      <c r="H123" s="43">
        <v>85000</v>
      </c>
      <c r="I123" s="44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6" x14ac:dyDescent="0.15">
      <c r="A124" s="45">
        <v>46007</v>
      </c>
      <c r="B124" s="38" t="s">
        <v>1783</v>
      </c>
      <c r="C124" s="38" t="s">
        <v>1784</v>
      </c>
      <c r="D124" s="38" t="s">
        <v>119</v>
      </c>
      <c r="E124" s="38" t="s">
        <v>19</v>
      </c>
      <c r="F124" s="38"/>
      <c r="G124" s="38" t="s">
        <v>23</v>
      </c>
      <c r="H124" s="43">
        <v>60000</v>
      </c>
      <c r="I124" s="44">
        <v>15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6" x14ac:dyDescent="0.15">
      <c r="A125" s="45">
        <v>46007</v>
      </c>
      <c r="B125" s="38" t="s">
        <v>1783</v>
      </c>
      <c r="C125" s="38" t="s">
        <v>135</v>
      </c>
      <c r="D125" s="38" t="s">
        <v>119</v>
      </c>
      <c r="E125" s="38" t="s">
        <v>19</v>
      </c>
      <c r="F125" s="38"/>
      <c r="G125" s="38" t="s">
        <v>23</v>
      </c>
      <c r="H125" s="43">
        <v>60000</v>
      </c>
      <c r="I125" s="44">
        <v>15.3</v>
      </c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6" x14ac:dyDescent="0.15">
      <c r="A126" s="45">
        <v>46007</v>
      </c>
      <c r="B126" s="38" t="s">
        <v>1409</v>
      </c>
      <c r="C126" s="38" t="s">
        <v>869</v>
      </c>
      <c r="D126" s="38" t="s">
        <v>1229</v>
      </c>
      <c r="E126" s="38" t="s">
        <v>19</v>
      </c>
      <c r="F126" s="38"/>
      <c r="G126" s="38" t="s">
        <v>23</v>
      </c>
      <c r="H126" s="43">
        <v>30000</v>
      </c>
      <c r="I126" s="44">
        <v>2.9</v>
      </c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6" x14ac:dyDescent="0.15">
      <c r="A127" s="45">
        <v>46007</v>
      </c>
      <c r="B127" s="38" t="s">
        <v>638</v>
      </c>
      <c r="C127" s="38" t="s">
        <v>917</v>
      </c>
      <c r="D127" s="38" t="s">
        <v>64</v>
      </c>
      <c r="E127" s="38" t="s">
        <v>13</v>
      </c>
      <c r="F127" s="38"/>
      <c r="G127" s="38" t="s">
        <v>14</v>
      </c>
      <c r="H127" s="43">
        <v>75000</v>
      </c>
      <c r="I127" s="44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6" x14ac:dyDescent="0.15">
      <c r="A128" s="45">
        <v>46007</v>
      </c>
      <c r="B128" s="38" t="s">
        <v>584</v>
      </c>
      <c r="C128" s="38" t="s">
        <v>585</v>
      </c>
      <c r="D128" s="38" t="s">
        <v>22</v>
      </c>
      <c r="E128" s="38" t="s">
        <v>19</v>
      </c>
      <c r="F128" s="38"/>
      <c r="G128" s="38" t="s">
        <v>23</v>
      </c>
      <c r="H128" s="43">
        <v>55000</v>
      </c>
      <c r="I128" s="44">
        <v>8.8000000000000007</v>
      </c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6" x14ac:dyDescent="0.15">
      <c r="A129" s="45">
        <v>46007</v>
      </c>
      <c r="B129" s="38" t="s">
        <v>944</v>
      </c>
      <c r="C129" s="38" t="s">
        <v>233</v>
      </c>
      <c r="D129" s="38" t="s">
        <v>165</v>
      </c>
      <c r="E129" s="38" t="s">
        <v>19</v>
      </c>
      <c r="F129" s="38"/>
      <c r="G129" s="38" t="s">
        <v>14</v>
      </c>
      <c r="H129" s="43">
        <v>85000</v>
      </c>
      <c r="I129" s="44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6" x14ac:dyDescent="0.15">
      <c r="A130" s="45">
        <v>46007</v>
      </c>
      <c r="B130" s="38" t="s">
        <v>944</v>
      </c>
      <c r="C130" s="38" t="s">
        <v>1785</v>
      </c>
      <c r="D130" s="38" t="s">
        <v>119</v>
      </c>
      <c r="E130" s="38" t="s">
        <v>19</v>
      </c>
      <c r="F130" s="38"/>
      <c r="G130" s="38" t="s">
        <v>23</v>
      </c>
      <c r="H130" s="43">
        <v>60000</v>
      </c>
      <c r="I130" s="44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6" x14ac:dyDescent="0.15">
      <c r="A131" s="45">
        <v>46008</v>
      </c>
      <c r="B131" s="38" t="s">
        <v>1786</v>
      </c>
      <c r="C131" s="38" t="s">
        <v>1787</v>
      </c>
      <c r="D131" s="38" t="s">
        <v>196</v>
      </c>
      <c r="E131" s="38" t="s">
        <v>94</v>
      </c>
      <c r="F131" s="38"/>
      <c r="G131" s="38" t="s">
        <v>14</v>
      </c>
      <c r="H131" s="43">
        <v>95000</v>
      </c>
      <c r="I131" s="44">
        <v>32</v>
      </c>
      <c r="J131" s="38"/>
      <c r="K131" s="38" t="s">
        <v>1661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6" x14ac:dyDescent="0.15">
      <c r="A132" s="45">
        <v>46008</v>
      </c>
      <c r="B132" s="38" t="s">
        <v>1788</v>
      </c>
      <c r="C132" s="38" t="s">
        <v>1047</v>
      </c>
      <c r="D132" s="38" t="s">
        <v>64</v>
      </c>
      <c r="E132" s="38" t="s">
        <v>19</v>
      </c>
      <c r="F132" s="38"/>
      <c r="G132" s="38" t="s">
        <v>23</v>
      </c>
      <c r="H132" s="43">
        <v>60000</v>
      </c>
      <c r="I132" s="44">
        <v>16.100000000000001</v>
      </c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6" x14ac:dyDescent="0.15">
      <c r="A133" s="45">
        <v>46008</v>
      </c>
      <c r="B133" s="38" t="s">
        <v>1789</v>
      </c>
      <c r="C133" s="38" t="s">
        <v>173</v>
      </c>
      <c r="D133" s="38" t="s">
        <v>18</v>
      </c>
      <c r="E133" s="38" t="s">
        <v>13</v>
      </c>
      <c r="F133" s="38"/>
      <c r="G133" s="38" t="s">
        <v>14</v>
      </c>
      <c r="H133" s="43">
        <v>80000</v>
      </c>
      <c r="I133" s="44">
        <v>12.6</v>
      </c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6" x14ac:dyDescent="0.15">
      <c r="A134" s="45">
        <v>46008</v>
      </c>
      <c r="B134" s="38" t="s">
        <v>553</v>
      </c>
      <c r="C134" s="38" t="s">
        <v>554</v>
      </c>
      <c r="D134" s="38" t="s">
        <v>18</v>
      </c>
      <c r="E134" s="38" t="s">
        <v>13</v>
      </c>
      <c r="F134" s="38"/>
      <c r="G134" s="38" t="s">
        <v>14</v>
      </c>
      <c r="H134" s="43">
        <v>75000</v>
      </c>
      <c r="I134" s="44">
        <v>10</v>
      </c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6" x14ac:dyDescent="0.15">
      <c r="A135" s="45">
        <v>46008</v>
      </c>
      <c r="B135" s="38" t="s">
        <v>171</v>
      </c>
      <c r="C135" s="38" t="s">
        <v>604</v>
      </c>
      <c r="D135" s="38" t="s">
        <v>18</v>
      </c>
      <c r="E135" s="38" t="s">
        <v>19</v>
      </c>
      <c r="F135" s="38"/>
      <c r="G135" s="38" t="s">
        <v>14</v>
      </c>
      <c r="H135" s="43">
        <v>60000</v>
      </c>
      <c r="I135" s="44">
        <v>12.8</v>
      </c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6" x14ac:dyDescent="0.15">
      <c r="A136" s="45">
        <v>46008</v>
      </c>
      <c r="B136" s="38" t="s">
        <v>1790</v>
      </c>
      <c r="C136" s="38" t="s">
        <v>1791</v>
      </c>
      <c r="D136" s="38" t="s">
        <v>32</v>
      </c>
      <c r="E136" s="38" t="s">
        <v>13</v>
      </c>
      <c r="F136" s="38"/>
      <c r="G136" s="38" t="s">
        <v>14</v>
      </c>
      <c r="H136" s="43">
        <v>75000</v>
      </c>
      <c r="I136" s="44">
        <v>1.3</v>
      </c>
      <c r="J136" s="38" t="s">
        <v>160</v>
      </c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6" x14ac:dyDescent="0.15">
      <c r="A137" s="45">
        <v>46008</v>
      </c>
      <c r="B137" s="38" t="s">
        <v>1790</v>
      </c>
      <c r="C137" s="38" t="s">
        <v>1792</v>
      </c>
      <c r="D137" s="38" t="s">
        <v>340</v>
      </c>
      <c r="E137" s="38" t="s">
        <v>19</v>
      </c>
      <c r="F137" s="38"/>
      <c r="G137" s="38" t="s">
        <v>23</v>
      </c>
      <c r="H137" s="43">
        <v>40000</v>
      </c>
      <c r="I137" s="44">
        <v>2.9</v>
      </c>
      <c r="J137" s="38" t="s">
        <v>160</v>
      </c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6" x14ac:dyDescent="0.15">
      <c r="A138" s="45">
        <v>46008</v>
      </c>
      <c r="B138" s="38" t="s">
        <v>1793</v>
      </c>
      <c r="C138" s="38" t="s">
        <v>1794</v>
      </c>
      <c r="D138" s="38" t="s">
        <v>64</v>
      </c>
      <c r="E138" s="38" t="s">
        <v>19</v>
      </c>
      <c r="F138" s="38"/>
      <c r="G138" s="38" t="s">
        <v>23</v>
      </c>
      <c r="H138" s="43">
        <v>65000</v>
      </c>
      <c r="I138" s="44">
        <v>24.4</v>
      </c>
      <c r="J138" s="38"/>
      <c r="K138" s="38" t="s">
        <v>1661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6" x14ac:dyDescent="0.15">
      <c r="A139" s="45">
        <v>46008</v>
      </c>
      <c r="B139" s="38" t="s">
        <v>1108</v>
      </c>
      <c r="C139" s="38" t="s">
        <v>375</v>
      </c>
      <c r="D139" s="38" t="s">
        <v>131</v>
      </c>
      <c r="E139" s="38" t="s">
        <v>19</v>
      </c>
      <c r="F139" s="38"/>
      <c r="G139" s="38" t="s">
        <v>14</v>
      </c>
      <c r="H139" s="43">
        <v>75000</v>
      </c>
      <c r="I139" s="44">
        <v>34</v>
      </c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6" x14ac:dyDescent="0.15">
      <c r="A140" s="45">
        <v>46008</v>
      </c>
      <c r="B140" s="38" t="s">
        <v>1795</v>
      </c>
      <c r="C140" s="38" t="s">
        <v>1796</v>
      </c>
      <c r="D140" s="38" t="s">
        <v>88</v>
      </c>
      <c r="E140" s="38" t="s">
        <v>13</v>
      </c>
      <c r="F140" s="38"/>
      <c r="G140" s="38" t="s">
        <v>14</v>
      </c>
      <c r="H140" s="43">
        <v>90000</v>
      </c>
      <c r="I140" s="44">
        <v>5.3</v>
      </c>
      <c r="J140" s="38" t="s">
        <v>37</v>
      </c>
      <c r="K140" s="38" t="s">
        <v>1661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6" x14ac:dyDescent="0.15">
      <c r="A141" s="45">
        <v>46009</v>
      </c>
      <c r="B141" s="38" t="s">
        <v>79</v>
      </c>
      <c r="C141" s="38" t="s">
        <v>110</v>
      </c>
      <c r="D141" s="38" t="s">
        <v>26</v>
      </c>
      <c r="E141" s="38" t="s">
        <v>19</v>
      </c>
      <c r="F141" s="38"/>
      <c r="G141" s="38" t="s">
        <v>14</v>
      </c>
      <c r="H141" s="43">
        <v>65000</v>
      </c>
      <c r="I141" s="44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6" x14ac:dyDescent="0.15">
      <c r="A142" s="45">
        <v>46009</v>
      </c>
      <c r="B142" s="38" t="s">
        <v>564</v>
      </c>
      <c r="C142" s="38" t="s">
        <v>195</v>
      </c>
      <c r="D142" s="38" t="s">
        <v>196</v>
      </c>
      <c r="E142" s="38" t="s">
        <v>94</v>
      </c>
      <c r="F142" s="38"/>
      <c r="G142" s="38" t="s">
        <v>14</v>
      </c>
      <c r="H142" s="43">
        <v>90000</v>
      </c>
      <c r="I142" s="44">
        <v>26.6</v>
      </c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6" x14ac:dyDescent="0.15">
      <c r="A143" s="45">
        <v>46009</v>
      </c>
      <c r="B143" s="38" t="s">
        <v>1434</v>
      </c>
      <c r="C143" s="38" t="s">
        <v>253</v>
      </c>
      <c r="D143" s="38" t="s">
        <v>26</v>
      </c>
      <c r="E143" s="38" t="s">
        <v>19</v>
      </c>
      <c r="F143" s="38"/>
      <c r="G143" s="38" t="s">
        <v>14</v>
      </c>
      <c r="H143" s="43">
        <v>75000</v>
      </c>
      <c r="I143" s="44">
        <v>4.5</v>
      </c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6" x14ac:dyDescent="0.15">
      <c r="A144" s="45">
        <v>46009</v>
      </c>
      <c r="B144" s="38" t="s">
        <v>1256</v>
      </c>
      <c r="C144" s="38" t="s">
        <v>130</v>
      </c>
      <c r="D144" s="38" t="s">
        <v>45</v>
      </c>
      <c r="E144" s="38" t="s">
        <v>19</v>
      </c>
      <c r="F144" s="38"/>
      <c r="G144" s="38" t="s">
        <v>23</v>
      </c>
      <c r="H144" s="43">
        <v>55000</v>
      </c>
      <c r="I144" s="44">
        <v>16.3</v>
      </c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6" x14ac:dyDescent="0.15">
      <c r="A145" s="45">
        <v>46009</v>
      </c>
      <c r="B145" s="38" t="s">
        <v>1797</v>
      </c>
      <c r="C145" s="38" t="s">
        <v>868</v>
      </c>
      <c r="D145" s="38" t="s">
        <v>64</v>
      </c>
      <c r="E145" s="38" t="s">
        <v>19</v>
      </c>
      <c r="F145" s="38"/>
      <c r="G145" s="38" t="s">
        <v>23</v>
      </c>
      <c r="H145" s="43">
        <v>65000</v>
      </c>
      <c r="I145" s="44">
        <v>8.3000000000000007</v>
      </c>
      <c r="J145" s="38"/>
      <c r="K145" s="38" t="s">
        <v>1661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6" x14ac:dyDescent="0.15">
      <c r="A146" s="45">
        <v>46009</v>
      </c>
      <c r="B146" s="38" t="s">
        <v>1429</v>
      </c>
      <c r="C146" s="38" t="s">
        <v>1630</v>
      </c>
      <c r="D146" s="38" t="s">
        <v>88</v>
      </c>
      <c r="E146" s="38" t="s">
        <v>94</v>
      </c>
      <c r="F146" s="38"/>
      <c r="G146" s="38" t="s">
        <v>14</v>
      </c>
      <c r="H146" s="43">
        <v>70000</v>
      </c>
      <c r="I146" s="38">
        <v>4.5999999999999996</v>
      </c>
      <c r="J146" s="38"/>
      <c r="K146" s="38" t="s">
        <v>1661</v>
      </c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6" x14ac:dyDescent="0.15">
      <c r="A147" s="45">
        <v>46009</v>
      </c>
      <c r="B147" s="38" t="s">
        <v>1798</v>
      </c>
      <c r="C147" s="38" t="s">
        <v>1799</v>
      </c>
      <c r="D147" s="38" t="s">
        <v>26</v>
      </c>
      <c r="E147" s="38" t="s">
        <v>13</v>
      </c>
      <c r="F147" s="38"/>
      <c r="G147" s="38" t="s">
        <v>14</v>
      </c>
      <c r="H147" s="43">
        <v>70000</v>
      </c>
      <c r="I147" s="44">
        <v>5.0999999999999996</v>
      </c>
      <c r="J147" s="38"/>
      <c r="K147" s="38" t="s">
        <v>1661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6" x14ac:dyDescent="0.15">
      <c r="A148" s="45">
        <v>46009</v>
      </c>
      <c r="B148" s="38" t="s">
        <v>1800</v>
      </c>
      <c r="C148" s="38" t="s">
        <v>1801</v>
      </c>
      <c r="D148" s="38" t="s">
        <v>64</v>
      </c>
      <c r="E148" s="38" t="s">
        <v>19</v>
      </c>
      <c r="F148" s="38"/>
      <c r="G148" s="38" t="s">
        <v>23</v>
      </c>
      <c r="H148" s="43">
        <v>65000</v>
      </c>
      <c r="I148" s="44">
        <v>27.2</v>
      </c>
      <c r="J148" s="38"/>
      <c r="K148" s="38" t="s">
        <v>1661</v>
      </c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6" x14ac:dyDescent="0.15">
      <c r="A149" s="45">
        <v>46009</v>
      </c>
      <c r="B149" s="38" t="s">
        <v>1491</v>
      </c>
      <c r="C149" s="38" t="s">
        <v>1492</v>
      </c>
      <c r="D149" s="38" t="s">
        <v>1229</v>
      </c>
      <c r="E149" s="38" t="s">
        <v>19</v>
      </c>
      <c r="F149" s="38"/>
      <c r="G149" s="38" t="s">
        <v>23</v>
      </c>
      <c r="H149" s="43">
        <v>30000</v>
      </c>
      <c r="I149" s="44">
        <v>3.9</v>
      </c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6" x14ac:dyDescent="0.15">
      <c r="A150" s="45">
        <v>46009</v>
      </c>
      <c r="B150" s="38" t="s">
        <v>471</v>
      </c>
      <c r="C150" s="38" t="s">
        <v>93</v>
      </c>
      <c r="D150" s="38" t="s">
        <v>88</v>
      </c>
      <c r="E150" s="38" t="s">
        <v>13</v>
      </c>
      <c r="F150" s="38"/>
      <c r="G150" s="38" t="s">
        <v>14</v>
      </c>
      <c r="H150" s="43">
        <v>70000</v>
      </c>
      <c r="I150" s="44">
        <v>5.8</v>
      </c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6" x14ac:dyDescent="0.15">
      <c r="A151" s="45">
        <v>46009</v>
      </c>
      <c r="B151" s="38" t="s">
        <v>1802</v>
      </c>
      <c r="C151" s="38" t="s">
        <v>1803</v>
      </c>
      <c r="D151" s="38" t="s">
        <v>64</v>
      </c>
      <c r="E151" s="38" t="s">
        <v>13</v>
      </c>
      <c r="F151" s="38"/>
      <c r="G151" s="38" t="s">
        <v>14</v>
      </c>
      <c r="H151" s="43">
        <v>70000</v>
      </c>
      <c r="I151" s="44">
        <v>6.4</v>
      </c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6" x14ac:dyDescent="0.15">
      <c r="A152" s="45">
        <v>46009</v>
      </c>
      <c r="B152" s="38" t="s">
        <v>1222</v>
      </c>
      <c r="C152" s="38" t="s">
        <v>146</v>
      </c>
      <c r="D152" s="38" t="s">
        <v>88</v>
      </c>
      <c r="E152" s="38" t="s">
        <v>13</v>
      </c>
      <c r="F152" s="38" t="s">
        <v>1804</v>
      </c>
      <c r="G152" s="38" t="s">
        <v>14</v>
      </c>
      <c r="H152" s="43">
        <v>90000</v>
      </c>
      <c r="I152" s="44">
        <v>3.3</v>
      </c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6" x14ac:dyDescent="0.15">
      <c r="A153" s="45">
        <v>46009</v>
      </c>
      <c r="B153" s="38" t="s">
        <v>1222</v>
      </c>
      <c r="C153" s="38" t="s">
        <v>330</v>
      </c>
      <c r="D153" s="38" t="s">
        <v>88</v>
      </c>
      <c r="E153" s="38" t="s">
        <v>13</v>
      </c>
      <c r="F153" s="38" t="s">
        <v>1805</v>
      </c>
      <c r="G153" s="38" t="s">
        <v>14</v>
      </c>
      <c r="H153" s="43">
        <v>60000</v>
      </c>
      <c r="I153" s="44">
        <v>6.9</v>
      </c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6" x14ac:dyDescent="0.15">
      <c r="A154" s="45">
        <v>46009</v>
      </c>
      <c r="B154" s="38"/>
      <c r="C154" s="38"/>
      <c r="D154" s="38"/>
      <c r="E154" s="38" t="s">
        <v>61</v>
      </c>
      <c r="F154" s="38"/>
      <c r="G154" s="38"/>
      <c r="H154" s="43">
        <v>10000</v>
      </c>
      <c r="I154" s="44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6" x14ac:dyDescent="0.15">
      <c r="A155" s="45">
        <v>46010</v>
      </c>
      <c r="B155" s="38" t="s">
        <v>1329</v>
      </c>
      <c r="C155" s="38" t="s">
        <v>1330</v>
      </c>
      <c r="D155" s="38" t="s">
        <v>1229</v>
      </c>
      <c r="E155" s="38" t="s">
        <v>19</v>
      </c>
      <c r="F155" s="38"/>
      <c r="G155" s="38" t="s">
        <v>23</v>
      </c>
      <c r="H155" s="43">
        <v>70000</v>
      </c>
      <c r="I155" s="38">
        <v>24</v>
      </c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6" x14ac:dyDescent="0.15">
      <c r="A156" s="45">
        <v>46010</v>
      </c>
      <c r="B156" s="38" t="s">
        <v>1050</v>
      </c>
      <c r="C156" s="38" t="s">
        <v>859</v>
      </c>
      <c r="D156" s="38" t="s">
        <v>64</v>
      </c>
      <c r="E156" s="38" t="s">
        <v>19</v>
      </c>
      <c r="F156" s="38"/>
      <c r="G156" s="38" t="s">
        <v>23</v>
      </c>
      <c r="H156" s="43">
        <v>65000</v>
      </c>
      <c r="I156" s="44">
        <v>13.8</v>
      </c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6" x14ac:dyDescent="0.15">
      <c r="A157" s="45">
        <v>46010</v>
      </c>
      <c r="B157" s="38" t="s">
        <v>306</v>
      </c>
      <c r="C157" s="38" t="s">
        <v>55</v>
      </c>
      <c r="D157" s="38" t="s">
        <v>307</v>
      </c>
      <c r="E157" s="38" t="s">
        <v>94</v>
      </c>
      <c r="F157" s="38"/>
      <c r="G157" s="38" t="s">
        <v>14</v>
      </c>
      <c r="H157" s="43">
        <v>90000</v>
      </c>
      <c r="I157" s="44">
        <v>31</v>
      </c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6" x14ac:dyDescent="0.15">
      <c r="A158" s="45">
        <v>46010</v>
      </c>
      <c r="B158" s="38" t="s">
        <v>491</v>
      </c>
      <c r="C158" s="38" t="s">
        <v>919</v>
      </c>
      <c r="D158" s="38" t="s">
        <v>64</v>
      </c>
      <c r="E158" s="38" t="s">
        <v>19</v>
      </c>
      <c r="F158" s="38"/>
      <c r="G158" s="38" t="s">
        <v>23</v>
      </c>
      <c r="H158" s="43">
        <v>70000</v>
      </c>
      <c r="I158" s="44">
        <v>35.4</v>
      </c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6" x14ac:dyDescent="0.15">
      <c r="A159" s="45">
        <v>46010</v>
      </c>
      <c r="B159" s="38" t="s">
        <v>1806</v>
      </c>
      <c r="C159" s="38" t="s">
        <v>301</v>
      </c>
      <c r="D159" s="38" t="s">
        <v>101</v>
      </c>
      <c r="E159" s="38" t="s">
        <v>19</v>
      </c>
      <c r="F159" s="38"/>
      <c r="G159" s="38" t="s">
        <v>14</v>
      </c>
      <c r="H159" s="43">
        <v>65000</v>
      </c>
      <c r="I159" s="44">
        <v>3.7</v>
      </c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6" x14ac:dyDescent="0.15">
      <c r="A160" s="45">
        <v>46010</v>
      </c>
      <c r="B160" s="38" t="s">
        <v>831</v>
      </c>
      <c r="C160" s="38" t="s">
        <v>832</v>
      </c>
      <c r="D160" s="38" t="s">
        <v>122</v>
      </c>
      <c r="E160" s="38" t="s">
        <v>19</v>
      </c>
      <c r="F160" s="38"/>
      <c r="G160" s="38" t="s">
        <v>14</v>
      </c>
      <c r="H160" s="43">
        <v>80000</v>
      </c>
      <c r="I160" s="44">
        <v>19.399999999999999</v>
      </c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6" x14ac:dyDescent="0.15">
      <c r="A161" s="45">
        <v>46010</v>
      </c>
      <c r="B161" s="38" t="s">
        <v>1807</v>
      </c>
      <c r="C161" s="38" t="s">
        <v>275</v>
      </c>
      <c r="D161" s="38" t="s">
        <v>88</v>
      </c>
      <c r="E161" s="38" t="s">
        <v>94</v>
      </c>
      <c r="F161" s="38"/>
      <c r="G161" s="38" t="s">
        <v>14</v>
      </c>
      <c r="H161" s="43">
        <v>80000</v>
      </c>
      <c r="I161" s="44">
        <v>2.8</v>
      </c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6" x14ac:dyDescent="0.15">
      <c r="A162" s="45">
        <v>46010</v>
      </c>
      <c r="B162" s="38" t="s">
        <v>1807</v>
      </c>
      <c r="C162" s="38" t="s">
        <v>1084</v>
      </c>
      <c r="D162" s="38" t="s">
        <v>32</v>
      </c>
      <c r="E162" s="38" t="s">
        <v>78</v>
      </c>
      <c r="F162" s="38"/>
      <c r="G162" s="38" t="s">
        <v>14</v>
      </c>
      <c r="H162" s="43">
        <v>75000</v>
      </c>
      <c r="I162" s="44">
        <v>3</v>
      </c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6" x14ac:dyDescent="0.15">
      <c r="A163" s="45">
        <v>46010</v>
      </c>
      <c r="B163" s="38" t="s">
        <v>1808</v>
      </c>
      <c r="C163" s="38" t="s">
        <v>1644</v>
      </c>
      <c r="D163" s="38" t="s">
        <v>64</v>
      </c>
      <c r="E163" s="38" t="s">
        <v>19</v>
      </c>
      <c r="F163" s="38"/>
      <c r="G163" s="38" t="s">
        <v>23</v>
      </c>
      <c r="H163" s="43">
        <v>75000</v>
      </c>
      <c r="I163" s="44">
        <v>22</v>
      </c>
      <c r="J163" s="38"/>
      <c r="K163" s="38" t="s">
        <v>1661</v>
      </c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6" x14ac:dyDescent="0.15">
      <c r="A164" s="45">
        <v>46010</v>
      </c>
      <c r="B164" s="38" t="s">
        <v>369</v>
      </c>
      <c r="C164" s="38" t="s">
        <v>1809</v>
      </c>
      <c r="D164" s="38" t="s">
        <v>64</v>
      </c>
      <c r="E164" s="38" t="s">
        <v>19</v>
      </c>
      <c r="F164" s="38"/>
      <c r="G164" s="38" t="s">
        <v>23</v>
      </c>
      <c r="H164" s="43">
        <v>55000</v>
      </c>
      <c r="I164" s="44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6" x14ac:dyDescent="0.15">
      <c r="A165" s="45">
        <v>46010</v>
      </c>
      <c r="B165" s="38" t="s">
        <v>111</v>
      </c>
      <c r="C165" s="38" t="s">
        <v>63</v>
      </c>
      <c r="D165" s="38" t="s">
        <v>112</v>
      </c>
      <c r="E165" s="38" t="s">
        <v>19</v>
      </c>
      <c r="F165" s="38"/>
      <c r="G165" s="38" t="s">
        <v>14</v>
      </c>
      <c r="H165" s="43" t="s">
        <v>114</v>
      </c>
      <c r="I165" s="44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6" x14ac:dyDescent="0.15">
      <c r="A166" s="45">
        <v>46010</v>
      </c>
      <c r="B166" s="38" t="s">
        <v>1481</v>
      </c>
      <c r="C166" s="38" t="s">
        <v>819</v>
      </c>
      <c r="D166" s="38" t="s">
        <v>88</v>
      </c>
      <c r="E166" s="38" t="s">
        <v>94</v>
      </c>
      <c r="F166" s="38"/>
      <c r="G166" s="38" t="s">
        <v>14</v>
      </c>
      <c r="H166" s="43">
        <v>75000</v>
      </c>
      <c r="I166" s="44">
        <v>7.3</v>
      </c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6" x14ac:dyDescent="0.15">
      <c r="A167" s="45">
        <v>46010</v>
      </c>
      <c r="B167" s="38" t="s">
        <v>1576</v>
      </c>
      <c r="C167" s="38" t="s">
        <v>940</v>
      </c>
      <c r="D167" s="38" t="s">
        <v>1229</v>
      </c>
      <c r="E167" s="38" t="s">
        <v>19</v>
      </c>
      <c r="F167" s="38"/>
      <c r="G167" s="38" t="s">
        <v>23</v>
      </c>
      <c r="H167" s="43">
        <v>30000</v>
      </c>
      <c r="I167" s="44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6" x14ac:dyDescent="0.15">
      <c r="A168" s="45">
        <v>46010</v>
      </c>
      <c r="B168" s="38" t="s">
        <v>84</v>
      </c>
      <c r="C168" s="38" t="s">
        <v>1449</v>
      </c>
      <c r="D168" s="38" t="s">
        <v>64</v>
      </c>
      <c r="E168" s="38" t="s">
        <v>19</v>
      </c>
      <c r="F168" s="38"/>
      <c r="G168" s="38" t="s">
        <v>23</v>
      </c>
      <c r="H168" s="43">
        <v>55000</v>
      </c>
      <c r="I168" s="44">
        <v>12.4</v>
      </c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6" x14ac:dyDescent="0.15">
      <c r="A169" s="45">
        <v>46010</v>
      </c>
      <c r="B169" s="38"/>
      <c r="C169" s="38"/>
      <c r="D169" s="38"/>
      <c r="E169" s="38" t="s">
        <v>61</v>
      </c>
      <c r="F169" s="38"/>
      <c r="G169" s="38"/>
      <c r="H169" s="43">
        <v>15000</v>
      </c>
      <c r="I169" s="44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6" x14ac:dyDescent="0.15">
      <c r="A170" s="45">
        <v>46011</v>
      </c>
      <c r="B170" s="38" t="s">
        <v>1810</v>
      </c>
      <c r="C170" s="38" t="s">
        <v>83</v>
      </c>
      <c r="D170" s="38" t="s">
        <v>64</v>
      </c>
      <c r="E170" s="38" t="s">
        <v>13</v>
      </c>
      <c r="F170" s="38"/>
      <c r="G170" s="38"/>
      <c r="H170" s="43">
        <v>80000</v>
      </c>
      <c r="I170" s="44">
        <v>8.3000000000000007</v>
      </c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6" x14ac:dyDescent="0.15">
      <c r="A171" s="45">
        <v>46011</v>
      </c>
      <c r="B171" s="38" t="s">
        <v>1811</v>
      </c>
      <c r="C171" s="38" t="s">
        <v>1812</v>
      </c>
      <c r="D171" s="38" t="s">
        <v>196</v>
      </c>
      <c r="E171" s="38" t="s">
        <v>94</v>
      </c>
      <c r="F171" s="38"/>
      <c r="G171" s="38"/>
      <c r="H171" s="43">
        <v>50000</v>
      </c>
      <c r="I171" s="44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6" x14ac:dyDescent="0.15">
      <c r="A172" s="45">
        <v>46011</v>
      </c>
      <c r="B172" s="38" t="s">
        <v>1689</v>
      </c>
      <c r="C172" s="38" t="s">
        <v>1468</v>
      </c>
      <c r="D172" s="38" t="s">
        <v>32</v>
      </c>
      <c r="E172" s="38" t="s">
        <v>19</v>
      </c>
      <c r="F172" s="38"/>
      <c r="G172" s="38"/>
      <c r="H172" s="43">
        <v>75000</v>
      </c>
      <c r="I172" s="44">
        <v>2.7</v>
      </c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6" x14ac:dyDescent="0.15">
      <c r="A173" s="45">
        <v>46011</v>
      </c>
      <c r="B173" s="38" t="s">
        <v>1813</v>
      </c>
      <c r="C173" s="38" t="s">
        <v>1814</v>
      </c>
      <c r="D173" s="38" t="s">
        <v>64</v>
      </c>
      <c r="E173" s="38" t="s">
        <v>19</v>
      </c>
      <c r="F173" s="38"/>
      <c r="G173" s="38"/>
      <c r="H173" s="43">
        <v>55000</v>
      </c>
      <c r="I173" s="44">
        <v>4.8</v>
      </c>
      <c r="J173" s="38"/>
      <c r="K173" s="38" t="s">
        <v>1661</v>
      </c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6" x14ac:dyDescent="0.15">
      <c r="A174" s="45">
        <v>46011</v>
      </c>
      <c r="B174" s="46" t="s">
        <v>132</v>
      </c>
      <c r="C174" s="38" t="s">
        <v>36</v>
      </c>
      <c r="D174" s="38" t="s">
        <v>18</v>
      </c>
      <c r="E174" s="38" t="s">
        <v>19</v>
      </c>
      <c r="F174" s="38"/>
      <c r="G174" s="38"/>
      <c r="H174" s="43" t="s">
        <v>114</v>
      </c>
      <c r="I174" s="44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6" x14ac:dyDescent="0.15">
      <c r="A175" s="45">
        <v>46011</v>
      </c>
      <c r="B175" s="38" t="s">
        <v>689</v>
      </c>
      <c r="C175" s="38" t="s">
        <v>126</v>
      </c>
      <c r="D175" s="38" t="s">
        <v>165</v>
      </c>
      <c r="E175" s="38" t="s">
        <v>13</v>
      </c>
      <c r="F175" s="38"/>
      <c r="G175" s="38"/>
      <c r="H175" s="43">
        <v>85000</v>
      </c>
      <c r="I175" s="44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6" x14ac:dyDescent="0.15">
      <c r="A176" s="45">
        <v>46011</v>
      </c>
      <c r="B176" s="38" t="s">
        <v>1815</v>
      </c>
      <c r="C176" s="38" t="s">
        <v>1816</v>
      </c>
      <c r="D176" s="38" t="s">
        <v>119</v>
      </c>
      <c r="E176" s="38" t="s">
        <v>19</v>
      </c>
      <c r="F176" s="38" t="s">
        <v>1817</v>
      </c>
      <c r="G176" s="38" t="s">
        <v>23</v>
      </c>
      <c r="H176" s="43">
        <v>30000</v>
      </c>
      <c r="I176" s="44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6" x14ac:dyDescent="0.15">
      <c r="A177" s="45">
        <v>46011</v>
      </c>
      <c r="B177" s="38" t="s">
        <v>858</v>
      </c>
      <c r="C177" s="38" t="s">
        <v>859</v>
      </c>
      <c r="D177" s="38" t="s">
        <v>32</v>
      </c>
      <c r="E177" s="38" t="s">
        <v>19</v>
      </c>
      <c r="F177" s="38"/>
      <c r="G177" s="38" t="s">
        <v>14</v>
      </c>
      <c r="H177" s="43">
        <v>70000</v>
      </c>
      <c r="I177" s="44">
        <v>5.8</v>
      </c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6" x14ac:dyDescent="0.15">
      <c r="A178" s="45">
        <v>46011</v>
      </c>
      <c r="B178" s="38" t="s">
        <v>1436</v>
      </c>
      <c r="C178" s="38" t="s">
        <v>83</v>
      </c>
      <c r="D178" s="38" t="s">
        <v>119</v>
      </c>
      <c r="E178" s="38" t="s">
        <v>19</v>
      </c>
      <c r="F178" s="38"/>
      <c r="G178" s="38" t="s">
        <v>23</v>
      </c>
      <c r="H178" s="43">
        <v>55000</v>
      </c>
      <c r="I178" s="44">
        <v>12.6</v>
      </c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6" x14ac:dyDescent="0.15">
      <c r="A179" s="45">
        <v>46011</v>
      </c>
      <c r="B179" s="38" t="s">
        <v>329</v>
      </c>
      <c r="C179" s="38" t="s">
        <v>330</v>
      </c>
      <c r="D179" s="38" t="s">
        <v>119</v>
      </c>
      <c r="E179" s="38" t="s">
        <v>19</v>
      </c>
      <c r="F179" s="38"/>
      <c r="G179" s="38" t="s">
        <v>23</v>
      </c>
      <c r="H179" s="43">
        <v>55000</v>
      </c>
      <c r="I179" s="44">
        <v>8.1</v>
      </c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6" x14ac:dyDescent="0.15">
      <c r="A180" s="45">
        <v>46011</v>
      </c>
      <c r="B180" s="38" t="s">
        <v>329</v>
      </c>
      <c r="C180" s="38" t="s">
        <v>137</v>
      </c>
      <c r="D180" s="38" t="s">
        <v>119</v>
      </c>
      <c r="E180" s="38" t="s">
        <v>19</v>
      </c>
      <c r="F180" s="38"/>
      <c r="G180" s="38" t="s">
        <v>23</v>
      </c>
      <c r="H180" s="43">
        <v>55000</v>
      </c>
      <c r="I180" s="44">
        <v>8</v>
      </c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6" x14ac:dyDescent="0.15">
      <c r="A181" s="45">
        <v>46011</v>
      </c>
      <c r="B181" s="38" t="s">
        <v>1818</v>
      </c>
      <c r="C181" s="38" t="s">
        <v>946</v>
      </c>
      <c r="D181" s="38" t="s">
        <v>196</v>
      </c>
      <c r="E181" s="38" t="s">
        <v>94</v>
      </c>
      <c r="F181" s="38"/>
      <c r="G181" s="38" t="s">
        <v>14</v>
      </c>
      <c r="H181" s="43">
        <v>100000</v>
      </c>
      <c r="I181" s="44">
        <v>18</v>
      </c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6" x14ac:dyDescent="0.15">
      <c r="A182" s="45">
        <v>46011</v>
      </c>
      <c r="B182" s="38" t="s">
        <v>1818</v>
      </c>
      <c r="C182" s="38" t="s">
        <v>1097</v>
      </c>
      <c r="D182" s="38" t="s">
        <v>88</v>
      </c>
      <c r="E182" s="38" t="s">
        <v>13</v>
      </c>
      <c r="F182" s="38"/>
      <c r="G182" s="38" t="s">
        <v>14</v>
      </c>
      <c r="H182" s="43">
        <v>80000</v>
      </c>
      <c r="I182" s="44">
        <v>2.9</v>
      </c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6" x14ac:dyDescent="0.15">
      <c r="A183" s="45">
        <v>46011</v>
      </c>
      <c r="B183" s="38" t="s">
        <v>1819</v>
      </c>
      <c r="C183" s="38" t="s">
        <v>625</v>
      </c>
      <c r="D183" s="38" t="s">
        <v>18</v>
      </c>
      <c r="E183" s="38" t="s">
        <v>13</v>
      </c>
      <c r="F183" s="38"/>
      <c r="G183" s="38" t="s">
        <v>14</v>
      </c>
      <c r="H183" s="43">
        <v>85000</v>
      </c>
      <c r="I183" s="44">
        <v>16</v>
      </c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6" x14ac:dyDescent="0.15">
      <c r="A184" s="45">
        <v>46011</v>
      </c>
      <c r="B184" s="38"/>
      <c r="C184" s="38"/>
      <c r="D184" s="38"/>
      <c r="E184" s="38" t="s">
        <v>61</v>
      </c>
      <c r="F184" s="38"/>
      <c r="G184" s="38"/>
      <c r="H184" s="43">
        <v>10000</v>
      </c>
      <c r="I184" s="44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6" x14ac:dyDescent="0.15">
      <c r="A185" s="45">
        <v>46011</v>
      </c>
      <c r="B185" s="38"/>
      <c r="C185" s="38"/>
      <c r="D185" s="38"/>
      <c r="E185" s="38" t="s">
        <v>61</v>
      </c>
      <c r="F185" s="38"/>
      <c r="G185" s="38"/>
      <c r="H185" s="43">
        <v>10000</v>
      </c>
      <c r="I185" s="44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6" x14ac:dyDescent="0.15">
      <c r="A186" s="45">
        <v>46012</v>
      </c>
      <c r="B186" s="38" t="s">
        <v>800</v>
      </c>
      <c r="C186" s="38" t="s">
        <v>1820</v>
      </c>
      <c r="D186" s="38" t="s">
        <v>32</v>
      </c>
      <c r="E186" s="38" t="s">
        <v>13</v>
      </c>
      <c r="F186" s="38"/>
      <c r="G186" s="38" t="s">
        <v>14</v>
      </c>
      <c r="H186" s="43">
        <v>80000</v>
      </c>
      <c r="I186" s="44">
        <v>4.5</v>
      </c>
      <c r="J186" s="38"/>
      <c r="K186" s="38" t="s">
        <v>160</v>
      </c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6" x14ac:dyDescent="0.15">
      <c r="A187" s="45">
        <v>46012</v>
      </c>
      <c r="B187" s="38" t="s">
        <v>102</v>
      </c>
      <c r="C187" s="38" t="s">
        <v>103</v>
      </c>
      <c r="D187" s="38" t="s">
        <v>64</v>
      </c>
      <c r="E187" s="38" t="s">
        <v>13</v>
      </c>
      <c r="F187" s="38"/>
      <c r="G187" s="38" t="s">
        <v>14</v>
      </c>
      <c r="H187" s="43">
        <v>85000</v>
      </c>
      <c r="I187" s="44">
        <v>8</v>
      </c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6" x14ac:dyDescent="0.15">
      <c r="A188" s="45">
        <v>46012</v>
      </c>
      <c r="B188" s="38" t="s">
        <v>102</v>
      </c>
      <c r="C188" s="38" t="s">
        <v>349</v>
      </c>
      <c r="D188" s="38" t="s">
        <v>26</v>
      </c>
      <c r="E188" s="38" t="s">
        <v>13</v>
      </c>
      <c r="F188" s="38"/>
      <c r="G188" s="38" t="s">
        <v>14</v>
      </c>
      <c r="H188" s="43">
        <v>80000</v>
      </c>
      <c r="I188" s="44">
        <v>7.4</v>
      </c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6" x14ac:dyDescent="0.15">
      <c r="A189" s="45">
        <v>46012</v>
      </c>
      <c r="B189" s="38" t="s">
        <v>1821</v>
      </c>
      <c r="C189" s="38" t="s">
        <v>1822</v>
      </c>
      <c r="D189" s="38" t="s">
        <v>371</v>
      </c>
      <c r="E189" s="38" t="s">
        <v>19</v>
      </c>
      <c r="F189" s="38"/>
      <c r="G189" s="38" t="s">
        <v>23</v>
      </c>
      <c r="H189" s="43">
        <v>70000</v>
      </c>
      <c r="I189" s="44"/>
      <c r="J189" s="38"/>
      <c r="K189" s="38" t="s">
        <v>1661</v>
      </c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6" x14ac:dyDescent="0.15">
      <c r="A190" s="45">
        <v>46012</v>
      </c>
      <c r="B190" s="38" t="s">
        <v>1516</v>
      </c>
      <c r="C190" s="38" t="s">
        <v>1823</v>
      </c>
      <c r="D190" s="38" t="s">
        <v>64</v>
      </c>
      <c r="E190" s="38" t="s">
        <v>19</v>
      </c>
      <c r="F190" s="38"/>
      <c r="G190" s="38" t="s">
        <v>23</v>
      </c>
      <c r="H190" s="43">
        <v>55000</v>
      </c>
      <c r="I190" s="44">
        <v>10.5</v>
      </c>
      <c r="J190" s="38"/>
      <c r="K190" s="38" t="s">
        <v>160</v>
      </c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6" x14ac:dyDescent="0.15">
      <c r="A191" s="45">
        <v>46012</v>
      </c>
      <c r="B191" s="38" t="s">
        <v>1560</v>
      </c>
      <c r="C191" s="38" t="s">
        <v>641</v>
      </c>
      <c r="D191" s="38" t="s">
        <v>196</v>
      </c>
      <c r="E191" s="38" t="s">
        <v>94</v>
      </c>
      <c r="F191" s="38"/>
      <c r="G191" s="38" t="s">
        <v>14</v>
      </c>
      <c r="H191" s="43">
        <v>85000</v>
      </c>
      <c r="I191" s="44">
        <v>36</v>
      </c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6" x14ac:dyDescent="0.15">
      <c r="A192" s="45">
        <v>46012</v>
      </c>
      <c r="B192" s="38" t="s">
        <v>1727</v>
      </c>
      <c r="C192" s="38" t="s">
        <v>157</v>
      </c>
      <c r="D192" s="38" t="s">
        <v>18</v>
      </c>
      <c r="E192" s="38" t="s">
        <v>13</v>
      </c>
      <c r="F192" s="38"/>
      <c r="G192" s="38" t="s">
        <v>14</v>
      </c>
      <c r="H192" s="43">
        <v>150000</v>
      </c>
      <c r="I192" s="44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6" x14ac:dyDescent="0.15">
      <c r="A193" s="45">
        <v>46012</v>
      </c>
      <c r="B193" s="38" t="s">
        <v>545</v>
      </c>
      <c r="C193" s="38" t="s">
        <v>882</v>
      </c>
      <c r="D193" s="38" t="s">
        <v>88</v>
      </c>
      <c r="E193" s="38" t="s">
        <v>13</v>
      </c>
      <c r="F193" s="38"/>
      <c r="G193" s="38" t="s">
        <v>14</v>
      </c>
      <c r="H193" s="43">
        <v>85000</v>
      </c>
      <c r="I193" s="44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6" x14ac:dyDescent="0.15">
      <c r="A194" s="45">
        <v>46012</v>
      </c>
      <c r="B194" s="38" t="s">
        <v>1232</v>
      </c>
      <c r="C194" s="38" t="s">
        <v>742</v>
      </c>
      <c r="D194" s="38" t="s">
        <v>196</v>
      </c>
      <c r="E194" s="38" t="s">
        <v>94</v>
      </c>
      <c r="F194" s="38"/>
      <c r="G194" s="38" t="s">
        <v>14</v>
      </c>
      <c r="H194" s="43">
        <v>75000</v>
      </c>
      <c r="I194" s="44">
        <v>12.7</v>
      </c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6" x14ac:dyDescent="0.15">
      <c r="A195" s="45">
        <v>46012</v>
      </c>
      <c r="B195" s="38" t="s">
        <v>1824</v>
      </c>
      <c r="C195" s="38" t="s">
        <v>1825</v>
      </c>
      <c r="D195" s="38" t="s">
        <v>131</v>
      </c>
      <c r="E195" s="38" t="s">
        <v>19</v>
      </c>
      <c r="F195" s="38"/>
      <c r="G195" s="38" t="s">
        <v>14</v>
      </c>
      <c r="H195" s="43">
        <v>100000</v>
      </c>
      <c r="I195" s="44"/>
      <c r="J195" s="38" t="s">
        <v>37</v>
      </c>
      <c r="K195" s="38" t="s">
        <v>1661</v>
      </c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6" x14ac:dyDescent="0.15">
      <c r="A196" s="45">
        <v>46012</v>
      </c>
      <c r="B196" s="38" t="s">
        <v>1826</v>
      </c>
      <c r="C196" s="38" t="s">
        <v>1827</v>
      </c>
      <c r="D196" s="38" t="s">
        <v>88</v>
      </c>
      <c r="E196" s="38" t="s">
        <v>13</v>
      </c>
      <c r="F196" s="38"/>
      <c r="G196" s="38" t="s">
        <v>14</v>
      </c>
      <c r="H196" s="43">
        <v>85000</v>
      </c>
      <c r="I196" s="44">
        <v>3.2</v>
      </c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6" x14ac:dyDescent="0.15">
      <c r="A197" s="45">
        <v>46012</v>
      </c>
      <c r="B197" s="38" t="s">
        <v>1828</v>
      </c>
      <c r="C197" s="38" t="s">
        <v>916</v>
      </c>
      <c r="D197" s="38" t="s">
        <v>64</v>
      </c>
      <c r="E197" s="38" t="s">
        <v>13</v>
      </c>
      <c r="F197" s="38" t="s">
        <v>1665</v>
      </c>
      <c r="G197" s="38" t="s">
        <v>14</v>
      </c>
      <c r="H197" s="43">
        <v>90000</v>
      </c>
      <c r="I197" s="44">
        <v>6</v>
      </c>
      <c r="J197" s="38"/>
      <c r="K197" s="38" t="s">
        <v>1661</v>
      </c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6" x14ac:dyDescent="0.15">
      <c r="A198" s="45">
        <v>46013</v>
      </c>
      <c r="B198" s="38" t="s">
        <v>1631</v>
      </c>
      <c r="C198" s="38" t="s">
        <v>159</v>
      </c>
      <c r="D198" s="38" t="s">
        <v>26</v>
      </c>
      <c r="E198" s="38" t="s">
        <v>13</v>
      </c>
      <c r="F198" s="38"/>
      <c r="G198" s="38" t="s">
        <v>14</v>
      </c>
      <c r="H198" s="43">
        <v>85000</v>
      </c>
      <c r="I198" s="44">
        <v>8.5</v>
      </c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6" x14ac:dyDescent="0.15">
      <c r="A199" s="45">
        <v>46013</v>
      </c>
      <c r="B199" s="38" t="s">
        <v>1631</v>
      </c>
      <c r="C199" s="38" t="s">
        <v>815</v>
      </c>
      <c r="D199" s="38" t="s">
        <v>196</v>
      </c>
      <c r="E199" s="38" t="s">
        <v>94</v>
      </c>
      <c r="F199" s="38"/>
      <c r="G199" s="38" t="s">
        <v>14</v>
      </c>
      <c r="H199" s="43">
        <v>85000</v>
      </c>
      <c r="I199" s="44">
        <v>23.1</v>
      </c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6" x14ac:dyDescent="0.15">
      <c r="A200" s="45">
        <v>46013</v>
      </c>
      <c r="B200" s="38" t="s">
        <v>1631</v>
      </c>
      <c r="C200" s="38" t="s">
        <v>1056</v>
      </c>
      <c r="D200" s="38" t="s">
        <v>64</v>
      </c>
      <c r="E200" s="38" t="s">
        <v>19</v>
      </c>
      <c r="F200" s="38"/>
      <c r="G200" s="38" t="s">
        <v>23</v>
      </c>
      <c r="H200" s="43">
        <v>55000</v>
      </c>
      <c r="I200" s="44">
        <v>16.3</v>
      </c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6" x14ac:dyDescent="0.15">
      <c r="A201" s="45">
        <v>46013</v>
      </c>
      <c r="B201" s="38" t="s">
        <v>1072</v>
      </c>
      <c r="C201" s="38" t="s">
        <v>1073</v>
      </c>
      <c r="D201" s="38" t="s">
        <v>165</v>
      </c>
      <c r="E201" s="38" t="s">
        <v>13</v>
      </c>
      <c r="F201" s="38"/>
      <c r="G201" s="38" t="s">
        <v>14</v>
      </c>
      <c r="H201" s="43">
        <v>75000</v>
      </c>
      <c r="I201" s="44">
        <v>4.2</v>
      </c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6" x14ac:dyDescent="0.15">
      <c r="A202" s="45">
        <v>46013</v>
      </c>
      <c r="B202" s="38" t="s">
        <v>1045</v>
      </c>
      <c r="C202" s="38" t="s">
        <v>550</v>
      </c>
      <c r="D202" s="38" t="s">
        <v>26</v>
      </c>
      <c r="E202" s="38" t="s">
        <v>13</v>
      </c>
      <c r="F202" s="38"/>
      <c r="G202" s="38" t="s">
        <v>14</v>
      </c>
      <c r="H202" s="43">
        <v>95000</v>
      </c>
      <c r="I202" s="44">
        <v>9.5</v>
      </c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6" x14ac:dyDescent="0.15">
      <c r="A203" s="45">
        <v>46013</v>
      </c>
      <c r="B203" s="38" t="s">
        <v>1829</v>
      </c>
      <c r="C203" s="38" t="s">
        <v>51</v>
      </c>
      <c r="D203" s="38" t="s">
        <v>64</v>
      </c>
      <c r="E203" s="38" t="s">
        <v>13</v>
      </c>
      <c r="F203" s="38"/>
      <c r="G203" s="38" t="s">
        <v>14</v>
      </c>
      <c r="H203" s="43">
        <v>80000</v>
      </c>
      <c r="I203" s="44">
        <v>15.2</v>
      </c>
      <c r="J203" s="38"/>
      <c r="K203" s="38" t="s">
        <v>1661</v>
      </c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6" x14ac:dyDescent="0.15">
      <c r="A204" s="45">
        <v>46013</v>
      </c>
      <c r="B204" s="38" t="s">
        <v>158</v>
      </c>
      <c r="C204" s="38" t="s">
        <v>159</v>
      </c>
      <c r="D204" s="38" t="s">
        <v>1229</v>
      </c>
      <c r="E204" s="38" t="s">
        <v>19</v>
      </c>
      <c r="F204" s="38"/>
      <c r="G204" s="38" t="s">
        <v>23</v>
      </c>
      <c r="H204" s="43">
        <v>30000</v>
      </c>
      <c r="I204" s="44">
        <v>3.4</v>
      </c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6" x14ac:dyDescent="0.15">
      <c r="A205" s="45">
        <v>46013</v>
      </c>
      <c r="B205" s="38" t="s">
        <v>204</v>
      </c>
      <c r="C205" s="38" t="s">
        <v>510</v>
      </c>
      <c r="D205" s="38" t="s">
        <v>88</v>
      </c>
      <c r="E205" s="38" t="s">
        <v>13</v>
      </c>
      <c r="F205" s="38"/>
      <c r="G205" s="38" t="s">
        <v>14</v>
      </c>
      <c r="H205" s="43">
        <v>80000</v>
      </c>
      <c r="I205" s="44">
        <v>5.8</v>
      </c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6" x14ac:dyDescent="0.15">
      <c r="A206" s="45">
        <v>46013</v>
      </c>
      <c r="B206" s="38" t="s">
        <v>850</v>
      </c>
      <c r="C206" s="38" t="s">
        <v>663</v>
      </c>
      <c r="D206" s="38" t="s">
        <v>1229</v>
      </c>
      <c r="E206" s="38" t="s">
        <v>19</v>
      </c>
      <c r="F206" s="38"/>
      <c r="G206" s="38" t="s">
        <v>23</v>
      </c>
      <c r="H206" s="43">
        <v>30000</v>
      </c>
      <c r="I206" s="44">
        <v>3.1</v>
      </c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6" x14ac:dyDescent="0.15">
      <c r="A207" s="45">
        <v>46013</v>
      </c>
      <c r="B207" s="38" t="s">
        <v>161</v>
      </c>
      <c r="C207" s="38" t="s">
        <v>162</v>
      </c>
      <c r="D207" s="38" t="s">
        <v>32</v>
      </c>
      <c r="E207" s="38" t="s">
        <v>19</v>
      </c>
      <c r="F207" s="38"/>
      <c r="G207" s="38" t="s">
        <v>14</v>
      </c>
      <c r="H207" s="43">
        <v>70000</v>
      </c>
      <c r="I207" s="44">
        <v>1.7</v>
      </c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6" x14ac:dyDescent="0.15">
      <c r="A208" s="45">
        <v>46013</v>
      </c>
      <c r="B208" s="38" t="s">
        <v>1830</v>
      </c>
      <c r="C208" s="38" t="s">
        <v>1831</v>
      </c>
      <c r="D208" s="38" t="s">
        <v>64</v>
      </c>
      <c r="E208" s="38" t="s">
        <v>19</v>
      </c>
      <c r="F208" s="38"/>
      <c r="G208" s="38" t="s">
        <v>23</v>
      </c>
      <c r="H208" s="43">
        <v>55000</v>
      </c>
      <c r="I208" s="44">
        <v>9.5</v>
      </c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6" x14ac:dyDescent="0.15">
      <c r="A209" s="45">
        <v>46013</v>
      </c>
      <c r="B209" s="38" t="s">
        <v>1063</v>
      </c>
      <c r="C209" s="38" t="s">
        <v>1260</v>
      </c>
      <c r="D209" s="38" t="s">
        <v>119</v>
      </c>
      <c r="E209" s="38" t="s">
        <v>19</v>
      </c>
      <c r="F209" s="38"/>
      <c r="G209" s="38" t="s">
        <v>23</v>
      </c>
      <c r="H209" s="43">
        <v>55000</v>
      </c>
      <c r="I209" s="44">
        <v>17.600000000000001</v>
      </c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6" x14ac:dyDescent="0.15">
      <c r="A210" s="45">
        <v>46013</v>
      </c>
      <c r="B210" s="38" t="s">
        <v>318</v>
      </c>
      <c r="C210" s="38" t="s">
        <v>1117</v>
      </c>
      <c r="D210" s="38" t="s">
        <v>88</v>
      </c>
      <c r="E210" s="38" t="s">
        <v>94</v>
      </c>
      <c r="F210" s="38"/>
      <c r="G210" s="38" t="s">
        <v>14</v>
      </c>
      <c r="H210" s="43">
        <v>55000</v>
      </c>
      <c r="I210" s="44">
        <v>4.4000000000000004</v>
      </c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6" x14ac:dyDescent="0.15">
      <c r="A211" s="45">
        <v>46013</v>
      </c>
      <c r="B211" s="38" t="s">
        <v>318</v>
      </c>
      <c r="C211" s="38" t="s">
        <v>1471</v>
      </c>
      <c r="D211" s="38" t="s">
        <v>88</v>
      </c>
      <c r="E211" s="38" t="s">
        <v>94</v>
      </c>
      <c r="F211" s="38"/>
      <c r="G211" s="38" t="s">
        <v>14</v>
      </c>
      <c r="H211" s="43">
        <v>50000</v>
      </c>
      <c r="I211" s="44">
        <v>3.7</v>
      </c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6" x14ac:dyDescent="0.15">
      <c r="A212" s="45">
        <v>46013</v>
      </c>
      <c r="B212" s="38" t="s">
        <v>318</v>
      </c>
      <c r="C212" s="38" t="s">
        <v>996</v>
      </c>
      <c r="D212" s="38" t="s">
        <v>88</v>
      </c>
      <c r="E212" s="38" t="s">
        <v>94</v>
      </c>
      <c r="F212" s="38"/>
      <c r="G212" s="38" t="s">
        <v>14</v>
      </c>
      <c r="H212" s="43">
        <v>50000</v>
      </c>
      <c r="I212" s="44">
        <v>4.9000000000000004</v>
      </c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6" x14ac:dyDescent="0.15">
      <c r="A213" s="45">
        <v>46013</v>
      </c>
      <c r="B213" s="38" t="s">
        <v>1001</v>
      </c>
      <c r="C213" s="38" t="s">
        <v>370</v>
      </c>
      <c r="D213" s="38" t="s">
        <v>371</v>
      </c>
      <c r="E213" s="38" t="s">
        <v>19</v>
      </c>
      <c r="F213" s="38"/>
      <c r="G213" s="38" t="s">
        <v>23</v>
      </c>
      <c r="H213" s="43">
        <v>70000</v>
      </c>
      <c r="I213" s="44">
        <v>24</v>
      </c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6" x14ac:dyDescent="0.15">
      <c r="A214" s="45">
        <v>46013</v>
      </c>
      <c r="B214" s="38" t="s">
        <v>1142</v>
      </c>
      <c r="C214" s="38" t="s">
        <v>940</v>
      </c>
      <c r="D214" s="38" t="s">
        <v>1229</v>
      </c>
      <c r="E214" s="38" t="s">
        <v>19</v>
      </c>
      <c r="F214" s="38"/>
      <c r="G214" s="38" t="s">
        <v>23</v>
      </c>
      <c r="H214" s="43">
        <v>30000</v>
      </c>
      <c r="I214" s="44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6" x14ac:dyDescent="0.15">
      <c r="A215" s="45">
        <v>46013</v>
      </c>
      <c r="B215" s="38" t="s">
        <v>1751</v>
      </c>
      <c r="C215" s="38" t="s">
        <v>803</v>
      </c>
      <c r="D215" s="38" t="s">
        <v>32</v>
      </c>
      <c r="E215" s="38" t="s">
        <v>19</v>
      </c>
      <c r="F215" s="38"/>
      <c r="G215" s="38" t="s">
        <v>14</v>
      </c>
      <c r="H215" s="43">
        <v>75000</v>
      </c>
      <c r="I215" s="44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6" x14ac:dyDescent="0.15">
      <c r="A216" s="45">
        <v>46013</v>
      </c>
      <c r="B216" s="38" t="s">
        <v>1832</v>
      </c>
      <c r="C216" s="38" t="s">
        <v>996</v>
      </c>
      <c r="D216" s="38" t="s">
        <v>64</v>
      </c>
      <c r="E216" s="38" t="s">
        <v>19</v>
      </c>
      <c r="F216" s="38"/>
      <c r="G216" s="38" t="s">
        <v>23</v>
      </c>
      <c r="H216" s="43">
        <v>50000</v>
      </c>
      <c r="I216" s="44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6" x14ac:dyDescent="0.15">
      <c r="A217" s="45">
        <v>46013</v>
      </c>
      <c r="B217" s="38"/>
      <c r="C217" s="38"/>
      <c r="D217" s="38" t="s">
        <v>1229</v>
      </c>
      <c r="E217" s="38" t="s">
        <v>61</v>
      </c>
      <c r="F217" s="38"/>
      <c r="G217" s="38" t="s">
        <v>23</v>
      </c>
      <c r="H217" s="43">
        <v>10000</v>
      </c>
      <c r="I217" s="44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6" x14ac:dyDescent="0.15">
      <c r="A218" s="45">
        <v>46014</v>
      </c>
      <c r="B218" s="38" t="s">
        <v>1833</v>
      </c>
      <c r="C218" s="38" t="s">
        <v>1566</v>
      </c>
      <c r="D218" s="38" t="s">
        <v>131</v>
      </c>
      <c r="E218" s="38" t="s">
        <v>19</v>
      </c>
      <c r="F218" s="38"/>
      <c r="G218" s="38" t="s">
        <v>14</v>
      </c>
      <c r="H218" s="43">
        <v>85000</v>
      </c>
      <c r="I218" s="44">
        <v>34</v>
      </c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6" x14ac:dyDescent="0.15">
      <c r="A219" s="45">
        <v>46014</v>
      </c>
      <c r="B219" s="38" t="s">
        <v>1833</v>
      </c>
      <c r="C219" s="38" t="s">
        <v>63</v>
      </c>
      <c r="D219" s="38" t="s">
        <v>131</v>
      </c>
      <c r="E219" s="38" t="s">
        <v>19</v>
      </c>
      <c r="F219" s="38"/>
      <c r="G219" s="38" t="s">
        <v>14</v>
      </c>
      <c r="H219" s="43">
        <v>85000</v>
      </c>
      <c r="I219" s="44">
        <v>28</v>
      </c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6" x14ac:dyDescent="0.15">
      <c r="A220" s="45">
        <v>46014</v>
      </c>
      <c r="B220" s="38" t="s">
        <v>700</v>
      </c>
      <c r="C220" s="38" t="s">
        <v>1498</v>
      </c>
      <c r="D220" s="38" t="s">
        <v>64</v>
      </c>
      <c r="E220" s="38" t="s">
        <v>13</v>
      </c>
      <c r="F220" s="38"/>
      <c r="G220" s="38" t="s">
        <v>14</v>
      </c>
      <c r="H220" s="43">
        <v>70000</v>
      </c>
      <c r="I220" s="44">
        <v>3.7</v>
      </c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6" x14ac:dyDescent="0.15">
      <c r="A221" s="45">
        <v>46014</v>
      </c>
      <c r="B221" s="38" t="s">
        <v>1301</v>
      </c>
      <c r="C221" s="38" t="s">
        <v>51</v>
      </c>
      <c r="D221" s="38" t="s">
        <v>26</v>
      </c>
      <c r="E221" s="38" t="s">
        <v>13</v>
      </c>
      <c r="F221" s="38"/>
      <c r="G221" s="38" t="s">
        <v>14</v>
      </c>
      <c r="H221" s="43">
        <v>90000</v>
      </c>
      <c r="I221" s="44">
        <v>7.6</v>
      </c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6" x14ac:dyDescent="0.15">
      <c r="A222" s="45">
        <v>46014</v>
      </c>
      <c r="B222" s="38" t="s">
        <v>566</v>
      </c>
      <c r="C222" s="38" t="s">
        <v>1834</v>
      </c>
      <c r="D222" s="38" t="s">
        <v>26</v>
      </c>
      <c r="E222" s="38" t="s">
        <v>78</v>
      </c>
      <c r="F222" s="38"/>
      <c r="G222" s="38" t="s">
        <v>14</v>
      </c>
      <c r="H222" s="43">
        <v>80000</v>
      </c>
      <c r="I222" s="44">
        <v>4.5</v>
      </c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6" x14ac:dyDescent="0.15">
      <c r="A223" s="45">
        <v>46014</v>
      </c>
      <c r="B223" s="38" t="s">
        <v>1731</v>
      </c>
      <c r="C223" s="38" t="s">
        <v>625</v>
      </c>
      <c r="D223" s="38" t="s">
        <v>26</v>
      </c>
      <c r="E223" s="38" t="s">
        <v>19</v>
      </c>
      <c r="F223" s="38"/>
      <c r="G223" s="38" t="s">
        <v>14</v>
      </c>
      <c r="H223" s="43">
        <v>65000</v>
      </c>
      <c r="I223" s="44">
        <v>16</v>
      </c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6" x14ac:dyDescent="0.15">
      <c r="A224" s="45">
        <v>46014</v>
      </c>
      <c r="B224" s="38" t="s">
        <v>938</v>
      </c>
      <c r="C224" s="38" t="s">
        <v>53</v>
      </c>
      <c r="D224" s="38" t="s">
        <v>64</v>
      </c>
      <c r="E224" s="38" t="s">
        <v>19</v>
      </c>
      <c r="F224" s="38"/>
      <c r="G224" s="38" t="s">
        <v>23</v>
      </c>
      <c r="H224" s="43">
        <v>50000</v>
      </c>
      <c r="I224" s="44">
        <v>13.7</v>
      </c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6" x14ac:dyDescent="0.15">
      <c r="A225" s="45">
        <v>46014</v>
      </c>
      <c r="B225" s="38" t="s">
        <v>1835</v>
      </c>
      <c r="C225" s="38" t="s">
        <v>1836</v>
      </c>
      <c r="D225" s="38" t="s">
        <v>88</v>
      </c>
      <c r="E225" s="38" t="s">
        <v>94</v>
      </c>
      <c r="F225" s="38"/>
      <c r="G225" s="38" t="s">
        <v>14</v>
      </c>
      <c r="H225" s="43">
        <v>55000</v>
      </c>
      <c r="I225" s="44">
        <v>1.3</v>
      </c>
      <c r="J225" s="38"/>
      <c r="K225" s="38" t="s">
        <v>1661</v>
      </c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6" x14ac:dyDescent="0.15">
      <c r="A226" s="45">
        <v>46014</v>
      </c>
      <c r="B226" s="38" t="s">
        <v>636</v>
      </c>
      <c r="C226" s="38" t="s">
        <v>275</v>
      </c>
      <c r="D226" s="38" t="s">
        <v>165</v>
      </c>
      <c r="E226" s="38" t="s">
        <v>19</v>
      </c>
      <c r="F226" s="38"/>
      <c r="G226" s="38" t="s">
        <v>14</v>
      </c>
      <c r="H226" s="43">
        <v>70000</v>
      </c>
      <c r="I226" s="44">
        <v>7.7</v>
      </c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6" x14ac:dyDescent="0.15">
      <c r="A227" s="45">
        <v>46014</v>
      </c>
      <c r="B227" s="38" t="s">
        <v>636</v>
      </c>
      <c r="C227" s="38" t="s">
        <v>715</v>
      </c>
      <c r="D227" s="38" t="s">
        <v>165</v>
      </c>
      <c r="E227" s="38" t="s">
        <v>19</v>
      </c>
      <c r="F227" s="38"/>
      <c r="G227" s="38" t="s">
        <v>14</v>
      </c>
      <c r="H227" s="43">
        <v>70000</v>
      </c>
      <c r="I227" s="44">
        <v>6.8</v>
      </c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6" x14ac:dyDescent="0.15">
      <c r="A228" s="45">
        <v>46014</v>
      </c>
      <c r="B228" s="38" t="s">
        <v>54</v>
      </c>
      <c r="C228" s="38" t="s">
        <v>55</v>
      </c>
      <c r="D228" s="38" t="s">
        <v>32</v>
      </c>
      <c r="E228" s="38" t="s">
        <v>19</v>
      </c>
      <c r="F228" s="38"/>
      <c r="G228" s="38" t="s">
        <v>14</v>
      </c>
      <c r="H228" s="43">
        <v>65000</v>
      </c>
      <c r="I228" s="44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6" x14ac:dyDescent="0.15">
      <c r="A229" s="45">
        <v>46014</v>
      </c>
      <c r="B229" s="38" t="s">
        <v>1019</v>
      </c>
      <c r="C229" s="38" t="s">
        <v>162</v>
      </c>
      <c r="D229" s="38" t="s">
        <v>64</v>
      </c>
      <c r="E229" s="38" t="s">
        <v>19</v>
      </c>
      <c r="F229" s="38"/>
      <c r="G229" s="38" t="s">
        <v>23</v>
      </c>
      <c r="H229" s="43">
        <v>50000</v>
      </c>
      <c r="I229" s="38">
        <v>8.1</v>
      </c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6" x14ac:dyDescent="0.15">
      <c r="A230" s="45">
        <v>46014</v>
      </c>
      <c r="B230" s="38" t="s">
        <v>1040</v>
      </c>
      <c r="C230" s="38" t="s">
        <v>1041</v>
      </c>
      <c r="D230" s="38" t="s">
        <v>119</v>
      </c>
      <c r="E230" s="38" t="s">
        <v>19</v>
      </c>
      <c r="F230" s="38"/>
      <c r="G230" s="38" t="s">
        <v>23</v>
      </c>
      <c r="H230" s="43">
        <v>60000</v>
      </c>
      <c r="I230" s="44">
        <v>13.5</v>
      </c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6" x14ac:dyDescent="0.15">
      <c r="A231" s="45">
        <v>46014</v>
      </c>
      <c r="B231" s="38" t="s">
        <v>1490</v>
      </c>
      <c r="C231" s="38" t="s">
        <v>962</v>
      </c>
      <c r="D231" s="38" t="s">
        <v>26</v>
      </c>
      <c r="E231" s="38" t="s">
        <v>13</v>
      </c>
      <c r="F231" s="38"/>
      <c r="G231" s="38" t="s">
        <v>14</v>
      </c>
      <c r="H231" s="43">
        <v>95000</v>
      </c>
      <c r="I231" s="44">
        <v>5.5</v>
      </c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6" x14ac:dyDescent="0.15">
      <c r="A232" s="45">
        <v>46014</v>
      </c>
      <c r="B232" s="38" t="s">
        <v>1837</v>
      </c>
      <c r="C232" s="38" t="s">
        <v>1838</v>
      </c>
      <c r="D232" s="38" t="s">
        <v>64</v>
      </c>
      <c r="E232" s="38" t="s">
        <v>19</v>
      </c>
      <c r="F232" s="38"/>
      <c r="G232" s="38" t="s">
        <v>23</v>
      </c>
      <c r="H232" s="43">
        <v>55000</v>
      </c>
      <c r="I232" s="44">
        <v>18.5</v>
      </c>
      <c r="J232" s="38"/>
      <c r="K232" s="38" t="s">
        <v>1661</v>
      </c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6" x14ac:dyDescent="0.15">
      <c r="A233" s="45">
        <v>46014</v>
      </c>
      <c r="B233" s="38" t="s">
        <v>1553</v>
      </c>
      <c r="C233" s="38" t="s">
        <v>301</v>
      </c>
      <c r="D233" s="38" t="s">
        <v>26</v>
      </c>
      <c r="E233" s="38" t="s">
        <v>78</v>
      </c>
      <c r="F233" s="38"/>
      <c r="G233" s="38" t="s">
        <v>14</v>
      </c>
      <c r="H233" s="43">
        <v>75000</v>
      </c>
      <c r="I233" s="44">
        <v>4.5999999999999996</v>
      </c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6" x14ac:dyDescent="0.15">
      <c r="A234" s="45">
        <v>46014</v>
      </c>
      <c r="B234" s="38" t="s">
        <v>1839</v>
      </c>
      <c r="C234" s="38" t="s">
        <v>291</v>
      </c>
      <c r="D234" s="38" t="s">
        <v>26</v>
      </c>
      <c r="E234" s="38" t="s">
        <v>19</v>
      </c>
      <c r="F234" s="38"/>
      <c r="G234" s="38" t="s">
        <v>14</v>
      </c>
      <c r="H234" s="43">
        <v>80000</v>
      </c>
      <c r="I234" s="44">
        <v>5.0999999999999996</v>
      </c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6" x14ac:dyDescent="0.15">
      <c r="A235" s="45">
        <v>46014</v>
      </c>
      <c r="B235" s="38" t="s">
        <v>823</v>
      </c>
      <c r="C235" s="38" t="s">
        <v>1105</v>
      </c>
      <c r="D235" s="38" t="s">
        <v>26</v>
      </c>
      <c r="E235" s="38" t="s">
        <v>19</v>
      </c>
      <c r="F235" s="38"/>
      <c r="G235" s="38" t="s">
        <v>14</v>
      </c>
      <c r="H235" s="43">
        <v>65000</v>
      </c>
      <c r="I235" s="44">
        <v>7.6</v>
      </c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6" x14ac:dyDescent="0.15">
      <c r="A236" s="45">
        <v>46014</v>
      </c>
      <c r="B236" s="38" t="s">
        <v>1157</v>
      </c>
      <c r="C236" s="38" t="s">
        <v>301</v>
      </c>
      <c r="D236" s="38" t="s">
        <v>88</v>
      </c>
      <c r="E236" s="38" t="s">
        <v>94</v>
      </c>
      <c r="F236" s="38"/>
      <c r="G236" s="38" t="s">
        <v>14</v>
      </c>
      <c r="H236" s="43">
        <v>70000</v>
      </c>
      <c r="I236" s="44">
        <v>2.1</v>
      </c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6" x14ac:dyDescent="0.15">
      <c r="A237" s="45">
        <v>46014</v>
      </c>
      <c r="B237" s="38" t="s">
        <v>1392</v>
      </c>
      <c r="C237" s="38" t="s">
        <v>1393</v>
      </c>
      <c r="D237" s="38" t="s">
        <v>32</v>
      </c>
      <c r="E237" s="38" t="s">
        <v>13</v>
      </c>
      <c r="F237" s="38"/>
      <c r="G237" s="38" t="s">
        <v>14</v>
      </c>
      <c r="H237" s="43">
        <v>70000</v>
      </c>
      <c r="I237" s="44">
        <v>6</v>
      </c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6" x14ac:dyDescent="0.15">
      <c r="A238" s="45">
        <v>46014</v>
      </c>
      <c r="B238" s="38" t="s">
        <v>1840</v>
      </c>
      <c r="C238" s="38" t="s">
        <v>1841</v>
      </c>
      <c r="D238" s="38" t="s">
        <v>88</v>
      </c>
      <c r="E238" s="38" t="s">
        <v>13</v>
      </c>
      <c r="F238" s="38"/>
      <c r="G238" s="38" t="s">
        <v>14</v>
      </c>
      <c r="H238" s="43">
        <v>80000</v>
      </c>
      <c r="I238" s="44">
        <v>4.3</v>
      </c>
      <c r="J238" s="38"/>
      <c r="K238" s="38" t="s">
        <v>1661</v>
      </c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6" x14ac:dyDescent="0.15">
      <c r="A239" s="45">
        <v>46014</v>
      </c>
      <c r="B239" s="38" t="s">
        <v>1478</v>
      </c>
      <c r="C239" s="38" t="s">
        <v>965</v>
      </c>
      <c r="D239" s="38" t="s">
        <v>18</v>
      </c>
      <c r="E239" s="38" t="s">
        <v>19</v>
      </c>
      <c r="F239" s="38"/>
      <c r="G239" s="38" t="s">
        <v>14</v>
      </c>
      <c r="H239" s="43">
        <v>65000</v>
      </c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6" x14ac:dyDescent="0.15">
      <c r="A240" s="45">
        <v>46014</v>
      </c>
      <c r="B240" s="38"/>
      <c r="C240" s="38"/>
      <c r="D240" s="38" t="s">
        <v>1229</v>
      </c>
      <c r="E240" s="38" t="s">
        <v>61</v>
      </c>
      <c r="F240" s="38"/>
      <c r="G240" s="38" t="s">
        <v>23</v>
      </c>
      <c r="H240" s="43">
        <v>10000</v>
      </c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6" x14ac:dyDescent="0.15">
      <c r="A241" s="45">
        <v>46014</v>
      </c>
      <c r="B241" s="38"/>
      <c r="C241" s="38"/>
      <c r="D241" s="38" t="s">
        <v>22</v>
      </c>
      <c r="E241" s="38" t="s">
        <v>61</v>
      </c>
      <c r="F241" s="38"/>
      <c r="G241" s="38" t="s">
        <v>23</v>
      </c>
      <c r="H241" s="43">
        <v>10000</v>
      </c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6" x14ac:dyDescent="0.15">
      <c r="A242" s="45">
        <v>46015</v>
      </c>
      <c r="B242" s="38" t="s">
        <v>1842</v>
      </c>
      <c r="C242" s="38" t="s">
        <v>1843</v>
      </c>
      <c r="D242" s="38" t="s">
        <v>26</v>
      </c>
      <c r="E242" s="38" t="s">
        <v>13</v>
      </c>
      <c r="F242" s="38"/>
      <c r="G242" s="38" t="s">
        <v>14</v>
      </c>
      <c r="H242" s="43">
        <v>88000</v>
      </c>
      <c r="I242" s="38">
        <v>6.9</v>
      </c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6" x14ac:dyDescent="0.15">
      <c r="A243" s="45">
        <v>46015</v>
      </c>
      <c r="B243" s="38" t="s">
        <v>985</v>
      </c>
      <c r="C243" s="38" t="s">
        <v>738</v>
      </c>
      <c r="D243" s="38" t="s">
        <v>18</v>
      </c>
      <c r="E243" s="38" t="s">
        <v>19</v>
      </c>
      <c r="F243" s="38"/>
      <c r="G243" s="38" t="s">
        <v>14</v>
      </c>
      <c r="H243" s="43">
        <v>70000</v>
      </c>
      <c r="I243" s="38">
        <v>17.3</v>
      </c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6" x14ac:dyDescent="0.15">
      <c r="A244" s="45">
        <v>46015</v>
      </c>
      <c r="B244" s="38" t="s">
        <v>1844</v>
      </c>
      <c r="C244" s="38" t="s">
        <v>1845</v>
      </c>
      <c r="D244" s="38" t="s">
        <v>340</v>
      </c>
      <c r="E244" s="38" t="s">
        <v>19</v>
      </c>
      <c r="F244" s="38"/>
      <c r="G244" s="38" t="s">
        <v>23</v>
      </c>
      <c r="H244" s="43">
        <v>30000</v>
      </c>
      <c r="I244" s="38">
        <v>2.5</v>
      </c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6" x14ac:dyDescent="0.15">
      <c r="A245" s="45">
        <v>46015</v>
      </c>
      <c r="B245" s="38" t="s">
        <v>1846</v>
      </c>
      <c r="C245" s="38" t="s">
        <v>990</v>
      </c>
      <c r="D245" s="38" t="s">
        <v>29</v>
      </c>
      <c r="E245" s="38" t="s">
        <v>19</v>
      </c>
      <c r="F245" s="38"/>
      <c r="G245" s="38" t="s">
        <v>14</v>
      </c>
      <c r="H245" s="43">
        <v>65000</v>
      </c>
      <c r="I245" s="38">
        <v>10.8</v>
      </c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6" x14ac:dyDescent="0.15">
      <c r="A246" s="45">
        <v>46015</v>
      </c>
      <c r="B246" s="38" t="s">
        <v>1180</v>
      </c>
      <c r="C246" s="38" t="s">
        <v>1181</v>
      </c>
      <c r="D246" s="38" t="s">
        <v>196</v>
      </c>
      <c r="E246" s="38" t="s">
        <v>94</v>
      </c>
      <c r="F246" s="38"/>
      <c r="G246" s="38" t="s">
        <v>14</v>
      </c>
      <c r="H246" s="43">
        <v>90000</v>
      </c>
      <c r="I246" s="38">
        <v>21.5</v>
      </c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6" x14ac:dyDescent="0.15">
      <c r="A247" s="45">
        <v>46015</v>
      </c>
      <c r="B247" s="38" t="s">
        <v>1559</v>
      </c>
      <c r="C247" s="38" t="s">
        <v>651</v>
      </c>
      <c r="D247" s="38" t="s">
        <v>32</v>
      </c>
      <c r="E247" s="38" t="s">
        <v>13</v>
      </c>
      <c r="F247" s="38"/>
      <c r="G247" s="38" t="s">
        <v>14</v>
      </c>
      <c r="H247" s="43">
        <v>75000</v>
      </c>
      <c r="I247" s="38">
        <v>2.2999999999999998</v>
      </c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6" x14ac:dyDescent="0.15">
      <c r="A248" s="45">
        <v>46015</v>
      </c>
      <c r="B248" s="38" t="s">
        <v>314</v>
      </c>
      <c r="C248" s="38" t="s">
        <v>760</v>
      </c>
      <c r="D248" s="38" t="s">
        <v>26</v>
      </c>
      <c r="E248" s="38" t="s">
        <v>19</v>
      </c>
      <c r="F248" s="38"/>
      <c r="G248" s="38" t="s">
        <v>14</v>
      </c>
      <c r="H248" s="43">
        <v>75000</v>
      </c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6" x14ac:dyDescent="0.15">
      <c r="A249" s="45">
        <v>46015</v>
      </c>
      <c r="B249" s="38" t="s">
        <v>62</v>
      </c>
      <c r="C249" s="38" t="s">
        <v>63</v>
      </c>
      <c r="D249" s="38" t="s">
        <v>64</v>
      </c>
      <c r="E249" s="38" t="s">
        <v>19</v>
      </c>
      <c r="F249" s="38"/>
      <c r="G249" s="38" t="s">
        <v>14</v>
      </c>
      <c r="H249" s="43">
        <v>70000</v>
      </c>
      <c r="I249" s="38">
        <v>6</v>
      </c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6" x14ac:dyDescent="0.15">
      <c r="A250" s="45">
        <v>46015</v>
      </c>
      <c r="B250" s="38" t="s">
        <v>1168</v>
      </c>
      <c r="C250" s="38" t="s">
        <v>506</v>
      </c>
      <c r="D250" s="38" t="s">
        <v>88</v>
      </c>
      <c r="E250" s="38" t="s">
        <v>94</v>
      </c>
      <c r="F250" s="38"/>
      <c r="G250" s="38" t="s">
        <v>14</v>
      </c>
      <c r="H250" s="43">
        <v>65000</v>
      </c>
      <c r="I250" s="38">
        <v>5.5</v>
      </c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6" x14ac:dyDescent="0.15">
      <c r="A251" s="45">
        <v>46015</v>
      </c>
      <c r="B251" s="38" t="s">
        <v>230</v>
      </c>
      <c r="C251" s="38" t="s">
        <v>808</v>
      </c>
      <c r="D251" s="38" t="s">
        <v>64</v>
      </c>
      <c r="E251" s="38" t="s">
        <v>13</v>
      </c>
      <c r="F251" s="38"/>
      <c r="G251" s="38" t="s">
        <v>14</v>
      </c>
      <c r="H251" s="43">
        <v>70000</v>
      </c>
      <c r="I251" s="38">
        <v>27</v>
      </c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6" x14ac:dyDescent="0.15">
      <c r="A252" s="45">
        <v>46015</v>
      </c>
      <c r="B252" s="38" t="s">
        <v>1847</v>
      </c>
      <c r="C252" s="38" t="s">
        <v>180</v>
      </c>
      <c r="D252" s="38" t="s">
        <v>64</v>
      </c>
      <c r="E252" s="38" t="s">
        <v>19</v>
      </c>
      <c r="F252" s="38" t="s">
        <v>1848</v>
      </c>
      <c r="G252" s="38" t="s">
        <v>23</v>
      </c>
      <c r="H252" s="43">
        <v>30000</v>
      </c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6" x14ac:dyDescent="0.15">
      <c r="A253" s="45">
        <v>46015</v>
      </c>
      <c r="B253" s="38" t="s">
        <v>1849</v>
      </c>
      <c r="C253" s="38" t="s">
        <v>742</v>
      </c>
      <c r="D253" s="38" t="s">
        <v>88</v>
      </c>
      <c r="E253" s="38" t="s">
        <v>13</v>
      </c>
      <c r="F253" s="38"/>
      <c r="G253" s="38" t="s">
        <v>14</v>
      </c>
      <c r="H253" s="43">
        <v>80000</v>
      </c>
      <c r="I253" s="38">
        <v>6.3</v>
      </c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6" x14ac:dyDescent="0.15">
      <c r="A254" s="45">
        <v>46015</v>
      </c>
      <c r="B254" s="38" t="s">
        <v>1658</v>
      </c>
      <c r="C254" s="38" t="s">
        <v>712</v>
      </c>
      <c r="D254" s="38" t="s">
        <v>1229</v>
      </c>
      <c r="E254" s="38" t="s">
        <v>19</v>
      </c>
      <c r="F254" s="38"/>
      <c r="G254" s="38" t="s">
        <v>23</v>
      </c>
      <c r="H254" s="43" t="s">
        <v>1020</v>
      </c>
      <c r="I254" s="38">
        <v>3</v>
      </c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6" x14ac:dyDescent="0.15">
      <c r="A255" s="45">
        <v>46015</v>
      </c>
      <c r="B255" s="38" t="s">
        <v>1850</v>
      </c>
      <c r="C255" s="38" t="s">
        <v>46</v>
      </c>
      <c r="D255" s="38" t="s">
        <v>64</v>
      </c>
      <c r="E255" s="38" t="s">
        <v>19</v>
      </c>
      <c r="F255" s="38"/>
      <c r="G255" s="38" t="s">
        <v>23</v>
      </c>
      <c r="H255" s="43">
        <v>55000</v>
      </c>
      <c r="I255" s="38"/>
      <c r="J255" s="38"/>
      <c r="K255" s="38" t="s">
        <v>1661</v>
      </c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6" x14ac:dyDescent="0.15">
      <c r="A256" s="45">
        <v>46015</v>
      </c>
      <c r="B256" s="38" t="s">
        <v>1850</v>
      </c>
      <c r="C256" s="38" t="s">
        <v>74</v>
      </c>
      <c r="D256" s="38" t="s">
        <v>64</v>
      </c>
      <c r="E256" s="38" t="s">
        <v>19</v>
      </c>
      <c r="F256" s="38"/>
      <c r="G256" s="38" t="s">
        <v>23</v>
      </c>
      <c r="H256" s="43">
        <v>75000</v>
      </c>
      <c r="I256" s="38"/>
      <c r="J256" s="38"/>
      <c r="K256" s="38" t="s">
        <v>1661</v>
      </c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6" x14ac:dyDescent="0.15">
      <c r="A257" s="45">
        <v>46015</v>
      </c>
      <c r="B257" s="38" t="s">
        <v>1851</v>
      </c>
      <c r="C257" s="38" t="s">
        <v>916</v>
      </c>
      <c r="D257" s="38" t="s">
        <v>1229</v>
      </c>
      <c r="E257" s="38" t="s">
        <v>19</v>
      </c>
      <c r="F257" s="38"/>
      <c r="G257" s="38" t="s">
        <v>23</v>
      </c>
      <c r="H257" s="43">
        <v>30000</v>
      </c>
      <c r="I257" s="38">
        <v>5.0999999999999996</v>
      </c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6" x14ac:dyDescent="0.15">
      <c r="A258" s="45">
        <v>46015</v>
      </c>
      <c r="B258" s="38" t="s">
        <v>1852</v>
      </c>
      <c r="C258" s="38" t="s">
        <v>916</v>
      </c>
      <c r="D258" s="38" t="s">
        <v>1229</v>
      </c>
      <c r="E258" s="38" t="s">
        <v>19</v>
      </c>
      <c r="F258" s="38"/>
      <c r="G258" s="38" t="s">
        <v>23</v>
      </c>
      <c r="H258" s="43">
        <v>30000</v>
      </c>
      <c r="I258" s="38">
        <v>3</v>
      </c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6" x14ac:dyDescent="0.15">
      <c r="A259" s="45">
        <v>46015</v>
      </c>
      <c r="B259" s="38" t="s">
        <v>1853</v>
      </c>
      <c r="C259" s="38" t="s">
        <v>31</v>
      </c>
      <c r="D259" s="38" t="s">
        <v>22</v>
      </c>
      <c r="E259" s="38" t="s">
        <v>19</v>
      </c>
      <c r="F259" s="38"/>
      <c r="G259" s="38" t="s">
        <v>23</v>
      </c>
      <c r="H259" s="43">
        <v>60000</v>
      </c>
      <c r="I259" s="38">
        <v>9.6999999999999993</v>
      </c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6" x14ac:dyDescent="0.15">
      <c r="A260" s="45">
        <v>46015</v>
      </c>
      <c r="B260" s="38" t="s">
        <v>1092</v>
      </c>
      <c r="C260" s="38" t="s">
        <v>526</v>
      </c>
      <c r="D260" s="38" t="s">
        <v>22</v>
      </c>
      <c r="E260" s="38" t="s">
        <v>19</v>
      </c>
      <c r="F260" s="38"/>
      <c r="G260" s="38" t="s">
        <v>23</v>
      </c>
      <c r="H260" s="43">
        <v>55000</v>
      </c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6" x14ac:dyDescent="0.15">
      <c r="A261" s="45">
        <v>46015</v>
      </c>
      <c r="B261" s="38" t="s">
        <v>1496</v>
      </c>
      <c r="C261" s="38" t="s">
        <v>893</v>
      </c>
      <c r="D261" s="38" t="s">
        <v>340</v>
      </c>
      <c r="E261" s="38" t="s">
        <v>19</v>
      </c>
      <c r="F261" s="38"/>
      <c r="G261" s="38" t="s">
        <v>23</v>
      </c>
      <c r="H261" s="43">
        <v>20000</v>
      </c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6" x14ac:dyDescent="0.15">
      <c r="A262" s="45">
        <v>46015</v>
      </c>
      <c r="B262" s="38"/>
      <c r="C262" s="38"/>
      <c r="D262" s="38" t="s">
        <v>64</v>
      </c>
      <c r="E262" s="38" t="s">
        <v>61</v>
      </c>
      <c r="F262" s="38"/>
      <c r="G262" s="38" t="s">
        <v>23</v>
      </c>
      <c r="H262" s="43">
        <v>15000</v>
      </c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6" x14ac:dyDescent="0.15">
      <c r="A263" s="45">
        <v>46015</v>
      </c>
      <c r="B263" s="38"/>
      <c r="C263" s="38"/>
      <c r="D263" s="38"/>
      <c r="E263" s="38" t="s">
        <v>61</v>
      </c>
      <c r="F263" s="38"/>
      <c r="G263" s="38" t="s">
        <v>23</v>
      </c>
      <c r="H263" s="43">
        <v>10000</v>
      </c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6" x14ac:dyDescent="0.15">
      <c r="A264" s="45">
        <v>46017</v>
      </c>
      <c r="B264" s="38" t="s">
        <v>1854</v>
      </c>
      <c r="C264" s="38" t="s">
        <v>1855</v>
      </c>
      <c r="D264" s="38" t="s">
        <v>58</v>
      </c>
      <c r="E264" s="38" t="s">
        <v>59</v>
      </c>
      <c r="F264" s="38"/>
      <c r="G264" s="38" t="s">
        <v>14</v>
      </c>
      <c r="H264" s="43">
        <v>85000</v>
      </c>
      <c r="I264" s="38">
        <v>4.3</v>
      </c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6" x14ac:dyDescent="0.15">
      <c r="A265" s="45">
        <v>46017</v>
      </c>
      <c r="B265" s="38" t="s">
        <v>1854</v>
      </c>
      <c r="C265" s="38" t="s">
        <v>211</v>
      </c>
      <c r="D265" s="38" t="s">
        <v>58</v>
      </c>
      <c r="E265" s="38" t="s">
        <v>59</v>
      </c>
      <c r="F265" s="38"/>
      <c r="G265" s="38" t="s">
        <v>14</v>
      </c>
      <c r="H265" s="43">
        <v>85000</v>
      </c>
      <c r="I265" s="38">
        <v>5.5</v>
      </c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6" x14ac:dyDescent="0.15">
      <c r="A266" s="45">
        <v>46017</v>
      </c>
      <c r="B266" s="38" t="s">
        <v>1856</v>
      </c>
      <c r="C266" s="38" t="s">
        <v>1067</v>
      </c>
      <c r="D266" s="38" t="s">
        <v>688</v>
      </c>
      <c r="E266" s="38" t="s">
        <v>94</v>
      </c>
      <c r="F266" s="38"/>
      <c r="G266" s="38" t="s">
        <v>14</v>
      </c>
      <c r="H266" s="43">
        <v>90000</v>
      </c>
      <c r="I266" s="38">
        <v>17.2</v>
      </c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6" x14ac:dyDescent="0.15">
      <c r="A267" s="45">
        <v>46017</v>
      </c>
      <c r="B267" s="38" t="s">
        <v>1857</v>
      </c>
      <c r="C267" s="38" t="s">
        <v>1858</v>
      </c>
      <c r="D267" s="38" t="s">
        <v>165</v>
      </c>
      <c r="E267" s="38" t="s">
        <v>13</v>
      </c>
      <c r="F267" s="38"/>
      <c r="G267" s="38" t="s">
        <v>14</v>
      </c>
      <c r="H267" s="43">
        <v>85000</v>
      </c>
      <c r="I267" s="38">
        <v>8</v>
      </c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6" x14ac:dyDescent="0.15">
      <c r="A268" s="45">
        <v>46017</v>
      </c>
      <c r="B268" s="38" t="s">
        <v>421</v>
      </c>
      <c r="C268" s="38" t="s">
        <v>422</v>
      </c>
      <c r="D268" s="38" t="s">
        <v>18</v>
      </c>
      <c r="E268" s="38" t="s">
        <v>19</v>
      </c>
      <c r="F268" s="38"/>
      <c r="G268" s="38" t="s">
        <v>14</v>
      </c>
      <c r="H268" s="43">
        <v>85000</v>
      </c>
      <c r="I268" s="38">
        <v>11.6</v>
      </c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6" x14ac:dyDescent="0.15">
      <c r="A269" s="45">
        <v>46017</v>
      </c>
      <c r="B269" s="38" t="s">
        <v>1859</v>
      </c>
      <c r="C269" s="38" t="s">
        <v>291</v>
      </c>
      <c r="D269" s="38" t="s">
        <v>119</v>
      </c>
      <c r="E269" s="38" t="s">
        <v>19</v>
      </c>
      <c r="F269" s="38"/>
      <c r="G269" s="38" t="s">
        <v>23</v>
      </c>
      <c r="H269" s="43">
        <v>55000</v>
      </c>
      <c r="I269" s="38"/>
      <c r="J269" s="38"/>
      <c r="K269" s="38" t="s">
        <v>1661</v>
      </c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6" x14ac:dyDescent="0.15">
      <c r="A270" s="45">
        <v>46017</v>
      </c>
      <c r="B270" s="38" t="s">
        <v>1360</v>
      </c>
      <c r="C270" s="38" t="s">
        <v>825</v>
      </c>
      <c r="D270" s="38" t="s">
        <v>914</v>
      </c>
      <c r="E270" s="38" t="s">
        <v>19</v>
      </c>
      <c r="F270" s="38"/>
      <c r="G270" s="38" t="s">
        <v>23</v>
      </c>
      <c r="H270" s="43">
        <v>75000</v>
      </c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6" x14ac:dyDescent="0.15">
      <c r="A271" s="45">
        <v>46017</v>
      </c>
      <c r="B271" s="38" t="s">
        <v>1860</v>
      </c>
      <c r="C271" s="38" t="s">
        <v>457</v>
      </c>
      <c r="D271" s="38" t="s">
        <v>32</v>
      </c>
      <c r="E271" s="38" t="s">
        <v>13</v>
      </c>
      <c r="F271" s="38"/>
      <c r="G271" s="38" t="s">
        <v>14</v>
      </c>
      <c r="H271" s="43">
        <v>80000</v>
      </c>
      <c r="I271" s="38">
        <v>3.5</v>
      </c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6" x14ac:dyDescent="0.15">
      <c r="A272" s="45">
        <v>46017</v>
      </c>
      <c r="B272" s="38" t="s">
        <v>1860</v>
      </c>
      <c r="C272" s="38" t="s">
        <v>801</v>
      </c>
      <c r="D272" s="38" t="s">
        <v>32</v>
      </c>
      <c r="E272" s="38" t="s">
        <v>13</v>
      </c>
      <c r="F272" s="38"/>
      <c r="G272" s="38" t="s">
        <v>14</v>
      </c>
      <c r="H272" s="43">
        <v>80000</v>
      </c>
      <c r="I272" s="38">
        <v>1.5</v>
      </c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6" x14ac:dyDescent="0.15">
      <c r="A273" s="45">
        <v>46017</v>
      </c>
      <c r="B273" s="38" t="s">
        <v>1861</v>
      </c>
      <c r="C273" s="38" t="s">
        <v>1073</v>
      </c>
      <c r="D273" s="38" t="s">
        <v>26</v>
      </c>
      <c r="E273" s="38" t="s">
        <v>13</v>
      </c>
      <c r="F273" s="38" t="s">
        <v>448</v>
      </c>
      <c r="G273" s="38" t="s">
        <v>14</v>
      </c>
      <c r="H273" s="43">
        <v>95000</v>
      </c>
      <c r="I273" s="38">
        <v>6.7</v>
      </c>
      <c r="J273" s="38"/>
      <c r="K273" s="38" t="s">
        <v>1661</v>
      </c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6" x14ac:dyDescent="0.15">
      <c r="A274" s="45">
        <v>46017</v>
      </c>
      <c r="B274" s="38" t="s">
        <v>1862</v>
      </c>
      <c r="C274" s="38" t="s">
        <v>433</v>
      </c>
      <c r="D274" s="38" t="s">
        <v>360</v>
      </c>
      <c r="E274" s="38" t="s">
        <v>19</v>
      </c>
      <c r="F274" s="38"/>
      <c r="G274" s="38" t="s">
        <v>23</v>
      </c>
      <c r="H274" s="43">
        <v>60000</v>
      </c>
      <c r="I274" s="38">
        <v>13.7</v>
      </c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6" x14ac:dyDescent="0.15">
      <c r="A275" s="45">
        <v>46017</v>
      </c>
      <c r="B275" s="38" t="s">
        <v>397</v>
      </c>
      <c r="C275" s="38" t="s">
        <v>398</v>
      </c>
      <c r="D275" s="38" t="s">
        <v>112</v>
      </c>
      <c r="E275" s="38"/>
      <c r="F275" s="38"/>
      <c r="G275" s="38"/>
      <c r="H275" s="43" t="s">
        <v>114</v>
      </c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6" x14ac:dyDescent="0.15">
      <c r="A276" s="45">
        <v>46018</v>
      </c>
      <c r="B276" s="38" t="s">
        <v>234</v>
      </c>
      <c r="C276" s="38" t="s">
        <v>235</v>
      </c>
      <c r="D276" s="38" t="s">
        <v>18</v>
      </c>
      <c r="E276" s="38" t="s">
        <v>13</v>
      </c>
      <c r="F276" s="38"/>
      <c r="G276" s="38" t="s">
        <v>14</v>
      </c>
      <c r="H276" s="43">
        <v>75000</v>
      </c>
      <c r="I276" s="38">
        <v>10.1</v>
      </c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6" x14ac:dyDescent="0.15">
      <c r="A277" s="45">
        <v>46018</v>
      </c>
      <c r="B277" s="38" t="s">
        <v>603</v>
      </c>
      <c r="C277" s="38" t="s">
        <v>604</v>
      </c>
      <c r="D277" s="38" t="s">
        <v>18</v>
      </c>
      <c r="E277" s="38" t="s">
        <v>13</v>
      </c>
      <c r="F277" s="38"/>
      <c r="G277" s="38" t="s">
        <v>14</v>
      </c>
      <c r="H277" s="43">
        <v>75000</v>
      </c>
      <c r="I277" s="38">
        <v>12</v>
      </c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6" x14ac:dyDescent="0.15">
      <c r="A278" s="45">
        <v>46018</v>
      </c>
      <c r="B278" s="38" t="s">
        <v>470</v>
      </c>
      <c r="C278" s="38" t="s">
        <v>110</v>
      </c>
      <c r="D278" s="38" t="s">
        <v>101</v>
      </c>
      <c r="E278" s="38" t="s">
        <v>13</v>
      </c>
      <c r="F278" s="38"/>
      <c r="G278" s="38" t="s">
        <v>14</v>
      </c>
      <c r="H278" s="43">
        <v>75000</v>
      </c>
      <c r="I278" s="38">
        <v>9.3000000000000007</v>
      </c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6" x14ac:dyDescent="0.15">
      <c r="A279" s="45">
        <v>46018</v>
      </c>
      <c r="B279" s="38" t="s">
        <v>123</v>
      </c>
      <c r="C279" s="38" t="s">
        <v>124</v>
      </c>
      <c r="D279" s="38" t="s">
        <v>18</v>
      </c>
      <c r="E279" s="38" t="s">
        <v>13</v>
      </c>
      <c r="F279" s="38"/>
      <c r="G279" s="38" t="s">
        <v>14</v>
      </c>
      <c r="H279" s="43">
        <v>85000</v>
      </c>
      <c r="I279" s="38">
        <v>16.8</v>
      </c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6" x14ac:dyDescent="0.15">
      <c r="A280" s="45">
        <v>46018</v>
      </c>
      <c r="B280" s="38" t="s">
        <v>132</v>
      </c>
      <c r="C280" s="38" t="s">
        <v>133</v>
      </c>
      <c r="D280" s="38" t="s">
        <v>18</v>
      </c>
      <c r="E280" s="38" t="s">
        <v>19</v>
      </c>
      <c r="F280" s="38"/>
      <c r="G280" s="38" t="s">
        <v>14</v>
      </c>
      <c r="H280" s="43" t="s">
        <v>114</v>
      </c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6" x14ac:dyDescent="0.15">
      <c r="A281" s="45">
        <v>46018</v>
      </c>
      <c r="B281" s="38" t="s">
        <v>1375</v>
      </c>
      <c r="C281" s="38" t="s">
        <v>1376</v>
      </c>
      <c r="D281" s="38" t="s">
        <v>307</v>
      </c>
      <c r="E281" s="38" t="s">
        <v>94</v>
      </c>
      <c r="F281" s="38"/>
      <c r="G281" s="38" t="s">
        <v>14</v>
      </c>
      <c r="H281" s="43">
        <v>90000</v>
      </c>
      <c r="I281" s="38">
        <v>21.2</v>
      </c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6" x14ac:dyDescent="0.15">
      <c r="A282" s="45">
        <v>46018</v>
      </c>
      <c r="B282" s="38" t="s">
        <v>1320</v>
      </c>
      <c r="C282" s="38" t="s">
        <v>1863</v>
      </c>
      <c r="D282" s="38" t="s">
        <v>45</v>
      </c>
      <c r="E282" s="38" t="s">
        <v>19</v>
      </c>
      <c r="F282" s="38"/>
      <c r="G282" s="38" t="s">
        <v>23</v>
      </c>
      <c r="H282" s="43">
        <v>55000</v>
      </c>
      <c r="I282" s="38">
        <v>12.3</v>
      </c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6" x14ac:dyDescent="0.15">
      <c r="A283" s="45">
        <v>46018</v>
      </c>
      <c r="B283" s="38" t="s">
        <v>1864</v>
      </c>
      <c r="C283" s="38" t="s">
        <v>391</v>
      </c>
      <c r="D283" s="38" t="s">
        <v>18</v>
      </c>
      <c r="E283" s="38" t="s">
        <v>19</v>
      </c>
      <c r="F283" s="38"/>
      <c r="G283" s="38"/>
      <c r="H283" s="43">
        <v>75000</v>
      </c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6" x14ac:dyDescent="0.15">
      <c r="A284" s="45">
        <v>46018</v>
      </c>
      <c r="B284" s="38" t="s">
        <v>1865</v>
      </c>
      <c r="C284" s="38" t="s">
        <v>1866</v>
      </c>
      <c r="D284" s="38" t="s">
        <v>165</v>
      </c>
      <c r="E284" s="38" t="s">
        <v>19</v>
      </c>
      <c r="F284" s="38"/>
      <c r="G284" s="38"/>
      <c r="H284" s="43">
        <v>75000</v>
      </c>
      <c r="I284" s="38">
        <v>3.5</v>
      </c>
      <c r="J284" s="38"/>
      <c r="K284" s="38" t="s">
        <v>1661</v>
      </c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6" x14ac:dyDescent="0.15">
      <c r="A285" s="45">
        <v>46018</v>
      </c>
      <c r="B285" s="38"/>
      <c r="C285" s="38"/>
      <c r="D285" s="38"/>
      <c r="E285" s="38" t="s">
        <v>61</v>
      </c>
      <c r="F285" s="38"/>
      <c r="G285" s="38"/>
      <c r="H285" s="43">
        <v>10000</v>
      </c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6" x14ac:dyDescent="0.15">
      <c r="A286" s="45">
        <v>46018</v>
      </c>
      <c r="B286" s="38"/>
      <c r="C286" s="38"/>
      <c r="D286" s="38"/>
      <c r="E286" s="38" t="s">
        <v>61</v>
      </c>
      <c r="F286" s="38"/>
      <c r="G286" s="38"/>
      <c r="H286" s="43">
        <v>10000</v>
      </c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6" x14ac:dyDescent="0.15">
      <c r="A287" s="45">
        <v>46018</v>
      </c>
      <c r="B287" s="38" t="s">
        <v>1867</v>
      </c>
      <c r="C287" s="38" t="s">
        <v>1868</v>
      </c>
      <c r="D287" s="38" t="s">
        <v>64</v>
      </c>
      <c r="E287" s="38" t="s">
        <v>13</v>
      </c>
      <c r="F287" s="38"/>
      <c r="G287" s="38" t="s">
        <v>14</v>
      </c>
      <c r="H287" s="43">
        <v>85000</v>
      </c>
      <c r="I287" s="38">
        <v>23</v>
      </c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6" x14ac:dyDescent="0.15">
      <c r="A288" s="45">
        <v>46018</v>
      </c>
      <c r="B288" s="38" t="s">
        <v>1869</v>
      </c>
      <c r="C288" s="38" t="s">
        <v>130</v>
      </c>
      <c r="D288" s="38" t="s">
        <v>360</v>
      </c>
      <c r="E288" s="38" t="s">
        <v>19</v>
      </c>
      <c r="F288" s="38"/>
      <c r="G288" s="38" t="s">
        <v>23</v>
      </c>
      <c r="H288" s="43">
        <v>65000</v>
      </c>
      <c r="I288" s="38">
        <v>23</v>
      </c>
      <c r="J288" s="38"/>
      <c r="K288" s="38" t="s">
        <v>1661</v>
      </c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6" x14ac:dyDescent="0.15">
      <c r="A289" s="45">
        <v>46018</v>
      </c>
      <c r="B289" s="38" t="s">
        <v>154</v>
      </c>
      <c r="C289" s="38" t="s">
        <v>155</v>
      </c>
      <c r="D289" s="38" t="s">
        <v>26</v>
      </c>
      <c r="E289" s="38" t="s">
        <v>19</v>
      </c>
      <c r="F289" s="38"/>
      <c r="G289" s="38" t="s">
        <v>14</v>
      </c>
      <c r="H289" s="43">
        <v>65000</v>
      </c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6" x14ac:dyDescent="0.15">
      <c r="A290" s="45">
        <v>46020</v>
      </c>
      <c r="B290" s="38" t="s">
        <v>436</v>
      </c>
      <c r="C290" s="38" t="s">
        <v>437</v>
      </c>
      <c r="D290" s="38" t="s">
        <v>88</v>
      </c>
      <c r="E290" s="38" t="s">
        <v>94</v>
      </c>
      <c r="F290" s="38"/>
      <c r="G290" s="38" t="s">
        <v>14</v>
      </c>
      <c r="H290" s="43">
        <v>65000</v>
      </c>
      <c r="I290" s="38">
        <v>3.7</v>
      </c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6" x14ac:dyDescent="0.15">
      <c r="A291" s="45">
        <v>46020</v>
      </c>
      <c r="B291" s="38" t="s">
        <v>1870</v>
      </c>
      <c r="C291" s="38" t="s">
        <v>811</v>
      </c>
      <c r="D291" s="38" t="s">
        <v>58</v>
      </c>
      <c r="E291" s="38" t="s">
        <v>59</v>
      </c>
      <c r="F291" s="38"/>
      <c r="G291" s="38" t="s">
        <v>14</v>
      </c>
      <c r="H291" s="43">
        <v>95000</v>
      </c>
      <c r="I291" s="38">
        <v>4</v>
      </c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6" x14ac:dyDescent="0.15">
      <c r="A292" s="45">
        <v>46020</v>
      </c>
      <c r="B292" s="38" t="s">
        <v>81</v>
      </c>
      <c r="C292" s="38" t="s">
        <v>433</v>
      </c>
      <c r="D292" s="38" t="s">
        <v>18</v>
      </c>
      <c r="E292" s="38" t="s">
        <v>19</v>
      </c>
      <c r="F292" s="38"/>
      <c r="G292" s="38" t="s">
        <v>14</v>
      </c>
      <c r="H292" s="43">
        <v>70000</v>
      </c>
      <c r="I292" s="38">
        <v>15.5</v>
      </c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6" x14ac:dyDescent="0.15">
      <c r="A293" s="45">
        <v>46020</v>
      </c>
      <c r="B293" s="38" t="s">
        <v>81</v>
      </c>
      <c r="C293" s="38" t="s">
        <v>929</v>
      </c>
      <c r="D293" s="38" t="s">
        <v>64</v>
      </c>
      <c r="E293" s="38" t="s">
        <v>13</v>
      </c>
      <c r="F293" s="38"/>
      <c r="G293" s="38" t="s">
        <v>14</v>
      </c>
      <c r="H293" s="43">
        <v>70000</v>
      </c>
      <c r="I293" s="38">
        <v>15.4</v>
      </c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6" x14ac:dyDescent="0.15">
      <c r="A294" s="45">
        <v>46020</v>
      </c>
      <c r="B294" s="38" t="s">
        <v>1871</v>
      </c>
      <c r="C294" s="38" t="s">
        <v>1872</v>
      </c>
      <c r="D294" s="38" t="s">
        <v>64</v>
      </c>
      <c r="E294" s="38" t="s">
        <v>13</v>
      </c>
      <c r="F294" s="38"/>
      <c r="G294" s="38" t="s">
        <v>14</v>
      </c>
      <c r="H294" s="43">
        <v>80000</v>
      </c>
      <c r="I294" s="38">
        <v>23</v>
      </c>
      <c r="J294" s="38"/>
      <c r="K294" s="38" t="s">
        <v>1661</v>
      </c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6" x14ac:dyDescent="0.15">
      <c r="A295" s="45">
        <v>46020</v>
      </c>
      <c r="B295" s="38" t="s">
        <v>1226</v>
      </c>
      <c r="C295" s="38" t="s">
        <v>303</v>
      </c>
      <c r="D295" s="38" t="s">
        <v>42</v>
      </c>
      <c r="E295" s="38" t="s">
        <v>19</v>
      </c>
      <c r="F295" s="38"/>
      <c r="G295" s="38" t="s">
        <v>23</v>
      </c>
      <c r="H295" s="43">
        <v>55000</v>
      </c>
      <c r="I295" s="38">
        <v>5.7</v>
      </c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6" x14ac:dyDescent="0.15">
      <c r="A296" s="45">
        <v>46020</v>
      </c>
      <c r="B296" s="38" t="s">
        <v>1873</v>
      </c>
      <c r="C296" s="38" t="s">
        <v>291</v>
      </c>
      <c r="D296" s="38" t="s">
        <v>88</v>
      </c>
      <c r="E296" s="38" t="s">
        <v>19</v>
      </c>
      <c r="F296" s="38"/>
      <c r="G296" s="38" t="s">
        <v>14</v>
      </c>
      <c r="H296" s="43">
        <v>70000</v>
      </c>
      <c r="I296" s="38">
        <v>4.0999999999999996</v>
      </c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6" x14ac:dyDescent="0.15">
      <c r="A297" s="45">
        <v>46020</v>
      </c>
      <c r="B297" s="38" t="s">
        <v>1346</v>
      </c>
      <c r="C297" s="38" t="s">
        <v>384</v>
      </c>
      <c r="D297" s="38" t="s">
        <v>32</v>
      </c>
      <c r="E297" s="38" t="s">
        <v>113</v>
      </c>
      <c r="F297" s="38"/>
      <c r="G297" s="38" t="s">
        <v>14</v>
      </c>
      <c r="H297" s="43">
        <v>15000</v>
      </c>
      <c r="I297" s="38">
        <v>2.2000000000000002</v>
      </c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6" x14ac:dyDescent="0.15">
      <c r="A298" s="45">
        <v>46020</v>
      </c>
      <c r="B298" s="38" t="s">
        <v>1874</v>
      </c>
      <c r="C298" s="38" t="s">
        <v>429</v>
      </c>
      <c r="D298" s="38" t="s">
        <v>64</v>
      </c>
      <c r="E298" s="38" t="s">
        <v>19</v>
      </c>
      <c r="F298" s="38"/>
      <c r="G298" s="38"/>
      <c r="H298" s="43">
        <v>55000</v>
      </c>
      <c r="I298" s="38">
        <v>17.5</v>
      </c>
      <c r="J298" s="38"/>
      <c r="K298" s="38" t="s">
        <v>1661</v>
      </c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6" x14ac:dyDescent="0.15">
      <c r="A299" s="45">
        <v>46020</v>
      </c>
      <c r="B299" s="38" t="s">
        <v>1875</v>
      </c>
      <c r="C299" s="38" t="s">
        <v>910</v>
      </c>
      <c r="D299" s="38" t="s">
        <v>26</v>
      </c>
      <c r="E299" s="38" t="s">
        <v>19</v>
      </c>
      <c r="F299" s="38"/>
      <c r="G299" s="38" t="s">
        <v>14</v>
      </c>
      <c r="H299" s="43">
        <v>70000</v>
      </c>
      <c r="I299" s="38">
        <v>5.9</v>
      </c>
      <c r="J299" s="38"/>
      <c r="K299" s="38" t="s">
        <v>1661</v>
      </c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6" x14ac:dyDescent="0.15">
      <c r="A300" s="45">
        <v>46020</v>
      </c>
      <c r="B300" s="38" t="s">
        <v>1875</v>
      </c>
      <c r="C300" s="38" t="s">
        <v>704</v>
      </c>
      <c r="D300" s="38" t="s">
        <v>26</v>
      </c>
      <c r="E300" s="38" t="s">
        <v>19</v>
      </c>
      <c r="F300" s="38"/>
      <c r="G300" s="38" t="s">
        <v>14</v>
      </c>
      <c r="H300" s="43">
        <v>70000</v>
      </c>
      <c r="I300" s="38">
        <v>7.8</v>
      </c>
      <c r="J300" s="38"/>
      <c r="K300" s="38" t="s">
        <v>1661</v>
      </c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6" x14ac:dyDescent="0.15">
      <c r="A301" s="45">
        <v>46020</v>
      </c>
      <c r="B301" s="38" t="s">
        <v>1875</v>
      </c>
      <c r="C301" s="38" t="s">
        <v>770</v>
      </c>
      <c r="D301" s="38" t="s">
        <v>131</v>
      </c>
      <c r="E301" s="38" t="s">
        <v>19</v>
      </c>
      <c r="F301" s="38"/>
      <c r="G301" s="38" t="s">
        <v>14</v>
      </c>
      <c r="H301" s="43">
        <v>60000</v>
      </c>
      <c r="I301" s="38">
        <v>16</v>
      </c>
      <c r="J301" s="38"/>
      <c r="K301" s="38" t="s">
        <v>1661</v>
      </c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6" x14ac:dyDescent="0.15">
      <c r="A302" s="45">
        <v>46020</v>
      </c>
      <c r="B302" s="38"/>
      <c r="C302" s="38"/>
      <c r="D302" s="38" t="s">
        <v>1229</v>
      </c>
      <c r="E302" s="38" t="s">
        <v>61</v>
      </c>
      <c r="F302" s="38"/>
      <c r="G302" s="38" t="s">
        <v>23</v>
      </c>
      <c r="H302" s="43">
        <v>10000</v>
      </c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6" x14ac:dyDescent="0.15">
      <c r="A303" s="45">
        <v>46020</v>
      </c>
      <c r="B303" s="38"/>
      <c r="C303" s="38"/>
      <c r="D303" s="38" t="s">
        <v>42</v>
      </c>
      <c r="E303" s="38" t="s">
        <v>61</v>
      </c>
      <c r="F303" s="38"/>
      <c r="G303" s="38" t="s">
        <v>23</v>
      </c>
      <c r="H303" s="43">
        <v>10000</v>
      </c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6" x14ac:dyDescent="0.15">
      <c r="A304" s="45">
        <v>46020</v>
      </c>
      <c r="B304" s="38" t="s">
        <v>1876</v>
      </c>
      <c r="C304" s="38" t="s">
        <v>498</v>
      </c>
      <c r="D304" s="38" t="s">
        <v>26</v>
      </c>
      <c r="E304" s="38" t="s">
        <v>19</v>
      </c>
      <c r="F304" s="38"/>
      <c r="G304" s="38" t="s">
        <v>14</v>
      </c>
      <c r="H304" s="43">
        <v>65000</v>
      </c>
      <c r="I304" s="38">
        <v>4.5</v>
      </c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6" x14ac:dyDescent="0.15">
      <c r="A305" s="45">
        <v>46020</v>
      </c>
      <c r="B305" s="38" t="s">
        <v>1736</v>
      </c>
      <c r="C305" s="38" t="s">
        <v>159</v>
      </c>
      <c r="D305" s="38" t="s">
        <v>64</v>
      </c>
      <c r="E305" s="38" t="s">
        <v>19</v>
      </c>
      <c r="F305" s="38"/>
      <c r="G305" s="38" t="s">
        <v>23</v>
      </c>
      <c r="H305" s="43">
        <v>60000</v>
      </c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6" x14ac:dyDescent="0.15">
      <c r="A306" s="45">
        <v>46020</v>
      </c>
      <c r="B306" s="38" t="s">
        <v>683</v>
      </c>
      <c r="C306" s="38" t="s">
        <v>572</v>
      </c>
      <c r="D306" s="38" t="s">
        <v>119</v>
      </c>
      <c r="E306" s="38" t="s">
        <v>19</v>
      </c>
      <c r="F306" s="38"/>
      <c r="G306" s="38" t="s">
        <v>23</v>
      </c>
      <c r="H306" s="43">
        <v>60000</v>
      </c>
      <c r="I306" s="38">
        <v>13.4</v>
      </c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6" x14ac:dyDescent="0.15">
      <c r="A307" s="45">
        <v>46020</v>
      </c>
      <c r="B307" s="38"/>
      <c r="C307" s="38"/>
      <c r="D307" s="38"/>
      <c r="E307" s="38" t="s">
        <v>61</v>
      </c>
      <c r="F307" s="38"/>
      <c r="G307" s="38" t="s">
        <v>23</v>
      </c>
      <c r="H307" s="43">
        <v>15000</v>
      </c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6" x14ac:dyDescent="0.15">
      <c r="A308" s="45">
        <v>46020</v>
      </c>
      <c r="B308" s="38"/>
      <c r="C308" s="38"/>
      <c r="D308" s="38"/>
      <c r="E308" s="38" t="s">
        <v>61</v>
      </c>
      <c r="F308" s="38"/>
      <c r="G308" s="38" t="s">
        <v>23</v>
      </c>
      <c r="H308" s="43">
        <v>15000</v>
      </c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6" x14ac:dyDescent="0.15">
      <c r="A309" s="47">
        <v>46021</v>
      </c>
      <c r="B309" s="38" t="s">
        <v>846</v>
      </c>
      <c r="C309" s="38" t="s">
        <v>1877</v>
      </c>
      <c r="D309" s="38" t="s">
        <v>18</v>
      </c>
      <c r="E309" s="38" t="s">
        <v>19</v>
      </c>
      <c r="F309" s="38"/>
      <c r="G309" s="38" t="s">
        <v>14</v>
      </c>
      <c r="H309" s="43">
        <v>70000</v>
      </c>
      <c r="I309" s="38">
        <v>8.3000000000000007</v>
      </c>
      <c r="J309" s="38"/>
      <c r="K309" s="38" t="s">
        <v>1661</v>
      </c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6" x14ac:dyDescent="0.15">
      <c r="A310" s="47">
        <v>46021</v>
      </c>
      <c r="B310" s="38" t="s">
        <v>388</v>
      </c>
      <c r="C310" s="38" t="s">
        <v>389</v>
      </c>
      <c r="D310" s="38" t="s">
        <v>779</v>
      </c>
      <c r="E310" s="38" t="s">
        <v>94</v>
      </c>
      <c r="F310" s="38"/>
      <c r="G310" s="38" t="s">
        <v>14</v>
      </c>
      <c r="H310" s="43">
        <v>85000</v>
      </c>
      <c r="I310" s="38">
        <v>25</v>
      </c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6" x14ac:dyDescent="0.15">
      <c r="A311" s="47">
        <v>46021</v>
      </c>
      <c r="B311" s="38" t="s">
        <v>1147</v>
      </c>
      <c r="C311" s="38" t="s">
        <v>148</v>
      </c>
      <c r="D311" s="38" t="s">
        <v>32</v>
      </c>
      <c r="E311" s="38" t="s">
        <v>19</v>
      </c>
      <c r="F311" s="38"/>
      <c r="G311" s="38" t="s">
        <v>14</v>
      </c>
      <c r="H311" s="43">
        <v>65000</v>
      </c>
      <c r="I311" s="38">
        <v>5.6</v>
      </c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6" x14ac:dyDescent="0.15">
      <c r="A312" s="47">
        <v>46021</v>
      </c>
      <c r="B312" s="38" t="s">
        <v>1476</v>
      </c>
      <c r="C312" s="38" t="s">
        <v>1027</v>
      </c>
      <c r="D312" s="38" t="s">
        <v>64</v>
      </c>
      <c r="E312" s="38" t="s">
        <v>19</v>
      </c>
      <c r="F312" s="38"/>
      <c r="G312" s="38" t="s">
        <v>23</v>
      </c>
      <c r="H312" s="43">
        <v>55000</v>
      </c>
      <c r="I312" s="38">
        <v>5.5</v>
      </c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6" x14ac:dyDescent="0.15">
      <c r="A313" s="47">
        <v>46021</v>
      </c>
      <c r="B313" s="38" t="s">
        <v>374</v>
      </c>
      <c r="C313" s="38" t="s">
        <v>375</v>
      </c>
      <c r="D313" s="38" t="s">
        <v>131</v>
      </c>
      <c r="E313" s="38" t="s">
        <v>19</v>
      </c>
      <c r="F313" s="38"/>
      <c r="G313" s="38" t="s">
        <v>14</v>
      </c>
      <c r="H313" s="43">
        <v>75000</v>
      </c>
      <c r="I313" s="38">
        <v>32</v>
      </c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6" x14ac:dyDescent="0.15">
      <c r="A314" s="47">
        <v>46021</v>
      </c>
      <c r="B314" s="38" t="s">
        <v>1878</v>
      </c>
      <c r="C314" s="38" t="s">
        <v>1879</v>
      </c>
      <c r="D314" s="38" t="s">
        <v>64</v>
      </c>
      <c r="E314" s="38" t="s">
        <v>19</v>
      </c>
      <c r="F314" s="38"/>
      <c r="G314" s="38" t="s">
        <v>23</v>
      </c>
      <c r="H314" s="43">
        <v>70000</v>
      </c>
      <c r="I314" s="38">
        <v>33.200000000000003</v>
      </c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6" x14ac:dyDescent="0.15">
      <c r="A315" s="47">
        <v>46021</v>
      </c>
      <c r="B315" s="38" t="s">
        <v>477</v>
      </c>
      <c r="C315" s="38" t="s">
        <v>478</v>
      </c>
      <c r="D315" s="38" t="s">
        <v>119</v>
      </c>
      <c r="E315" s="38" t="s">
        <v>19</v>
      </c>
      <c r="F315" s="38"/>
      <c r="G315" s="38" t="s">
        <v>23</v>
      </c>
      <c r="H315" s="43">
        <v>55000</v>
      </c>
      <c r="I315" s="38">
        <v>9.5</v>
      </c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6" x14ac:dyDescent="0.15">
      <c r="A316" s="47">
        <v>46021</v>
      </c>
      <c r="B316" s="38" t="s">
        <v>1880</v>
      </c>
      <c r="C316" s="38" t="s">
        <v>695</v>
      </c>
      <c r="D316" s="38" t="s">
        <v>131</v>
      </c>
      <c r="E316" s="38" t="s">
        <v>19</v>
      </c>
      <c r="F316" s="38"/>
      <c r="G316" s="38" t="s">
        <v>14</v>
      </c>
      <c r="H316" s="43">
        <v>80000</v>
      </c>
      <c r="I316" s="38">
        <v>35</v>
      </c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6" x14ac:dyDescent="0.15">
      <c r="A317" s="47">
        <v>46021</v>
      </c>
      <c r="B317" s="38" t="s">
        <v>191</v>
      </c>
      <c r="C317" s="38" t="s">
        <v>192</v>
      </c>
      <c r="D317" s="38" t="s">
        <v>42</v>
      </c>
      <c r="E317" s="38" t="s">
        <v>19</v>
      </c>
      <c r="F317" s="38"/>
      <c r="G317" s="38" t="s">
        <v>23</v>
      </c>
      <c r="H317" s="43">
        <v>50000</v>
      </c>
      <c r="I317" s="38">
        <v>6.9</v>
      </c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6" x14ac:dyDescent="0.15">
      <c r="A318" s="47">
        <v>46021</v>
      </c>
      <c r="B318" s="38" t="s">
        <v>191</v>
      </c>
      <c r="C318" s="38" t="s">
        <v>621</v>
      </c>
      <c r="D318" s="38" t="s">
        <v>42</v>
      </c>
      <c r="E318" s="38" t="s">
        <v>19</v>
      </c>
      <c r="F318" s="38"/>
      <c r="G318" s="38" t="s">
        <v>23</v>
      </c>
      <c r="H318" s="43">
        <v>50000</v>
      </c>
      <c r="I318" s="38">
        <v>6.5</v>
      </c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6" x14ac:dyDescent="0.15">
      <c r="A319" s="47">
        <v>46021</v>
      </c>
      <c r="B319" s="38" t="s">
        <v>191</v>
      </c>
      <c r="C319" s="38" t="s">
        <v>193</v>
      </c>
      <c r="D319" s="38" t="s">
        <v>42</v>
      </c>
      <c r="E319" s="38" t="s">
        <v>19</v>
      </c>
      <c r="F319" s="38"/>
      <c r="G319" s="38" t="s">
        <v>23</v>
      </c>
      <c r="H319" s="43">
        <v>50000</v>
      </c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6" x14ac:dyDescent="0.15">
      <c r="A320" s="47">
        <v>46021</v>
      </c>
      <c r="B320" s="38" t="s">
        <v>191</v>
      </c>
      <c r="C320" s="38" t="s">
        <v>522</v>
      </c>
      <c r="D320" s="38" t="s">
        <v>42</v>
      </c>
      <c r="E320" s="38" t="s">
        <v>19</v>
      </c>
      <c r="F320" s="38"/>
      <c r="G320" s="38" t="s">
        <v>23</v>
      </c>
      <c r="H320" s="43">
        <v>50000</v>
      </c>
      <c r="I320" s="38">
        <v>6.9</v>
      </c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6" x14ac:dyDescent="0.15">
      <c r="A321" s="47">
        <v>46021</v>
      </c>
      <c r="B321" s="38" t="s">
        <v>802</v>
      </c>
      <c r="C321" s="38" t="s">
        <v>1724</v>
      </c>
      <c r="D321" s="38" t="s">
        <v>32</v>
      </c>
      <c r="E321" s="38" t="s">
        <v>113</v>
      </c>
      <c r="F321" s="38"/>
      <c r="G321" s="38" t="s">
        <v>14</v>
      </c>
      <c r="H321" s="43">
        <v>15000</v>
      </c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6" x14ac:dyDescent="0.15">
      <c r="A322" s="47">
        <v>46021</v>
      </c>
      <c r="B322" s="38" t="s">
        <v>1530</v>
      </c>
      <c r="C322" s="38" t="s">
        <v>836</v>
      </c>
      <c r="D322" s="38" t="s">
        <v>119</v>
      </c>
      <c r="E322" s="38" t="s">
        <v>19</v>
      </c>
      <c r="F322" s="38"/>
      <c r="G322" s="38" t="s">
        <v>23</v>
      </c>
      <c r="H322" s="43">
        <v>65000</v>
      </c>
      <c r="I322" s="38">
        <v>12.2</v>
      </c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6" x14ac:dyDescent="0.15">
      <c r="A323" s="47">
        <v>46022</v>
      </c>
      <c r="B323" s="38" t="s">
        <v>1881</v>
      </c>
      <c r="C323" s="38" t="s">
        <v>1781</v>
      </c>
      <c r="D323" s="38" t="s">
        <v>165</v>
      </c>
      <c r="E323" s="38" t="s">
        <v>19</v>
      </c>
      <c r="F323" s="38"/>
      <c r="G323" s="38" t="s">
        <v>14</v>
      </c>
      <c r="H323" s="43">
        <v>70000</v>
      </c>
      <c r="I323" s="38">
        <v>4.7</v>
      </c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6" x14ac:dyDescent="0.15">
      <c r="A324" s="47">
        <v>46022</v>
      </c>
      <c r="B324" s="38" t="s">
        <v>1882</v>
      </c>
      <c r="C324" s="38" t="s">
        <v>126</v>
      </c>
      <c r="D324" s="38" t="s">
        <v>119</v>
      </c>
      <c r="E324" s="38" t="s">
        <v>19</v>
      </c>
      <c r="F324" s="38"/>
      <c r="G324" s="38" t="s">
        <v>23</v>
      </c>
      <c r="H324" s="43">
        <v>60000</v>
      </c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6" x14ac:dyDescent="0.15">
      <c r="A325" s="47">
        <v>46022</v>
      </c>
      <c r="B325" s="38" t="s">
        <v>1055</v>
      </c>
      <c r="C325" s="38" t="s">
        <v>882</v>
      </c>
      <c r="D325" s="38" t="s">
        <v>131</v>
      </c>
      <c r="E325" s="38" t="s">
        <v>19</v>
      </c>
      <c r="F325" s="38"/>
      <c r="G325" s="38" t="s">
        <v>14</v>
      </c>
      <c r="H325" s="43">
        <v>70000</v>
      </c>
      <c r="I325" s="38">
        <v>31</v>
      </c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6" x14ac:dyDescent="0.15">
      <c r="A326" s="47">
        <v>46022</v>
      </c>
      <c r="B326" s="38" t="s">
        <v>227</v>
      </c>
      <c r="C326" s="38" t="s">
        <v>843</v>
      </c>
      <c r="D326" s="38" t="s">
        <v>229</v>
      </c>
      <c r="E326" s="38" t="s">
        <v>19</v>
      </c>
      <c r="F326" s="38"/>
      <c r="G326" s="38" t="s">
        <v>14</v>
      </c>
      <c r="H326" s="43">
        <v>85000</v>
      </c>
      <c r="I326" s="38">
        <v>34</v>
      </c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6" x14ac:dyDescent="0.15">
      <c r="A327" s="47">
        <v>46022</v>
      </c>
      <c r="B327" s="38" t="s">
        <v>1883</v>
      </c>
      <c r="C327" s="38" t="s">
        <v>1703</v>
      </c>
      <c r="D327" s="38" t="s">
        <v>64</v>
      </c>
      <c r="E327" s="38" t="s">
        <v>19</v>
      </c>
      <c r="F327" s="38"/>
      <c r="G327" s="38" t="s">
        <v>23</v>
      </c>
      <c r="H327" s="43">
        <v>60000</v>
      </c>
      <c r="I327" s="38">
        <v>12.8</v>
      </c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6" x14ac:dyDescent="0.15">
      <c r="A328" s="47">
        <v>46022</v>
      </c>
      <c r="B328" s="38" t="s">
        <v>1884</v>
      </c>
      <c r="C328" s="38" t="s">
        <v>53</v>
      </c>
      <c r="D328" s="38" t="s">
        <v>165</v>
      </c>
      <c r="E328" s="38" t="s">
        <v>13</v>
      </c>
      <c r="F328" s="38"/>
      <c r="G328" s="38" t="s">
        <v>14</v>
      </c>
      <c r="H328" s="43">
        <v>85000</v>
      </c>
      <c r="I328" s="38">
        <v>6.7</v>
      </c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6" x14ac:dyDescent="0.15">
      <c r="A329" s="47">
        <v>46022</v>
      </c>
      <c r="B329" s="38" t="s">
        <v>1884</v>
      </c>
      <c r="C329" s="38" t="s">
        <v>1393</v>
      </c>
      <c r="D329" s="38" t="s">
        <v>64</v>
      </c>
      <c r="E329" s="38" t="s">
        <v>13</v>
      </c>
      <c r="F329" s="38"/>
      <c r="G329" s="38" t="s">
        <v>23</v>
      </c>
      <c r="H329" s="43">
        <v>85000</v>
      </c>
      <c r="I329" s="38">
        <v>7.8</v>
      </c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6" x14ac:dyDescent="0.15">
      <c r="A330" s="47">
        <v>46022</v>
      </c>
      <c r="B330" s="38" t="s">
        <v>1885</v>
      </c>
      <c r="C330" s="38" t="s">
        <v>63</v>
      </c>
      <c r="D330" s="38" t="s">
        <v>32</v>
      </c>
      <c r="E330" s="38" t="s">
        <v>19</v>
      </c>
      <c r="F330" s="38"/>
      <c r="G330" s="38" t="s">
        <v>14</v>
      </c>
      <c r="H330" s="43">
        <v>80000</v>
      </c>
      <c r="I330" s="38">
        <v>2.9</v>
      </c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6" x14ac:dyDescent="0.15">
      <c r="A331" s="47">
        <v>46022</v>
      </c>
      <c r="B331" s="38" t="s">
        <v>312</v>
      </c>
      <c r="C331" s="38" t="s">
        <v>1263</v>
      </c>
      <c r="D331" s="38" t="s">
        <v>196</v>
      </c>
      <c r="E331" s="38" t="s">
        <v>19</v>
      </c>
      <c r="F331" s="38"/>
      <c r="G331" s="38" t="s">
        <v>14</v>
      </c>
      <c r="H331" s="43">
        <v>65000</v>
      </c>
      <c r="I331" s="38">
        <v>18.100000000000001</v>
      </c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6" x14ac:dyDescent="0.15">
      <c r="A332" s="47">
        <v>46022</v>
      </c>
      <c r="B332" s="38" t="s">
        <v>1542</v>
      </c>
      <c r="C332" s="38" t="s">
        <v>1543</v>
      </c>
      <c r="D332" s="38" t="s">
        <v>45</v>
      </c>
      <c r="E332" s="38" t="s">
        <v>19</v>
      </c>
      <c r="F332" s="38"/>
      <c r="G332" s="38" t="s">
        <v>23</v>
      </c>
      <c r="H332" s="43">
        <v>60000</v>
      </c>
      <c r="I332" s="38">
        <v>22.7</v>
      </c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6" x14ac:dyDescent="0.15">
      <c r="A333" s="47">
        <v>46022</v>
      </c>
      <c r="B333" s="38" t="s">
        <v>1542</v>
      </c>
      <c r="C333" s="38" t="s">
        <v>159</v>
      </c>
      <c r="D333" s="38" t="s">
        <v>131</v>
      </c>
      <c r="E333" s="38" t="s">
        <v>19</v>
      </c>
      <c r="F333" s="38"/>
      <c r="G333" s="38" t="s">
        <v>23</v>
      </c>
      <c r="H333" s="43">
        <v>85000</v>
      </c>
      <c r="I333" s="38">
        <v>33</v>
      </c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6" x14ac:dyDescent="0.15">
      <c r="A334" s="47">
        <v>46022</v>
      </c>
      <c r="B334" s="38" t="s">
        <v>1886</v>
      </c>
      <c r="C334" s="38" t="s">
        <v>275</v>
      </c>
      <c r="D334" s="38" t="s">
        <v>165</v>
      </c>
      <c r="E334" s="38" t="s">
        <v>13</v>
      </c>
      <c r="F334" s="38"/>
      <c r="G334" s="38" t="s">
        <v>14</v>
      </c>
      <c r="H334" s="43">
        <v>90000</v>
      </c>
      <c r="I334" s="38">
        <v>4</v>
      </c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6" x14ac:dyDescent="0.15">
      <c r="A335" s="47">
        <v>46022</v>
      </c>
      <c r="B335" s="38" t="s">
        <v>980</v>
      </c>
      <c r="C335" s="38" t="s">
        <v>702</v>
      </c>
      <c r="D335" s="38" t="s">
        <v>64</v>
      </c>
      <c r="E335" s="38" t="s">
        <v>13</v>
      </c>
      <c r="F335" s="38"/>
      <c r="G335" s="38" t="s">
        <v>14</v>
      </c>
      <c r="H335" s="43">
        <v>95000</v>
      </c>
      <c r="I335" s="38">
        <v>11.5</v>
      </c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6" x14ac:dyDescent="0.15">
      <c r="A336" s="47">
        <v>46022</v>
      </c>
      <c r="B336" s="38" t="s">
        <v>1887</v>
      </c>
      <c r="C336" s="38" t="s">
        <v>880</v>
      </c>
      <c r="D336" s="38" t="s">
        <v>1229</v>
      </c>
      <c r="E336" s="38" t="s">
        <v>19</v>
      </c>
      <c r="F336" s="38"/>
      <c r="G336" s="38" t="s">
        <v>23</v>
      </c>
      <c r="H336" s="43">
        <v>30000</v>
      </c>
      <c r="I336" s="38">
        <v>2.1</v>
      </c>
      <c r="J336" s="38"/>
      <c r="K336" s="38" t="s">
        <v>1661</v>
      </c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6" x14ac:dyDescent="0.15">
      <c r="A337" s="47">
        <v>46022</v>
      </c>
      <c r="B337" s="38" t="s">
        <v>1636</v>
      </c>
      <c r="C337" s="38" t="s">
        <v>447</v>
      </c>
      <c r="D337" s="38" t="s">
        <v>32</v>
      </c>
      <c r="E337" s="38" t="s">
        <v>19</v>
      </c>
      <c r="F337" s="38"/>
      <c r="G337" s="38" t="s">
        <v>14</v>
      </c>
      <c r="H337" s="43">
        <v>65000</v>
      </c>
      <c r="I337" s="38">
        <v>4.5</v>
      </c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6" x14ac:dyDescent="0.15">
      <c r="A338" s="47">
        <v>46022</v>
      </c>
      <c r="B338" s="38" t="s">
        <v>1553</v>
      </c>
      <c r="C338" s="38" t="s">
        <v>31</v>
      </c>
      <c r="D338" s="38" t="s">
        <v>26</v>
      </c>
      <c r="E338" s="38" t="s">
        <v>19</v>
      </c>
      <c r="F338" s="38"/>
      <c r="G338" s="38" t="s">
        <v>14</v>
      </c>
      <c r="H338" s="43">
        <v>75000</v>
      </c>
      <c r="I338" s="38">
        <v>4.4000000000000004</v>
      </c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6" x14ac:dyDescent="0.15">
      <c r="A339" s="47">
        <v>46022</v>
      </c>
      <c r="B339" s="38" t="s">
        <v>787</v>
      </c>
      <c r="C339" s="38" t="s">
        <v>788</v>
      </c>
      <c r="D339" s="38" t="s">
        <v>88</v>
      </c>
      <c r="E339" s="38" t="s">
        <v>94</v>
      </c>
      <c r="F339" s="38"/>
      <c r="G339" s="38" t="s">
        <v>14</v>
      </c>
      <c r="H339" s="43">
        <v>60000</v>
      </c>
      <c r="I339" s="38">
        <v>3.5</v>
      </c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6" x14ac:dyDescent="0.15">
      <c r="A340" s="47">
        <v>46022</v>
      </c>
      <c r="B340" s="38"/>
      <c r="C340" s="38"/>
      <c r="D340" s="38" t="s">
        <v>494</v>
      </c>
      <c r="E340" s="38" t="s">
        <v>61</v>
      </c>
      <c r="F340" s="38"/>
      <c r="G340" s="38" t="s">
        <v>23</v>
      </c>
      <c r="H340" s="43">
        <v>10000</v>
      </c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6" x14ac:dyDescent="0.15">
      <c r="A341" s="38"/>
      <c r="B341" s="38"/>
      <c r="C341" s="38"/>
      <c r="D341" s="38"/>
      <c r="E341" s="38"/>
      <c r="F341" s="38"/>
      <c r="G341" s="38"/>
      <c r="H341" s="43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6" x14ac:dyDescent="0.15">
      <c r="A342" s="38"/>
      <c r="B342" s="38"/>
      <c r="C342" s="38"/>
      <c r="D342" s="38"/>
      <c r="E342" s="38"/>
      <c r="F342" s="38"/>
      <c r="G342" s="38"/>
      <c r="H342" s="43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6" x14ac:dyDescent="0.15">
      <c r="A343" s="38"/>
      <c r="B343" s="38"/>
      <c r="C343" s="38"/>
      <c r="D343" s="38"/>
      <c r="E343" s="38"/>
      <c r="F343" s="38"/>
      <c r="G343" s="38"/>
      <c r="H343" s="43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6" x14ac:dyDescent="0.1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6" x14ac:dyDescent="0.1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6" x14ac:dyDescent="0.1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6" x14ac:dyDescent="0.1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6" x14ac:dyDescent="0.1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6" x14ac:dyDescent="0.1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6" x14ac:dyDescent="0.1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6" x14ac:dyDescent="0.1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6" x14ac:dyDescent="0.1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6" x14ac:dyDescent="0.1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6" x14ac:dyDescent="0.1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6" x14ac:dyDescent="0.1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6" x14ac:dyDescent="0.1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6" x14ac:dyDescent="0.1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6" x14ac:dyDescent="0.1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6" x14ac:dyDescent="0.1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6" x14ac:dyDescent="0.1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6" x14ac:dyDescent="0.1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6" x14ac:dyDescent="0.1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6" x14ac:dyDescent="0.1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6" x14ac:dyDescent="0.1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6" x14ac:dyDescent="0.1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6" x14ac:dyDescent="0.1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6" x14ac:dyDescent="0.1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6" x14ac:dyDescent="0.1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6" x14ac:dyDescent="0.1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6" x14ac:dyDescent="0.1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6" x14ac:dyDescent="0.1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6" x14ac:dyDescent="0.1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6" x14ac:dyDescent="0.1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6" x14ac:dyDescent="0.1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6" x14ac:dyDescent="0.1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6" x14ac:dyDescent="0.1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6" x14ac:dyDescent="0.1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6" x14ac:dyDescent="0.1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6" x14ac:dyDescent="0.1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6" x14ac:dyDescent="0.1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6" x14ac:dyDescent="0.1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6" x14ac:dyDescent="0.1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6" x14ac:dyDescent="0.1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6" x14ac:dyDescent="0.1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6" x14ac:dyDescent="0.1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6" x14ac:dyDescent="0.1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6" x14ac:dyDescent="0.1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6" x14ac:dyDescent="0.1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6" x14ac:dyDescent="0.1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6" x14ac:dyDescent="0.1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6" x14ac:dyDescent="0.1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6" x14ac:dyDescent="0.1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6" x14ac:dyDescent="0.1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6" x14ac:dyDescent="0.1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6" x14ac:dyDescent="0.1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6" x14ac:dyDescent="0.1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6" x14ac:dyDescent="0.1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6" x14ac:dyDescent="0.1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6" x14ac:dyDescent="0.1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6" x14ac:dyDescent="0.1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6" x14ac:dyDescent="0.1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6" x14ac:dyDescent="0.1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6" x14ac:dyDescent="0.1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6" x14ac:dyDescent="0.1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6" x14ac:dyDescent="0.1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6" x14ac:dyDescent="0.1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6" x14ac:dyDescent="0.1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6" x14ac:dyDescent="0.1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6" x14ac:dyDescent="0.1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6" x14ac:dyDescent="0.1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6" x14ac:dyDescent="0.1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6" x14ac:dyDescent="0.1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6" x14ac:dyDescent="0.1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6" x14ac:dyDescent="0.1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6" x14ac:dyDescent="0.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6" x14ac:dyDescent="0.1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6" x14ac:dyDescent="0.1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6" x14ac:dyDescent="0.1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6" x14ac:dyDescent="0.1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6" x14ac:dyDescent="0.1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6" x14ac:dyDescent="0.1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6" x14ac:dyDescent="0.1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6" x14ac:dyDescent="0.1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6" x14ac:dyDescent="0.1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6" x14ac:dyDescent="0.1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6" x14ac:dyDescent="0.1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6" x14ac:dyDescent="0.1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6" x14ac:dyDescent="0.1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6" x14ac:dyDescent="0.1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6" x14ac:dyDescent="0.1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6" x14ac:dyDescent="0.1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6" x14ac:dyDescent="0.1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6" x14ac:dyDescent="0.1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6" x14ac:dyDescent="0.1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6" x14ac:dyDescent="0.1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6" x14ac:dyDescent="0.1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6" x14ac:dyDescent="0.1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6" x14ac:dyDescent="0.1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6" x14ac:dyDescent="0.1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6" x14ac:dyDescent="0.1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6" x14ac:dyDescent="0.1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6" x14ac:dyDescent="0.1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6" x14ac:dyDescent="0.1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6" x14ac:dyDescent="0.1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6" x14ac:dyDescent="0.1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6" x14ac:dyDescent="0.1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6" x14ac:dyDescent="0.1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6" x14ac:dyDescent="0.1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6" x14ac:dyDescent="0.1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6" x14ac:dyDescent="0.1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6" x14ac:dyDescent="0.1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6" x14ac:dyDescent="0.1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6" x14ac:dyDescent="0.1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6" x14ac:dyDescent="0.1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6" x14ac:dyDescent="0.1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6" x14ac:dyDescent="0.1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6" x14ac:dyDescent="0.1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6" x14ac:dyDescent="0.1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6" x14ac:dyDescent="0.1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6" x14ac:dyDescent="0.1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6" x14ac:dyDescent="0.1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6" x14ac:dyDescent="0.1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6" x14ac:dyDescent="0.1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6" x14ac:dyDescent="0.1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6" x14ac:dyDescent="0.1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6" x14ac:dyDescent="0.1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6" x14ac:dyDescent="0.1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6" x14ac:dyDescent="0.1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6" x14ac:dyDescent="0.1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6" x14ac:dyDescent="0.1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6" x14ac:dyDescent="0.1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6" x14ac:dyDescent="0.1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6" x14ac:dyDescent="0.1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6" x14ac:dyDescent="0.1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6" x14ac:dyDescent="0.1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6" x14ac:dyDescent="0.1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6" x14ac:dyDescent="0.1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6" x14ac:dyDescent="0.1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6" x14ac:dyDescent="0.1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6" x14ac:dyDescent="0.1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6" x14ac:dyDescent="0.1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6" x14ac:dyDescent="0.1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6" x14ac:dyDescent="0.1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6" x14ac:dyDescent="0.1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6" x14ac:dyDescent="0.1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6" x14ac:dyDescent="0.1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6" x14ac:dyDescent="0.1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6" x14ac:dyDescent="0.1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6" x14ac:dyDescent="0.1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6" x14ac:dyDescent="0.1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6" x14ac:dyDescent="0.1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6" x14ac:dyDescent="0.1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6" x14ac:dyDescent="0.1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6" x14ac:dyDescent="0.1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6" x14ac:dyDescent="0.1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6" x14ac:dyDescent="0.1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6" x14ac:dyDescent="0.1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6" x14ac:dyDescent="0.1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6" x14ac:dyDescent="0.1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6" x14ac:dyDescent="0.1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6" x14ac:dyDescent="0.1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6" x14ac:dyDescent="0.1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6" x14ac:dyDescent="0.1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6" x14ac:dyDescent="0.1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6" x14ac:dyDescent="0.1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6" x14ac:dyDescent="0.1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6" x14ac:dyDescent="0.1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6" x14ac:dyDescent="0.1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6" x14ac:dyDescent="0.1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6" x14ac:dyDescent="0.1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6" x14ac:dyDescent="0.1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6" x14ac:dyDescent="0.1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6" x14ac:dyDescent="0.1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6" x14ac:dyDescent="0.1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6" x14ac:dyDescent="0.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6" x14ac:dyDescent="0.1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6" x14ac:dyDescent="0.1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6" x14ac:dyDescent="0.1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6" x14ac:dyDescent="0.1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6" x14ac:dyDescent="0.1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6" x14ac:dyDescent="0.1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6" x14ac:dyDescent="0.1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6" x14ac:dyDescent="0.1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6" x14ac:dyDescent="0.1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6" x14ac:dyDescent="0.1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6" x14ac:dyDescent="0.1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6" x14ac:dyDescent="0.1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6" x14ac:dyDescent="0.1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6" x14ac:dyDescent="0.1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6" x14ac:dyDescent="0.1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6" x14ac:dyDescent="0.1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6" x14ac:dyDescent="0.1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6" x14ac:dyDescent="0.1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6" x14ac:dyDescent="0.1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6" x14ac:dyDescent="0.1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6" x14ac:dyDescent="0.1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6" x14ac:dyDescent="0.1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6" x14ac:dyDescent="0.1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6" x14ac:dyDescent="0.1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6" x14ac:dyDescent="0.1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6" x14ac:dyDescent="0.1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6" x14ac:dyDescent="0.1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6" x14ac:dyDescent="0.1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6" x14ac:dyDescent="0.1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6" x14ac:dyDescent="0.1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6" x14ac:dyDescent="0.1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6" x14ac:dyDescent="0.1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6" x14ac:dyDescent="0.1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6" x14ac:dyDescent="0.1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6" x14ac:dyDescent="0.1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6" x14ac:dyDescent="0.1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6" x14ac:dyDescent="0.1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6" x14ac:dyDescent="0.1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6" x14ac:dyDescent="0.1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6" x14ac:dyDescent="0.1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6" x14ac:dyDescent="0.1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6" x14ac:dyDescent="0.1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6" x14ac:dyDescent="0.1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6" x14ac:dyDescent="0.1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6" x14ac:dyDescent="0.1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6" x14ac:dyDescent="0.1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6" x14ac:dyDescent="0.1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6" x14ac:dyDescent="0.1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6" x14ac:dyDescent="0.1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6" x14ac:dyDescent="0.1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6" x14ac:dyDescent="0.1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6" x14ac:dyDescent="0.1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6" x14ac:dyDescent="0.1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6" x14ac:dyDescent="0.1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6" x14ac:dyDescent="0.1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6" x14ac:dyDescent="0.1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6" x14ac:dyDescent="0.1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6" x14ac:dyDescent="0.1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6" x14ac:dyDescent="0.1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6" x14ac:dyDescent="0.1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6" x14ac:dyDescent="0.1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6" x14ac:dyDescent="0.1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6" x14ac:dyDescent="0.1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6" x14ac:dyDescent="0.1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6" x14ac:dyDescent="0.1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6" x14ac:dyDescent="0.1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6" x14ac:dyDescent="0.1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6" x14ac:dyDescent="0.1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6" x14ac:dyDescent="0.1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6" x14ac:dyDescent="0.1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6" x14ac:dyDescent="0.1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6" x14ac:dyDescent="0.1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6" x14ac:dyDescent="0.1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6" x14ac:dyDescent="0.1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6" x14ac:dyDescent="0.1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6" x14ac:dyDescent="0.1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6" x14ac:dyDescent="0.1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6" x14ac:dyDescent="0.1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6" x14ac:dyDescent="0.1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6" x14ac:dyDescent="0.1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6" x14ac:dyDescent="0.1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6" x14ac:dyDescent="0.1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6" x14ac:dyDescent="0.1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6" x14ac:dyDescent="0.1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6" x14ac:dyDescent="0.1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6" x14ac:dyDescent="0.1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6" x14ac:dyDescent="0.1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6" x14ac:dyDescent="0.1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6" x14ac:dyDescent="0.1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6" x14ac:dyDescent="0.1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6" x14ac:dyDescent="0.1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6" x14ac:dyDescent="0.1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6" x14ac:dyDescent="0.1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6" x14ac:dyDescent="0.1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6" x14ac:dyDescent="0.1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6" x14ac:dyDescent="0.1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6" x14ac:dyDescent="0.1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6" x14ac:dyDescent="0.1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6" x14ac:dyDescent="0.1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6" x14ac:dyDescent="0.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6" x14ac:dyDescent="0.1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6" x14ac:dyDescent="0.1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6" x14ac:dyDescent="0.1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6" x14ac:dyDescent="0.1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6" x14ac:dyDescent="0.1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6" x14ac:dyDescent="0.1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6" x14ac:dyDescent="0.1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6" x14ac:dyDescent="0.1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6" x14ac:dyDescent="0.1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6" x14ac:dyDescent="0.1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6" x14ac:dyDescent="0.1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6" x14ac:dyDescent="0.1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6" x14ac:dyDescent="0.1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6" x14ac:dyDescent="0.1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6" x14ac:dyDescent="0.1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6" x14ac:dyDescent="0.1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6" x14ac:dyDescent="0.1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6" x14ac:dyDescent="0.1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6" x14ac:dyDescent="0.1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6" x14ac:dyDescent="0.1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6" x14ac:dyDescent="0.1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6" x14ac:dyDescent="0.1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6" x14ac:dyDescent="0.1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6" x14ac:dyDescent="0.1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6" x14ac:dyDescent="0.1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6" x14ac:dyDescent="0.1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6" x14ac:dyDescent="0.1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6" x14ac:dyDescent="0.1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6" x14ac:dyDescent="0.1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6" x14ac:dyDescent="0.1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6" x14ac:dyDescent="0.1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6" x14ac:dyDescent="0.1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6" x14ac:dyDescent="0.1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6" x14ac:dyDescent="0.1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6" x14ac:dyDescent="0.1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6" x14ac:dyDescent="0.1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6" x14ac:dyDescent="0.1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6" x14ac:dyDescent="0.1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6" x14ac:dyDescent="0.1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6" x14ac:dyDescent="0.1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6" x14ac:dyDescent="0.1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6" x14ac:dyDescent="0.1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6" x14ac:dyDescent="0.1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6" x14ac:dyDescent="0.1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6" x14ac:dyDescent="0.1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6" x14ac:dyDescent="0.1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6" x14ac:dyDescent="0.1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6" x14ac:dyDescent="0.1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6" x14ac:dyDescent="0.1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6" x14ac:dyDescent="0.1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6" x14ac:dyDescent="0.1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6" x14ac:dyDescent="0.1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6" x14ac:dyDescent="0.1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6" x14ac:dyDescent="0.1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6" x14ac:dyDescent="0.1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6" x14ac:dyDescent="0.1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6" x14ac:dyDescent="0.1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6" x14ac:dyDescent="0.1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6" x14ac:dyDescent="0.1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6" x14ac:dyDescent="0.1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6" x14ac:dyDescent="0.1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6" x14ac:dyDescent="0.1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6" x14ac:dyDescent="0.1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6" x14ac:dyDescent="0.1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6" x14ac:dyDescent="0.1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6" x14ac:dyDescent="0.1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6" x14ac:dyDescent="0.1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6" x14ac:dyDescent="0.1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6" x14ac:dyDescent="0.1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6" x14ac:dyDescent="0.1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6" x14ac:dyDescent="0.1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6" x14ac:dyDescent="0.1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6" x14ac:dyDescent="0.1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6" x14ac:dyDescent="0.1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6" x14ac:dyDescent="0.1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6" x14ac:dyDescent="0.1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6" x14ac:dyDescent="0.1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6" x14ac:dyDescent="0.1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6" x14ac:dyDescent="0.1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6" x14ac:dyDescent="0.1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6" x14ac:dyDescent="0.1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6" x14ac:dyDescent="0.1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6" x14ac:dyDescent="0.1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6" x14ac:dyDescent="0.1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6" x14ac:dyDescent="0.1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6" x14ac:dyDescent="0.1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6" x14ac:dyDescent="0.1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6" x14ac:dyDescent="0.1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6" x14ac:dyDescent="0.1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6" x14ac:dyDescent="0.1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6" x14ac:dyDescent="0.1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6" x14ac:dyDescent="0.1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6" x14ac:dyDescent="0.1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6" x14ac:dyDescent="0.1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6" x14ac:dyDescent="0.1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6" x14ac:dyDescent="0.1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6" x14ac:dyDescent="0.1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6" x14ac:dyDescent="0.1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6" x14ac:dyDescent="0.1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6" x14ac:dyDescent="0.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6" x14ac:dyDescent="0.1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6" x14ac:dyDescent="0.1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6" x14ac:dyDescent="0.1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6" x14ac:dyDescent="0.1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6" x14ac:dyDescent="0.1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6" x14ac:dyDescent="0.1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6" x14ac:dyDescent="0.1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6" x14ac:dyDescent="0.1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6" x14ac:dyDescent="0.1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6" x14ac:dyDescent="0.1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6" x14ac:dyDescent="0.1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6" x14ac:dyDescent="0.1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6" x14ac:dyDescent="0.1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6" x14ac:dyDescent="0.1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6" x14ac:dyDescent="0.1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6" x14ac:dyDescent="0.1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6" x14ac:dyDescent="0.1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6" x14ac:dyDescent="0.1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6" x14ac:dyDescent="0.1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6" x14ac:dyDescent="0.1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6" x14ac:dyDescent="0.1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6" x14ac:dyDescent="0.1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6" x14ac:dyDescent="0.1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6" x14ac:dyDescent="0.1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6" x14ac:dyDescent="0.1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6" x14ac:dyDescent="0.1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6" x14ac:dyDescent="0.1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6" x14ac:dyDescent="0.1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6" x14ac:dyDescent="0.1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6" x14ac:dyDescent="0.1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6" x14ac:dyDescent="0.1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6" x14ac:dyDescent="0.1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6" x14ac:dyDescent="0.1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6" x14ac:dyDescent="0.1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6" x14ac:dyDescent="0.1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6" x14ac:dyDescent="0.1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6" x14ac:dyDescent="0.1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6" x14ac:dyDescent="0.1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6" x14ac:dyDescent="0.1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6" x14ac:dyDescent="0.1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6" x14ac:dyDescent="0.1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6" x14ac:dyDescent="0.1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6" x14ac:dyDescent="0.1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6" x14ac:dyDescent="0.1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6" x14ac:dyDescent="0.1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6" x14ac:dyDescent="0.1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6" x14ac:dyDescent="0.1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6" x14ac:dyDescent="0.1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6" x14ac:dyDescent="0.1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6" x14ac:dyDescent="0.1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6" x14ac:dyDescent="0.1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6" x14ac:dyDescent="0.1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6" x14ac:dyDescent="0.1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6" x14ac:dyDescent="0.1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6" x14ac:dyDescent="0.1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6" x14ac:dyDescent="0.1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6" x14ac:dyDescent="0.1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6" x14ac:dyDescent="0.1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6" x14ac:dyDescent="0.1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6" x14ac:dyDescent="0.1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6" x14ac:dyDescent="0.1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6" x14ac:dyDescent="0.1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6" x14ac:dyDescent="0.1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6" x14ac:dyDescent="0.1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6" x14ac:dyDescent="0.1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6" x14ac:dyDescent="0.1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6" x14ac:dyDescent="0.1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6" x14ac:dyDescent="0.1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6" x14ac:dyDescent="0.1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6" x14ac:dyDescent="0.1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6" x14ac:dyDescent="0.1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6" x14ac:dyDescent="0.1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6" x14ac:dyDescent="0.1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6" x14ac:dyDescent="0.1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6" x14ac:dyDescent="0.1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6" x14ac:dyDescent="0.1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6" x14ac:dyDescent="0.1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6" x14ac:dyDescent="0.1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6" x14ac:dyDescent="0.1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6" x14ac:dyDescent="0.1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6" x14ac:dyDescent="0.1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6" x14ac:dyDescent="0.1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6" x14ac:dyDescent="0.1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6" x14ac:dyDescent="0.1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6" x14ac:dyDescent="0.1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6" x14ac:dyDescent="0.1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6" x14ac:dyDescent="0.1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6" x14ac:dyDescent="0.1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6" x14ac:dyDescent="0.1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6" x14ac:dyDescent="0.1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6" x14ac:dyDescent="0.1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6" x14ac:dyDescent="0.1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6" x14ac:dyDescent="0.1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6" x14ac:dyDescent="0.1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6" x14ac:dyDescent="0.1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6" x14ac:dyDescent="0.1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6" x14ac:dyDescent="0.1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6" x14ac:dyDescent="0.1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6" x14ac:dyDescent="0.1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6" x14ac:dyDescent="0.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6" x14ac:dyDescent="0.1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6" x14ac:dyDescent="0.1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6" x14ac:dyDescent="0.1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6" x14ac:dyDescent="0.1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6" x14ac:dyDescent="0.1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6" x14ac:dyDescent="0.1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6" x14ac:dyDescent="0.1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6" x14ac:dyDescent="0.1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6" x14ac:dyDescent="0.1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6" x14ac:dyDescent="0.1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6" x14ac:dyDescent="0.1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6" x14ac:dyDescent="0.1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6" x14ac:dyDescent="0.1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6" x14ac:dyDescent="0.1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6" x14ac:dyDescent="0.1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6" x14ac:dyDescent="0.1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6" x14ac:dyDescent="0.1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6" x14ac:dyDescent="0.1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6" x14ac:dyDescent="0.1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6" x14ac:dyDescent="0.1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6" x14ac:dyDescent="0.1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6" x14ac:dyDescent="0.1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6" x14ac:dyDescent="0.1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6" x14ac:dyDescent="0.1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6" x14ac:dyDescent="0.1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6" x14ac:dyDescent="0.1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6" x14ac:dyDescent="0.1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6" x14ac:dyDescent="0.1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6" x14ac:dyDescent="0.1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6" x14ac:dyDescent="0.1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6" x14ac:dyDescent="0.1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6" x14ac:dyDescent="0.1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6" x14ac:dyDescent="0.1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6" x14ac:dyDescent="0.1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6" x14ac:dyDescent="0.1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6" x14ac:dyDescent="0.1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6" x14ac:dyDescent="0.1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6" x14ac:dyDescent="0.1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6" x14ac:dyDescent="0.1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6" x14ac:dyDescent="0.1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6" x14ac:dyDescent="0.1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6" x14ac:dyDescent="0.1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6" x14ac:dyDescent="0.1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6" x14ac:dyDescent="0.1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6" x14ac:dyDescent="0.1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6" x14ac:dyDescent="0.1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6" x14ac:dyDescent="0.1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6" x14ac:dyDescent="0.1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6" x14ac:dyDescent="0.1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6" x14ac:dyDescent="0.1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6" x14ac:dyDescent="0.1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6" x14ac:dyDescent="0.1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6" x14ac:dyDescent="0.1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6" x14ac:dyDescent="0.1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6" x14ac:dyDescent="0.1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6" x14ac:dyDescent="0.1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6" x14ac:dyDescent="0.1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6" x14ac:dyDescent="0.1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6" x14ac:dyDescent="0.1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6" x14ac:dyDescent="0.1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6" x14ac:dyDescent="0.1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6" x14ac:dyDescent="0.1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6" x14ac:dyDescent="0.1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6" x14ac:dyDescent="0.1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6" x14ac:dyDescent="0.1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6" x14ac:dyDescent="0.1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6" x14ac:dyDescent="0.1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6" x14ac:dyDescent="0.1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6" x14ac:dyDescent="0.1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6" x14ac:dyDescent="0.1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6" x14ac:dyDescent="0.1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6" x14ac:dyDescent="0.1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6" x14ac:dyDescent="0.1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6" x14ac:dyDescent="0.1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6" x14ac:dyDescent="0.1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6" x14ac:dyDescent="0.1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6" x14ac:dyDescent="0.1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6" x14ac:dyDescent="0.1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6" x14ac:dyDescent="0.1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6" x14ac:dyDescent="0.1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6" x14ac:dyDescent="0.1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6" x14ac:dyDescent="0.1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6" x14ac:dyDescent="0.1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6" x14ac:dyDescent="0.1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6" x14ac:dyDescent="0.1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6" x14ac:dyDescent="0.1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6" x14ac:dyDescent="0.1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6" x14ac:dyDescent="0.1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6" x14ac:dyDescent="0.1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6" x14ac:dyDescent="0.1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6" x14ac:dyDescent="0.1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6" x14ac:dyDescent="0.1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6" x14ac:dyDescent="0.1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6" x14ac:dyDescent="0.1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6" x14ac:dyDescent="0.1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6" x14ac:dyDescent="0.1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6" x14ac:dyDescent="0.1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6" x14ac:dyDescent="0.1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6" x14ac:dyDescent="0.1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6" x14ac:dyDescent="0.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6" x14ac:dyDescent="0.1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6" x14ac:dyDescent="0.1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6" x14ac:dyDescent="0.1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6" x14ac:dyDescent="0.1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6" x14ac:dyDescent="0.1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6" x14ac:dyDescent="0.1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6" x14ac:dyDescent="0.1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6" x14ac:dyDescent="0.1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6" x14ac:dyDescent="0.1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6" x14ac:dyDescent="0.1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6" x14ac:dyDescent="0.1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6" x14ac:dyDescent="0.1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6" x14ac:dyDescent="0.1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6" x14ac:dyDescent="0.1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6" x14ac:dyDescent="0.1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6" x14ac:dyDescent="0.1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6" x14ac:dyDescent="0.1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6" x14ac:dyDescent="0.1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6" x14ac:dyDescent="0.1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6" x14ac:dyDescent="0.1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6" x14ac:dyDescent="0.1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6" x14ac:dyDescent="0.1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6" x14ac:dyDescent="0.1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6" x14ac:dyDescent="0.1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6" x14ac:dyDescent="0.1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6" x14ac:dyDescent="0.1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6" x14ac:dyDescent="0.1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6" x14ac:dyDescent="0.1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6" x14ac:dyDescent="0.1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6" x14ac:dyDescent="0.1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6" x14ac:dyDescent="0.1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6" x14ac:dyDescent="0.1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6" x14ac:dyDescent="0.1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6" x14ac:dyDescent="0.1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6" x14ac:dyDescent="0.1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6" x14ac:dyDescent="0.1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6" x14ac:dyDescent="0.1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6" x14ac:dyDescent="0.1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6" x14ac:dyDescent="0.1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6" x14ac:dyDescent="0.1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6" x14ac:dyDescent="0.1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6" x14ac:dyDescent="0.1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6" x14ac:dyDescent="0.1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6" x14ac:dyDescent="0.1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6" x14ac:dyDescent="0.1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6" x14ac:dyDescent="0.1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6" x14ac:dyDescent="0.1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6" x14ac:dyDescent="0.1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6" x14ac:dyDescent="0.1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6" x14ac:dyDescent="0.1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6" x14ac:dyDescent="0.1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6" x14ac:dyDescent="0.1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6" x14ac:dyDescent="0.1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6" x14ac:dyDescent="0.1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6" x14ac:dyDescent="0.1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6" x14ac:dyDescent="0.1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6" x14ac:dyDescent="0.1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6" x14ac:dyDescent="0.1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6" x14ac:dyDescent="0.1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6" x14ac:dyDescent="0.1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6" x14ac:dyDescent="0.1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6" x14ac:dyDescent="0.1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6" x14ac:dyDescent="0.1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6" x14ac:dyDescent="0.1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6" x14ac:dyDescent="0.1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6" x14ac:dyDescent="0.1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6" x14ac:dyDescent="0.1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6" x14ac:dyDescent="0.1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6" x14ac:dyDescent="0.1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6" x14ac:dyDescent="0.1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6" x14ac:dyDescent="0.1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6" x14ac:dyDescent="0.1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6" x14ac:dyDescent="0.1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6" x14ac:dyDescent="0.1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6" x14ac:dyDescent="0.1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6" x14ac:dyDescent="0.1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6" x14ac:dyDescent="0.1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6" x14ac:dyDescent="0.1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6" x14ac:dyDescent="0.1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6" x14ac:dyDescent="0.1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6" x14ac:dyDescent="0.1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6" x14ac:dyDescent="0.1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6" x14ac:dyDescent="0.1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6" x14ac:dyDescent="0.1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6" x14ac:dyDescent="0.1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spans="1:26" ht="16" x14ac:dyDescent="0.1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spans="1:26" ht="16" x14ac:dyDescent="0.1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spans="1:26" ht="16" x14ac:dyDescent="0.1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spans="1:26" ht="16" x14ac:dyDescent="0.1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spans="1:26" ht="16" x14ac:dyDescent="0.1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 spans="1:26" ht="16" x14ac:dyDescent="0.1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  <row r="1007" spans="1:26" ht="16" x14ac:dyDescent="0.1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</row>
    <row r="1008" spans="1:26" ht="16" x14ac:dyDescent="0.1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</row>
  </sheetData>
  <autoFilter ref="A1:Z1008" xr:uid="{00000000-0009-0000-0000-00000C000000}"/>
  <dataValidations count="7">
    <dataValidation type="list" allowBlank="1" showErrorMessage="1" sqref="D172:D174" xr:uid="{00000000-0002-0000-0C00-000000000000}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TERRIER,CHOWCHOW,CORGI,BICHON FRISE,MUNCHKIN,DOBERMAN"</formula1>
    </dataValidation>
    <dataValidation type="list" allowBlank="1" showErrorMessage="1" sqref="G2:G344" xr:uid="{00000000-0002-0000-0C00-000001000000}">
      <formula1>"LARGO,CORTO"</formula1>
    </dataValidation>
    <dataValidation type="list" allowBlank="1" showErrorMessage="1" sqref="E2:E353" xr:uid="{00000000-0002-0000-0C00-000002000000}">
      <formula1>"BAÑO EVA,FLASH BATH,CAT LOVER,EVA PRIMITIVO,EVA ALTERNATIVO,EVA'S GROOMING,STRIPPING,CORTE DE UÑAS,PEINADO,EVA LISO PERFECTO,SESIÓN DESENREDO,LIMPIEZA DENTAL"</formula1>
    </dataValidation>
    <dataValidation type="list" allowBlank="1" showErrorMessage="1" sqref="K2:K338" xr:uid="{00000000-0002-0000-0C00-000003000000}">
      <formula1>"SI,NO"</formula1>
    </dataValidation>
    <dataValidation type="list" allowBlank="1" showErrorMessage="1" sqref="D106" xr:uid="{00000000-0002-0000-0C00-000004000000}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J2:J219 J274" xr:uid="{00000000-0002-0000-0C00-000005000000}">
      <formula1>"MOÑO,MOÑOS,CORBATÍN,PAÑOLETA,NO"</formula1>
    </dataValidation>
    <dataValidation type="list" allowBlank="1" showErrorMessage="1" sqref="D2:D105 D107:D171 D175:D369" xr:uid="{00000000-0002-0000-0C00-000006000000}">
      <formula1>"ALASKA MALAMUTE,BEAGLE,BICHON HABANERO,BICHON MALTES,BOSTON TERRIER,BULLDOG,BULLDOG FRANCÉS,BULLTERRIER,CHIHUAHUA,COCKER,DACHSHUND,GATO,GOLDEN RETRIEVER,HUSKY SIBERIANO,LABRADOR,LHASA APSO,MESTIZO,PASTOR ALEMÁN,PEQUINES,PERSA,PINSCHSER,PUG,PITBULL,POMERAN"&amp;"IA,POODLE,SCHNAUZER,SHIH TZU,SILKY TERRIER,WEST HIGHLAND WHITE TERRIER,YORKSHIRE TERRIER,SAMOYEDO,BORDER COLLIE,AMERICAN BULLY,BIEWER TERRIER,CHOWCHOW,CORGI,BICHON FRISE,MUNCHKIN,DOBERMAN,WEIMARANER,SPRINGER SPANIEL,BOYERO DE BERNA,DALMATA"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 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Burbano</cp:lastModifiedBy>
  <dcterms:created xsi:type="dcterms:W3CDTF">2026-03-27T21:39:07Z</dcterms:created>
  <dcterms:modified xsi:type="dcterms:W3CDTF">2026-03-27T21:39:07Z</dcterms:modified>
</cp:coreProperties>
</file>